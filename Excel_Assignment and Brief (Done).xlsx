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tables/table1.xml" ContentType="application/vnd.openxmlformats-officedocument.spreadsheetml.table+xml"/>
  <Override PartName="/xl/pivotTables/pivotTable10.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kelvi\Downloads\LuxDev Data Science, Analytics &amp; AI\Excel\Assignemnts\"/>
    </mc:Choice>
  </mc:AlternateContent>
  <xr:revisionPtr revIDLastSave="0" documentId="13_ncr:1_{9E6ACC20-4BED-4A62-A54F-277A46415BB5}" xr6:coauthVersionLast="47" xr6:coauthVersionMax="47" xr10:uidLastSave="{00000000-0000-0000-0000-000000000000}"/>
  <bookViews>
    <workbookView xWindow="-120" yWindow="330" windowWidth="20730" windowHeight="11310" tabRatio="861" firstSheet="10" activeTab="15" xr2:uid="{00000000-000D-0000-FFFF-FFFF00000000}"/>
  </bookViews>
  <sheets>
    <sheet name="RawData" sheetId="1" r:id="rId1"/>
    <sheet name="Brief" sheetId="2" r:id="rId2"/>
    <sheet name="StagingData" sheetId="3" r:id="rId3"/>
    <sheet name="Region Hierachy" sheetId="4" r:id="rId4"/>
    <sheet name="First-Time Sales" sheetId="5" r:id="rId5"/>
    <sheet name="ABC Analysis" sheetId="6" r:id="rId6"/>
    <sheet name="SalespersonProductivity" sheetId="15" r:id="rId7"/>
    <sheet name="cannibalization" sheetId="17" r:id="rId8"/>
    <sheet name="Service level Proxy" sheetId="19" r:id="rId9"/>
    <sheet name="Price Compliance" sheetId="21" r:id="rId10"/>
    <sheet name="What-If Analysis" sheetId="22" r:id="rId11"/>
    <sheet name="Revenue(Month)" sheetId="24" r:id="rId12"/>
    <sheet name="Profit(Region&amp;Channel)" sheetId="25" r:id="rId13"/>
    <sheet name="Top 10SKUs(Revenue)" sheetId="27" r:id="rId14"/>
    <sheet name="Discount Outlier" sheetId="28" r:id="rId15"/>
    <sheet name="Dashboard" sheetId="23" r:id="rId16"/>
    <sheet name="DashBoard Insights" sheetId="29" r:id="rId17"/>
  </sheets>
  <definedNames>
    <definedName name="_xlnm._FilterDatabase" localSheetId="2" hidden="1">StagingData!$A$1:$AL$632</definedName>
    <definedName name="_xlchart.v1.0" hidden="1">'Discount Outlier'!$A$3:$A$633</definedName>
    <definedName name="_xlchart.v1.1" hidden="1">'Discount Outlier'!$A$3:$A$633</definedName>
    <definedName name="_xlchart.v1.2" hidden="1">'Discount Outlier'!$A$3:$A$633</definedName>
    <definedName name="_xlchart.v1.3" hidden="1">'Discount Outlier'!$A$3:$A$633</definedName>
    <definedName name="Slicer_Channel">#N/A</definedName>
    <definedName name="Slicer_Country">#N/A</definedName>
    <definedName name="Slicer_Months__OrderDate">#N/A</definedName>
    <definedName name="Slicer_ProductCategory">#N/A</definedName>
    <definedName name="Slicer_Region">#N/A</definedName>
    <definedName name="Slicer_Salesperson">#N/A</definedName>
  </definedNames>
  <calcPr calcId="191029"/>
  <pivotCaches>
    <pivotCache cacheId="246"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6" l="1"/>
  <c r="E6" i="6"/>
  <c r="E7" i="6"/>
  <c r="E10" i="6"/>
  <c r="E11" i="6"/>
  <c r="E12" i="6"/>
  <c r="E15" i="6"/>
  <c r="E17" i="6"/>
  <c r="E20" i="6"/>
  <c r="E21" i="6"/>
  <c r="E22" i="6"/>
  <c r="E25" i="6"/>
  <c r="E26" i="6"/>
  <c r="E27" i="6"/>
  <c r="E30" i="6"/>
  <c r="E31" i="6"/>
  <c r="E32" i="6"/>
  <c r="E35" i="6"/>
  <c r="E36" i="6"/>
  <c r="E37" i="6"/>
  <c r="S634" i="3"/>
  <c r="R634" i="3"/>
  <c r="Q634"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F18" i="22"/>
  <c r="AE9" i="3" s="1"/>
  <c r="F17" i="22"/>
  <c r="AD2" i="3" s="1"/>
  <c r="F16" i="22"/>
  <c r="E2" i="22"/>
  <c r="O6" i="3" a="1"/>
  <c r="O6" i="3" s="1"/>
  <c r="O7" i="3" a="1"/>
  <c r="O7" i="3" s="1"/>
  <c r="O8" i="3" a="1"/>
  <c r="O8" i="3" s="1"/>
  <c r="O9" i="3" a="1"/>
  <c r="O9" i="3" s="1"/>
  <c r="O10" i="3" a="1"/>
  <c r="O10" i="3" s="1"/>
  <c r="O11" i="3" a="1"/>
  <c r="O11" i="3" s="1"/>
  <c r="O12" i="3" a="1"/>
  <c r="O12" i="3" s="1"/>
  <c r="O13" i="3" a="1"/>
  <c r="O13" i="3" s="1"/>
  <c r="O14" i="3" a="1"/>
  <c r="O14" i="3" s="1"/>
  <c r="O15" i="3" a="1"/>
  <c r="O15" i="3" s="1"/>
  <c r="O16" i="3" a="1"/>
  <c r="O16" i="3" s="1"/>
  <c r="O17" i="3" a="1"/>
  <c r="O17" i="3" s="1"/>
  <c r="O18" i="3" a="1"/>
  <c r="O18" i="3" s="1"/>
  <c r="O19" i="3" a="1"/>
  <c r="O19" i="3" s="1"/>
  <c r="O20" i="3" a="1"/>
  <c r="O20" i="3" s="1"/>
  <c r="O21" i="3" a="1"/>
  <c r="O21" i="3" s="1"/>
  <c r="O22" i="3" a="1"/>
  <c r="O22" i="3" s="1"/>
  <c r="O23" i="3" a="1"/>
  <c r="O23" i="3" s="1"/>
  <c r="O24" i="3" a="1"/>
  <c r="O24" i="3" s="1"/>
  <c r="O25" i="3" a="1"/>
  <c r="O25" i="3" s="1"/>
  <c r="O26" i="3" a="1"/>
  <c r="O26" i="3" s="1"/>
  <c r="O27" i="3" a="1"/>
  <c r="O27" i="3" s="1"/>
  <c r="O28" i="3" a="1"/>
  <c r="O28" i="3" s="1"/>
  <c r="O29" i="3" a="1"/>
  <c r="O29" i="3" s="1"/>
  <c r="O30" i="3" a="1"/>
  <c r="O30" i="3" s="1"/>
  <c r="O31" i="3" a="1"/>
  <c r="O31" i="3" s="1"/>
  <c r="O32" i="3" a="1"/>
  <c r="O32" i="3" s="1"/>
  <c r="O33" i="3" a="1"/>
  <c r="O33" i="3" s="1"/>
  <c r="O34" i="3" a="1"/>
  <c r="O34" i="3" s="1"/>
  <c r="O35" i="3" a="1"/>
  <c r="O35" i="3" s="1"/>
  <c r="O36" i="3" a="1"/>
  <c r="O36" i="3" s="1"/>
  <c r="O37" i="3" a="1"/>
  <c r="O37" i="3" s="1"/>
  <c r="O38" i="3" a="1"/>
  <c r="O38" i="3" s="1"/>
  <c r="O39" i="3" a="1"/>
  <c r="O39" i="3" s="1"/>
  <c r="O40" i="3" a="1"/>
  <c r="O40" i="3" s="1"/>
  <c r="O41" i="3" a="1"/>
  <c r="O41" i="3" s="1"/>
  <c r="O42" i="3" a="1"/>
  <c r="O42" i="3" s="1"/>
  <c r="O43" i="3" a="1"/>
  <c r="O43" i="3" s="1"/>
  <c r="O44" i="3" a="1"/>
  <c r="O44" i="3" s="1"/>
  <c r="O45" i="3" a="1"/>
  <c r="O45" i="3" s="1"/>
  <c r="O46" i="3" a="1"/>
  <c r="O46" i="3" s="1"/>
  <c r="O47" i="3" a="1"/>
  <c r="O47" i="3" s="1"/>
  <c r="O48" i="3" a="1"/>
  <c r="O48" i="3" s="1"/>
  <c r="O49" i="3" a="1"/>
  <c r="O49" i="3" s="1"/>
  <c r="O50" i="3" a="1"/>
  <c r="O50" i="3" s="1"/>
  <c r="O51" i="3" a="1"/>
  <c r="O51" i="3" s="1"/>
  <c r="O52" i="3" a="1"/>
  <c r="O52" i="3" s="1"/>
  <c r="O53" i="3" a="1"/>
  <c r="O53" i="3" s="1"/>
  <c r="O54" i="3" a="1"/>
  <c r="O54" i="3" s="1"/>
  <c r="O55" i="3" a="1"/>
  <c r="O55" i="3" s="1"/>
  <c r="O56" i="3" a="1"/>
  <c r="O56" i="3" s="1"/>
  <c r="O57" i="3" a="1"/>
  <c r="O57" i="3" s="1"/>
  <c r="O58" i="3" a="1"/>
  <c r="O58" i="3" s="1"/>
  <c r="O59" i="3" a="1"/>
  <c r="O59" i="3" s="1"/>
  <c r="O60" i="3" a="1"/>
  <c r="O60" i="3" s="1"/>
  <c r="O61" i="3" a="1"/>
  <c r="O61" i="3" s="1"/>
  <c r="O62" i="3" a="1"/>
  <c r="O62" i="3" s="1"/>
  <c r="O63" i="3" a="1"/>
  <c r="O63" i="3" s="1"/>
  <c r="O64" i="3" a="1"/>
  <c r="O64" i="3" s="1"/>
  <c r="O65" i="3" a="1"/>
  <c r="O65" i="3" s="1"/>
  <c r="O66" i="3" a="1"/>
  <c r="O66" i="3" s="1"/>
  <c r="O67" i="3" a="1"/>
  <c r="O67" i="3" s="1"/>
  <c r="O68" i="3" a="1"/>
  <c r="O68" i="3" s="1"/>
  <c r="O69" i="3" a="1"/>
  <c r="O69" i="3" s="1"/>
  <c r="O70" i="3" a="1"/>
  <c r="O70" i="3" s="1"/>
  <c r="O71" i="3" a="1"/>
  <c r="O71" i="3" s="1"/>
  <c r="O72" i="3" a="1"/>
  <c r="O72" i="3" s="1"/>
  <c r="O73" i="3" a="1"/>
  <c r="O73" i="3" s="1"/>
  <c r="O74" i="3" a="1"/>
  <c r="O74" i="3" s="1"/>
  <c r="O75" i="3" a="1"/>
  <c r="O75" i="3" s="1"/>
  <c r="O76" i="3" a="1"/>
  <c r="O76" i="3" s="1"/>
  <c r="O77" i="3" a="1"/>
  <c r="O77" i="3" s="1"/>
  <c r="O78" i="3" a="1"/>
  <c r="O78" i="3" s="1"/>
  <c r="O79" i="3" a="1"/>
  <c r="O79" i="3" s="1"/>
  <c r="O80" i="3" a="1"/>
  <c r="O80" i="3" s="1"/>
  <c r="O81" i="3" a="1"/>
  <c r="O81" i="3" s="1"/>
  <c r="O82" i="3" a="1"/>
  <c r="O82" i="3" s="1"/>
  <c r="O83" i="3" a="1"/>
  <c r="O83" i="3" s="1"/>
  <c r="O84" i="3" a="1"/>
  <c r="O84" i="3" s="1"/>
  <c r="O85" i="3" a="1"/>
  <c r="O85" i="3" s="1"/>
  <c r="O86" i="3" a="1"/>
  <c r="O86" i="3" s="1"/>
  <c r="O87" i="3" a="1"/>
  <c r="O87" i="3" s="1"/>
  <c r="O88" i="3" a="1"/>
  <c r="O88" i="3" s="1"/>
  <c r="O89" i="3" a="1"/>
  <c r="O89" i="3" s="1"/>
  <c r="O90" i="3" a="1"/>
  <c r="O90" i="3" s="1"/>
  <c r="O91" i="3" a="1"/>
  <c r="O91" i="3" s="1"/>
  <c r="O92" i="3" a="1"/>
  <c r="O92" i="3" s="1"/>
  <c r="O93" i="3" a="1"/>
  <c r="O93" i="3" s="1"/>
  <c r="O94" i="3" a="1"/>
  <c r="O94" i="3" s="1"/>
  <c r="O95" i="3" a="1"/>
  <c r="O95" i="3" s="1"/>
  <c r="O96" i="3" a="1"/>
  <c r="O96" i="3" s="1"/>
  <c r="O97" i="3" a="1"/>
  <c r="O97" i="3" s="1"/>
  <c r="O98" i="3" a="1"/>
  <c r="O98" i="3" s="1"/>
  <c r="O99" i="3" a="1"/>
  <c r="O99" i="3" s="1"/>
  <c r="O100" i="3" a="1"/>
  <c r="O100" i="3" s="1"/>
  <c r="O101" i="3" a="1"/>
  <c r="O101" i="3" s="1"/>
  <c r="O102" i="3" a="1"/>
  <c r="O102" i="3" s="1"/>
  <c r="O103" i="3" a="1"/>
  <c r="O103" i="3" s="1"/>
  <c r="O104" i="3" a="1"/>
  <c r="O104" i="3" s="1"/>
  <c r="O105" i="3" a="1"/>
  <c r="O105" i="3" s="1"/>
  <c r="O106" i="3" a="1"/>
  <c r="O106" i="3" s="1"/>
  <c r="O107" i="3" a="1"/>
  <c r="O107" i="3" s="1"/>
  <c r="O108" i="3" a="1"/>
  <c r="O108" i="3" s="1"/>
  <c r="O109" i="3" a="1"/>
  <c r="O109" i="3" s="1"/>
  <c r="O110" i="3" a="1"/>
  <c r="O110" i="3" s="1"/>
  <c r="O111" i="3" a="1"/>
  <c r="O111" i="3" s="1"/>
  <c r="O112" i="3" a="1"/>
  <c r="O112" i="3" s="1"/>
  <c r="O113" i="3" a="1"/>
  <c r="O113" i="3" s="1"/>
  <c r="O114" i="3" a="1"/>
  <c r="O114" i="3" s="1"/>
  <c r="O115" i="3" a="1"/>
  <c r="O115" i="3" s="1"/>
  <c r="O116" i="3" a="1"/>
  <c r="O116" i="3" s="1"/>
  <c r="O117" i="3" a="1"/>
  <c r="O117" i="3" s="1"/>
  <c r="O118" i="3" a="1"/>
  <c r="O118" i="3" s="1"/>
  <c r="O119" i="3" a="1"/>
  <c r="O119" i="3" s="1"/>
  <c r="O120" i="3" a="1"/>
  <c r="O120" i="3" s="1"/>
  <c r="O121" i="3" a="1"/>
  <c r="O121" i="3" s="1"/>
  <c r="O122" i="3" a="1"/>
  <c r="O122" i="3" s="1"/>
  <c r="O123" i="3" a="1"/>
  <c r="O123" i="3" s="1"/>
  <c r="O124" i="3" a="1"/>
  <c r="O124" i="3" s="1"/>
  <c r="O125" i="3" a="1"/>
  <c r="O125" i="3" s="1"/>
  <c r="O126" i="3" a="1"/>
  <c r="O126" i="3" s="1"/>
  <c r="O127" i="3" a="1"/>
  <c r="O127" i="3" s="1"/>
  <c r="O128" i="3" a="1"/>
  <c r="O128" i="3" s="1"/>
  <c r="O129" i="3" a="1"/>
  <c r="O129" i="3" s="1"/>
  <c r="O130" i="3" a="1"/>
  <c r="O130" i="3" s="1"/>
  <c r="O131" i="3" a="1"/>
  <c r="O131" i="3" s="1"/>
  <c r="O132" i="3" a="1"/>
  <c r="O132" i="3" s="1"/>
  <c r="O133" i="3" a="1"/>
  <c r="O133" i="3" s="1"/>
  <c r="O134" i="3" a="1"/>
  <c r="O134" i="3" s="1"/>
  <c r="O135" i="3" a="1"/>
  <c r="O135" i="3" s="1"/>
  <c r="O136" i="3" a="1"/>
  <c r="O136" i="3" s="1"/>
  <c r="O137" i="3" a="1"/>
  <c r="O137" i="3" s="1"/>
  <c r="O138" i="3" a="1"/>
  <c r="O138" i="3" s="1"/>
  <c r="O139" i="3" a="1"/>
  <c r="O139" i="3" s="1"/>
  <c r="O140" i="3" a="1"/>
  <c r="O140" i="3" s="1"/>
  <c r="O141" i="3" a="1"/>
  <c r="O141" i="3" s="1"/>
  <c r="O142" i="3" a="1"/>
  <c r="O142" i="3" s="1"/>
  <c r="O143" i="3" a="1"/>
  <c r="O143" i="3" s="1"/>
  <c r="O144" i="3" a="1"/>
  <c r="O144" i="3" s="1"/>
  <c r="O145" i="3" a="1"/>
  <c r="O145" i="3" s="1"/>
  <c r="O146" i="3" a="1"/>
  <c r="O146" i="3" s="1"/>
  <c r="O147" i="3" a="1"/>
  <c r="O147" i="3" s="1"/>
  <c r="O148" i="3" a="1"/>
  <c r="O148" i="3" s="1"/>
  <c r="O149" i="3" a="1"/>
  <c r="O149" i="3" s="1"/>
  <c r="O150" i="3" a="1"/>
  <c r="O150" i="3" s="1"/>
  <c r="O151" i="3" a="1"/>
  <c r="O151" i="3" s="1"/>
  <c r="O152" i="3" a="1"/>
  <c r="O152" i="3" s="1"/>
  <c r="O153" i="3" a="1"/>
  <c r="O153" i="3" s="1"/>
  <c r="O154" i="3" a="1"/>
  <c r="O154" i="3" s="1"/>
  <c r="O155" i="3" a="1"/>
  <c r="O155" i="3" s="1"/>
  <c r="O156" i="3" a="1"/>
  <c r="O156" i="3" s="1"/>
  <c r="O157" i="3" a="1"/>
  <c r="O157" i="3" s="1"/>
  <c r="O158" i="3" a="1"/>
  <c r="O158" i="3" s="1"/>
  <c r="O159" i="3" a="1"/>
  <c r="O159" i="3" s="1"/>
  <c r="O160" i="3" a="1"/>
  <c r="O160" i="3" s="1"/>
  <c r="O161" i="3" a="1"/>
  <c r="O161" i="3" s="1"/>
  <c r="O162" i="3" a="1"/>
  <c r="O162" i="3" s="1"/>
  <c r="O163" i="3" a="1"/>
  <c r="O163" i="3" s="1"/>
  <c r="O164" i="3" a="1"/>
  <c r="O164" i="3" s="1"/>
  <c r="O165" i="3" a="1"/>
  <c r="O165" i="3" s="1"/>
  <c r="O166" i="3" a="1"/>
  <c r="O166" i="3" s="1"/>
  <c r="O167" i="3" a="1"/>
  <c r="O167" i="3" s="1"/>
  <c r="O168" i="3" a="1"/>
  <c r="O168" i="3" s="1"/>
  <c r="O169" i="3" a="1"/>
  <c r="O169" i="3" s="1"/>
  <c r="O170" i="3" a="1"/>
  <c r="O170" i="3" s="1"/>
  <c r="O171" i="3" a="1"/>
  <c r="O171" i="3" s="1"/>
  <c r="O172" i="3" a="1"/>
  <c r="O172" i="3" s="1"/>
  <c r="O173" i="3" a="1"/>
  <c r="O173" i="3" s="1"/>
  <c r="O174" i="3" a="1"/>
  <c r="O174" i="3" s="1"/>
  <c r="O175" i="3" a="1"/>
  <c r="O175" i="3" s="1"/>
  <c r="O176" i="3" a="1"/>
  <c r="O176" i="3" s="1"/>
  <c r="O177" i="3" a="1"/>
  <c r="O177" i="3" s="1"/>
  <c r="O178" i="3" a="1"/>
  <c r="O178" i="3" s="1"/>
  <c r="O179" i="3" a="1"/>
  <c r="O179" i="3" s="1"/>
  <c r="O180" i="3" a="1"/>
  <c r="O180" i="3" s="1"/>
  <c r="O181" i="3" a="1"/>
  <c r="O181" i="3" s="1"/>
  <c r="O182" i="3" a="1"/>
  <c r="O182" i="3" s="1"/>
  <c r="O183" i="3" a="1"/>
  <c r="O183" i="3" s="1"/>
  <c r="O184" i="3" a="1"/>
  <c r="O184" i="3" s="1"/>
  <c r="O185" i="3" a="1"/>
  <c r="O185" i="3" s="1"/>
  <c r="O186" i="3" a="1"/>
  <c r="O186" i="3" s="1"/>
  <c r="O187" i="3" a="1"/>
  <c r="O187" i="3" s="1"/>
  <c r="O188" i="3" a="1"/>
  <c r="O188" i="3" s="1"/>
  <c r="O189" i="3" a="1"/>
  <c r="O189" i="3" s="1"/>
  <c r="O190" i="3" a="1"/>
  <c r="O190" i="3" s="1"/>
  <c r="O191" i="3" a="1"/>
  <c r="O191" i="3" s="1"/>
  <c r="O192" i="3" a="1"/>
  <c r="O192" i="3" s="1"/>
  <c r="O193" i="3" a="1"/>
  <c r="O193" i="3" s="1"/>
  <c r="O194" i="3" a="1"/>
  <c r="O194" i="3" s="1"/>
  <c r="O195" i="3" a="1"/>
  <c r="O195" i="3" s="1"/>
  <c r="O196" i="3" a="1"/>
  <c r="O196" i="3" s="1"/>
  <c r="O197" i="3" a="1"/>
  <c r="O197" i="3" s="1"/>
  <c r="O198" i="3" a="1"/>
  <c r="O198" i="3" s="1"/>
  <c r="O199" i="3" a="1"/>
  <c r="O199" i="3" s="1"/>
  <c r="O200" i="3" a="1"/>
  <c r="O200" i="3" s="1"/>
  <c r="O201" i="3" a="1"/>
  <c r="O201" i="3" s="1"/>
  <c r="O202" i="3" a="1"/>
  <c r="O202" i="3" s="1"/>
  <c r="O203" i="3" a="1"/>
  <c r="O203" i="3" s="1"/>
  <c r="O204" i="3" a="1"/>
  <c r="O204" i="3" s="1"/>
  <c r="O205" i="3" a="1"/>
  <c r="O205" i="3" s="1"/>
  <c r="O206" i="3" a="1"/>
  <c r="O206" i="3" s="1"/>
  <c r="O207" i="3" a="1"/>
  <c r="O207" i="3" s="1"/>
  <c r="O208" i="3" a="1"/>
  <c r="O208" i="3" s="1"/>
  <c r="O209" i="3" a="1"/>
  <c r="O209" i="3" s="1"/>
  <c r="O210" i="3" a="1"/>
  <c r="O210" i="3" s="1"/>
  <c r="O211" i="3" a="1"/>
  <c r="O211" i="3" s="1"/>
  <c r="O212" i="3" a="1"/>
  <c r="O212" i="3" s="1"/>
  <c r="O213" i="3" a="1"/>
  <c r="O213" i="3" s="1"/>
  <c r="O214" i="3" a="1"/>
  <c r="O214" i="3" s="1"/>
  <c r="O215" i="3" a="1"/>
  <c r="O215" i="3" s="1"/>
  <c r="O216" i="3" a="1"/>
  <c r="O216" i="3" s="1"/>
  <c r="O217" i="3" a="1"/>
  <c r="O217" i="3" s="1"/>
  <c r="O218" i="3" a="1"/>
  <c r="O218" i="3" s="1"/>
  <c r="O219" i="3" a="1"/>
  <c r="O219" i="3" s="1"/>
  <c r="O220" i="3" a="1"/>
  <c r="O220" i="3" s="1"/>
  <c r="O221" i="3" a="1"/>
  <c r="O221" i="3" s="1"/>
  <c r="O222" i="3" a="1"/>
  <c r="O222" i="3" s="1"/>
  <c r="O223" i="3" a="1"/>
  <c r="O223" i="3" s="1"/>
  <c r="O224" i="3" a="1"/>
  <c r="O224" i="3" s="1"/>
  <c r="O225" i="3" a="1"/>
  <c r="O225" i="3" s="1"/>
  <c r="O226" i="3" a="1"/>
  <c r="O226" i="3" s="1"/>
  <c r="O227" i="3" a="1"/>
  <c r="O227" i="3" s="1"/>
  <c r="O228" i="3" a="1"/>
  <c r="O228" i="3" s="1"/>
  <c r="O229" i="3" a="1"/>
  <c r="O229" i="3" s="1"/>
  <c r="O230" i="3" a="1"/>
  <c r="O230" i="3" s="1"/>
  <c r="O231" i="3" a="1"/>
  <c r="O231" i="3" s="1"/>
  <c r="O232" i="3" a="1"/>
  <c r="O232" i="3" s="1"/>
  <c r="O233" i="3" a="1"/>
  <c r="O233" i="3" s="1"/>
  <c r="O234" i="3" a="1"/>
  <c r="O234" i="3" s="1"/>
  <c r="O235" i="3" a="1"/>
  <c r="O235" i="3" s="1"/>
  <c r="O236" i="3" a="1"/>
  <c r="O236" i="3" s="1"/>
  <c r="O237" i="3" a="1"/>
  <c r="O237" i="3" s="1"/>
  <c r="O238" i="3" a="1"/>
  <c r="O238" i="3" s="1"/>
  <c r="O239" i="3" a="1"/>
  <c r="O239" i="3" s="1"/>
  <c r="O240" i="3" a="1"/>
  <c r="O240" i="3" s="1"/>
  <c r="O241" i="3" a="1"/>
  <c r="O241" i="3" s="1"/>
  <c r="O242" i="3" a="1"/>
  <c r="O242" i="3" s="1"/>
  <c r="O243" i="3" a="1"/>
  <c r="O243" i="3" s="1"/>
  <c r="O244" i="3" a="1"/>
  <c r="O244" i="3" s="1"/>
  <c r="O245" i="3" a="1"/>
  <c r="O245" i="3" s="1"/>
  <c r="O246" i="3" a="1"/>
  <c r="O246" i="3" s="1"/>
  <c r="O247" i="3" a="1"/>
  <c r="O247" i="3" s="1"/>
  <c r="O248" i="3" a="1"/>
  <c r="O248" i="3" s="1"/>
  <c r="O249" i="3" a="1"/>
  <c r="O249" i="3" s="1"/>
  <c r="O250" i="3" a="1"/>
  <c r="O250" i="3" s="1"/>
  <c r="O251" i="3" a="1"/>
  <c r="O251" i="3" s="1"/>
  <c r="O252" i="3" a="1"/>
  <c r="O252" i="3" s="1"/>
  <c r="O253" i="3" a="1"/>
  <c r="O253" i="3" s="1"/>
  <c r="O254" i="3" a="1"/>
  <c r="O254" i="3" s="1"/>
  <c r="O255" i="3" a="1"/>
  <c r="O255" i="3" s="1"/>
  <c r="O256" i="3" a="1"/>
  <c r="O256" i="3" s="1"/>
  <c r="O257" i="3" a="1"/>
  <c r="O257" i="3" s="1"/>
  <c r="O258" i="3" a="1"/>
  <c r="O258" i="3" s="1"/>
  <c r="O259" i="3" a="1"/>
  <c r="O259" i="3" s="1"/>
  <c r="O260" i="3" a="1"/>
  <c r="O260" i="3" s="1"/>
  <c r="O261" i="3" a="1"/>
  <c r="O261" i="3" s="1"/>
  <c r="O262" i="3" a="1"/>
  <c r="O262" i="3" s="1"/>
  <c r="O263" i="3" a="1"/>
  <c r="O263" i="3" s="1"/>
  <c r="O264" i="3" a="1"/>
  <c r="O264" i="3" s="1"/>
  <c r="O265" i="3" a="1"/>
  <c r="O265" i="3" s="1"/>
  <c r="O266" i="3" a="1"/>
  <c r="O266" i="3" s="1"/>
  <c r="O267" i="3" a="1"/>
  <c r="O267" i="3" s="1"/>
  <c r="O268" i="3" a="1"/>
  <c r="O268" i="3" s="1"/>
  <c r="O269" i="3" a="1"/>
  <c r="O269" i="3" s="1"/>
  <c r="O270" i="3" a="1"/>
  <c r="O270" i="3" s="1"/>
  <c r="O271" i="3" a="1"/>
  <c r="O271" i="3" s="1"/>
  <c r="O272" i="3" a="1"/>
  <c r="O272" i="3" s="1"/>
  <c r="O273" i="3" a="1"/>
  <c r="O273" i="3" s="1"/>
  <c r="O274" i="3" a="1"/>
  <c r="O274" i="3" s="1"/>
  <c r="O275" i="3" a="1"/>
  <c r="O275" i="3" s="1"/>
  <c r="O276" i="3" a="1"/>
  <c r="O276" i="3" s="1"/>
  <c r="O277" i="3" a="1"/>
  <c r="O277" i="3" s="1"/>
  <c r="O278" i="3" a="1"/>
  <c r="O278" i="3" s="1"/>
  <c r="O279" i="3" a="1"/>
  <c r="O279" i="3" s="1"/>
  <c r="O280" i="3" a="1"/>
  <c r="O280" i="3" s="1"/>
  <c r="O281" i="3" a="1"/>
  <c r="O281" i="3" s="1"/>
  <c r="O282" i="3" a="1"/>
  <c r="O282" i="3" s="1"/>
  <c r="O283" i="3" a="1"/>
  <c r="O283" i="3" s="1"/>
  <c r="O284" i="3" a="1"/>
  <c r="O284" i="3" s="1"/>
  <c r="O285" i="3" a="1"/>
  <c r="O285" i="3" s="1"/>
  <c r="O286" i="3" a="1"/>
  <c r="O286" i="3" s="1"/>
  <c r="O287" i="3" a="1"/>
  <c r="O287" i="3" s="1"/>
  <c r="O288" i="3" a="1"/>
  <c r="O288" i="3" s="1"/>
  <c r="O289" i="3" a="1"/>
  <c r="O289" i="3" s="1"/>
  <c r="O290" i="3" a="1"/>
  <c r="O290" i="3" s="1"/>
  <c r="O291" i="3" a="1"/>
  <c r="O291" i="3" s="1"/>
  <c r="O292" i="3" a="1"/>
  <c r="O292" i="3" s="1"/>
  <c r="O293" i="3" a="1"/>
  <c r="O293" i="3" s="1"/>
  <c r="O294" i="3" a="1"/>
  <c r="O294" i="3" s="1"/>
  <c r="O295" i="3" a="1"/>
  <c r="O295" i="3" s="1"/>
  <c r="O296" i="3" a="1"/>
  <c r="O296" i="3" s="1"/>
  <c r="O297" i="3" a="1"/>
  <c r="O297" i="3" s="1"/>
  <c r="O298" i="3" a="1"/>
  <c r="O298" i="3" s="1"/>
  <c r="O299" i="3" a="1"/>
  <c r="O299" i="3" s="1"/>
  <c r="O300" i="3" a="1"/>
  <c r="O300" i="3" s="1"/>
  <c r="O301" i="3" a="1"/>
  <c r="O301" i="3" s="1"/>
  <c r="O302" i="3" a="1"/>
  <c r="O302" i="3" s="1"/>
  <c r="O303" i="3" a="1"/>
  <c r="O303" i="3" s="1"/>
  <c r="O304" i="3" a="1"/>
  <c r="O304" i="3" s="1"/>
  <c r="O305" i="3" a="1"/>
  <c r="O305" i="3" s="1"/>
  <c r="O306" i="3" a="1"/>
  <c r="O306" i="3" s="1"/>
  <c r="O307" i="3" a="1"/>
  <c r="O307" i="3" s="1"/>
  <c r="O308" i="3" a="1"/>
  <c r="O308" i="3" s="1"/>
  <c r="O309" i="3" a="1"/>
  <c r="O309" i="3" s="1"/>
  <c r="O310" i="3" a="1"/>
  <c r="O310" i="3" s="1"/>
  <c r="O311" i="3" a="1"/>
  <c r="O311" i="3" s="1"/>
  <c r="O312" i="3" a="1"/>
  <c r="O312" i="3" s="1"/>
  <c r="O313" i="3" a="1"/>
  <c r="O313" i="3" s="1"/>
  <c r="O314" i="3" a="1"/>
  <c r="O314" i="3" s="1"/>
  <c r="O315" i="3" a="1"/>
  <c r="O315" i="3" s="1"/>
  <c r="O316" i="3" a="1"/>
  <c r="O316" i="3" s="1"/>
  <c r="O317" i="3" a="1"/>
  <c r="O317" i="3" s="1"/>
  <c r="O318" i="3" a="1"/>
  <c r="O318" i="3" s="1"/>
  <c r="O319" i="3" a="1"/>
  <c r="O319" i="3" s="1"/>
  <c r="O320" i="3" a="1"/>
  <c r="O320" i="3" s="1"/>
  <c r="O321" i="3" a="1"/>
  <c r="O321" i="3" s="1"/>
  <c r="O322" i="3" a="1"/>
  <c r="O322" i="3" s="1"/>
  <c r="O323" i="3" a="1"/>
  <c r="O323" i="3" s="1"/>
  <c r="O324" i="3" a="1"/>
  <c r="O324" i="3" s="1"/>
  <c r="O325" i="3" a="1"/>
  <c r="O325" i="3" s="1"/>
  <c r="O326" i="3" a="1"/>
  <c r="O326" i="3" s="1"/>
  <c r="O327" i="3" a="1"/>
  <c r="O327" i="3" s="1"/>
  <c r="O328" i="3" a="1"/>
  <c r="O328" i="3" s="1"/>
  <c r="O329" i="3" a="1"/>
  <c r="O329" i="3" s="1"/>
  <c r="O330" i="3" a="1"/>
  <c r="O330" i="3" s="1"/>
  <c r="O331" i="3" a="1"/>
  <c r="O331" i="3" s="1"/>
  <c r="O332" i="3" a="1"/>
  <c r="O332" i="3" s="1"/>
  <c r="O333" i="3" a="1"/>
  <c r="O333" i="3" s="1"/>
  <c r="O334" i="3" a="1"/>
  <c r="O334" i="3" s="1"/>
  <c r="O335" i="3" a="1"/>
  <c r="O335" i="3" s="1"/>
  <c r="O336" i="3" a="1"/>
  <c r="O336" i="3" s="1"/>
  <c r="O337" i="3" a="1"/>
  <c r="O337" i="3" s="1"/>
  <c r="O338" i="3" a="1"/>
  <c r="O338" i="3" s="1"/>
  <c r="O339" i="3" a="1"/>
  <c r="O339" i="3" s="1"/>
  <c r="O340" i="3" a="1"/>
  <c r="O340" i="3" s="1"/>
  <c r="O341" i="3" a="1"/>
  <c r="O341" i="3" s="1"/>
  <c r="O342" i="3" a="1"/>
  <c r="O342" i="3" s="1"/>
  <c r="O343" i="3" a="1"/>
  <c r="O343" i="3" s="1"/>
  <c r="O344" i="3" a="1"/>
  <c r="O344" i="3" s="1"/>
  <c r="O345" i="3" a="1"/>
  <c r="O345" i="3" s="1"/>
  <c r="O346" i="3" a="1"/>
  <c r="O346" i="3" s="1"/>
  <c r="O347" i="3" a="1"/>
  <c r="O347" i="3" s="1"/>
  <c r="O348" i="3" a="1"/>
  <c r="O348" i="3" s="1"/>
  <c r="O349" i="3" a="1"/>
  <c r="O349" i="3" s="1"/>
  <c r="O350" i="3" a="1"/>
  <c r="O350" i="3" s="1"/>
  <c r="O351" i="3" a="1"/>
  <c r="O351" i="3" s="1"/>
  <c r="O352" i="3" a="1"/>
  <c r="O352" i="3" s="1"/>
  <c r="O353" i="3" a="1"/>
  <c r="O353" i="3" s="1"/>
  <c r="O354" i="3" a="1"/>
  <c r="O354" i="3" s="1"/>
  <c r="O355" i="3" a="1"/>
  <c r="O355" i="3" s="1"/>
  <c r="O356" i="3" a="1"/>
  <c r="O356" i="3" s="1"/>
  <c r="O357" i="3" a="1"/>
  <c r="O357" i="3" s="1"/>
  <c r="O358" i="3" a="1"/>
  <c r="O358" i="3" s="1"/>
  <c r="O359" i="3" a="1"/>
  <c r="O359" i="3" s="1"/>
  <c r="O360" i="3" a="1"/>
  <c r="O360" i="3" s="1"/>
  <c r="O361" i="3" a="1"/>
  <c r="O361" i="3" s="1"/>
  <c r="O362" i="3" a="1"/>
  <c r="O362" i="3" s="1"/>
  <c r="O363" i="3" a="1"/>
  <c r="O363" i="3" s="1"/>
  <c r="O364" i="3" a="1"/>
  <c r="O364" i="3" s="1"/>
  <c r="O365" i="3" a="1"/>
  <c r="O365" i="3" s="1"/>
  <c r="O366" i="3" a="1"/>
  <c r="O366" i="3" s="1"/>
  <c r="O367" i="3" a="1"/>
  <c r="O367" i="3" s="1"/>
  <c r="O368" i="3" a="1"/>
  <c r="O368" i="3" s="1"/>
  <c r="O369" i="3" a="1"/>
  <c r="O369" i="3" s="1"/>
  <c r="O370" i="3" a="1"/>
  <c r="O370" i="3" s="1"/>
  <c r="O371" i="3" a="1"/>
  <c r="O371" i="3" s="1"/>
  <c r="O372" i="3" a="1"/>
  <c r="O372" i="3" s="1"/>
  <c r="O373" i="3" a="1"/>
  <c r="O373" i="3" s="1"/>
  <c r="O374" i="3" a="1"/>
  <c r="O374" i="3" s="1"/>
  <c r="O375" i="3" a="1"/>
  <c r="O375" i="3" s="1"/>
  <c r="O376" i="3" a="1"/>
  <c r="O376" i="3" s="1"/>
  <c r="O377" i="3" a="1"/>
  <c r="O377" i="3" s="1"/>
  <c r="O378" i="3" a="1"/>
  <c r="O378" i="3" s="1"/>
  <c r="O379" i="3" a="1"/>
  <c r="O379" i="3" s="1"/>
  <c r="O380" i="3" a="1"/>
  <c r="O380" i="3" s="1"/>
  <c r="O381" i="3" a="1"/>
  <c r="O381" i="3" s="1"/>
  <c r="O382" i="3" a="1"/>
  <c r="O382" i="3" s="1"/>
  <c r="O383" i="3" a="1"/>
  <c r="O383" i="3" s="1"/>
  <c r="O384" i="3" a="1"/>
  <c r="O384" i="3" s="1"/>
  <c r="O385" i="3" a="1"/>
  <c r="O385" i="3" s="1"/>
  <c r="O386" i="3" a="1"/>
  <c r="O386" i="3" s="1"/>
  <c r="O387" i="3" a="1"/>
  <c r="O387" i="3" s="1"/>
  <c r="O388" i="3" a="1"/>
  <c r="O388" i="3" s="1"/>
  <c r="O389" i="3" a="1"/>
  <c r="O389" i="3" s="1"/>
  <c r="O390" i="3" a="1"/>
  <c r="O390" i="3" s="1"/>
  <c r="O391" i="3" a="1"/>
  <c r="O391" i="3" s="1"/>
  <c r="O392" i="3" a="1"/>
  <c r="O392" i="3" s="1"/>
  <c r="O393" i="3" a="1"/>
  <c r="O393" i="3" s="1"/>
  <c r="O394" i="3" a="1"/>
  <c r="O394" i="3" s="1"/>
  <c r="O395" i="3" a="1"/>
  <c r="O395" i="3" s="1"/>
  <c r="O396" i="3" a="1"/>
  <c r="O396" i="3" s="1"/>
  <c r="O397" i="3" a="1"/>
  <c r="O397" i="3" s="1"/>
  <c r="O398" i="3" a="1"/>
  <c r="O398" i="3" s="1"/>
  <c r="O399" i="3" a="1"/>
  <c r="O399" i="3" s="1"/>
  <c r="O400" i="3" a="1"/>
  <c r="O400" i="3" s="1"/>
  <c r="O401" i="3" a="1"/>
  <c r="O401" i="3" s="1"/>
  <c r="O402" i="3" a="1"/>
  <c r="O402" i="3" s="1"/>
  <c r="O403" i="3" a="1"/>
  <c r="O403" i="3" s="1"/>
  <c r="O404" i="3" a="1"/>
  <c r="O404" i="3" s="1"/>
  <c r="O405" i="3" a="1"/>
  <c r="O405" i="3" s="1"/>
  <c r="O406" i="3" a="1"/>
  <c r="O406" i="3" s="1"/>
  <c r="O407" i="3" a="1"/>
  <c r="O407" i="3" s="1"/>
  <c r="O408" i="3" a="1"/>
  <c r="O408" i="3" s="1"/>
  <c r="O409" i="3" a="1"/>
  <c r="O409" i="3" s="1"/>
  <c r="O410" i="3" a="1"/>
  <c r="O410" i="3" s="1"/>
  <c r="O411" i="3" a="1"/>
  <c r="O411" i="3" s="1"/>
  <c r="O412" i="3" a="1"/>
  <c r="O412" i="3" s="1"/>
  <c r="O413" i="3" a="1"/>
  <c r="O413" i="3" s="1"/>
  <c r="O414" i="3" a="1"/>
  <c r="O414" i="3" s="1"/>
  <c r="O415" i="3" a="1"/>
  <c r="O415" i="3" s="1"/>
  <c r="O416" i="3" a="1"/>
  <c r="O416" i="3" s="1"/>
  <c r="O417" i="3" a="1"/>
  <c r="O417" i="3" s="1"/>
  <c r="O418" i="3" a="1"/>
  <c r="O418" i="3" s="1"/>
  <c r="O419" i="3" a="1"/>
  <c r="O419" i="3" s="1"/>
  <c r="O420" i="3" a="1"/>
  <c r="O420" i="3" s="1"/>
  <c r="O421" i="3" a="1"/>
  <c r="O421" i="3" s="1"/>
  <c r="O422" i="3" a="1"/>
  <c r="O422" i="3" s="1"/>
  <c r="O423" i="3" a="1"/>
  <c r="O423" i="3" s="1"/>
  <c r="O424" i="3" a="1"/>
  <c r="O424" i="3" s="1"/>
  <c r="O425" i="3" a="1"/>
  <c r="O425" i="3" s="1"/>
  <c r="O426" i="3" a="1"/>
  <c r="O426" i="3" s="1"/>
  <c r="O427" i="3" a="1"/>
  <c r="O427" i="3" s="1"/>
  <c r="O428" i="3" a="1"/>
  <c r="O428" i="3" s="1"/>
  <c r="O429" i="3" a="1"/>
  <c r="O429" i="3" s="1"/>
  <c r="O430" i="3" a="1"/>
  <c r="O430" i="3" s="1"/>
  <c r="O431" i="3" a="1"/>
  <c r="O431" i="3" s="1"/>
  <c r="O432" i="3" a="1"/>
  <c r="O432" i="3" s="1"/>
  <c r="O433" i="3" a="1"/>
  <c r="O433" i="3" s="1"/>
  <c r="O434" i="3" a="1"/>
  <c r="O434" i="3" s="1"/>
  <c r="O435" i="3" a="1"/>
  <c r="O435" i="3" s="1"/>
  <c r="O436" i="3" a="1"/>
  <c r="O436" i="3" s="1"/>
  <c r="O437" i="3" a="1"/>
  <c r="O437" i="3" s="1"/>
  <c r="O438" i="3" a="1"/>
  <c r="O438" i="3" s="1"/>
  <c r="O439" i="3" a="1"/>
  <c r="O439" i="3" s="1"/>
  <c r="O440" i="3" a="1"/>
  <c r="O440" i="3" s="1"/>
  <c r="O441" i="3" a="1"/>
  <c r="O441" i="3" s="1"/>
  <c r="O442" i="3" a="1"/>
  <c r="O442" i="3" s="1"/>
  <c r="O443" i="3" a="1"/>
  <c r="O443" i="3" s="1"/>
  <c r="O444" i="3" a="1"/>
  <c r="O444" i="3" s="1"/>
  <c r="O445" i="3" a="1"/>
  <c r="O445" i="3" s="1"/>
  <c r="O446" i="3" a="1"/>
  <c r="O446" i="3" s="1"/>
  <c r="O447" i="3" a="1"/>
  <c r="O447" i="3" s="1"/>
  <c r="O448" i="3" a="1"/>
  <c r="O448" i="3" s="1"/>
  <c r="O449" i="3" a="1"/>
  <c r="O449" i="3" s="1"/>
  <c r="O450" i="3" a="1"/>
  <c r="O450" i="3" s="1"/>
  <c r="O451" i="3" a="1"/>
  <c r="O451" i="3" s="1"/>
  <c r="O452" i="3" a="1"/>
  <c r="O452" i="3" s="1"/>
  <c r="O453" i="3" a="1"/>
  <c r="O453" i="3" s="1"/>
  <c r="O454" i="3" a="1"/>
  <c r="O454" i="3" s="1"/>
  <c r="O455" i="3" a="1"/>
  <c r="O455" i="3" s="1"/>
  <c r="O456" i="3" a="1"/>
  <c r="O456" i="3" s="1"/>
  <c r="O457" i="3" a="1"/>
  <c r="O457" i="3" s="1"/>
  <c r="O458" i="3" a="1"/>
  <c r="O458" i="3" s="1"/>
  <c r="O459" i="3" a="1"/>
  <c r="O459" i="3" s="1"/>
  <c r="O460" i="3" a="1"/>
  <c r="O460" i="3" s="1"/>
  <c r="O461" i="3" a="1"/>
  <c r="O461" i="3" s="1"/>
  <c r="O462" i="3" a="1"/>
  <c r="O462" i="3" s="1"/>
  <c r="O463" i="3" a="1"/>
  <c r="O463" i="3" s="1"/>
  <c r="O464" i="3" a="1"/>
  <c r="O464" i="3" s="1"/>
  <c r="O465" i="3" a="1"/>
  <c r="O465" i="3" s="1"/>
  <c r="O466" i="3" a="1"/>
  <c r="O466" i="3" s="1"/>
  <c r="O467" i="3" a="1"/>
  <c r="O467" i="3" s="1"/>
  <c r="O468" i="3" a="1"/>
  <c r="O468" i="3" s="1"/>
  <c r="O469" i="3" a="1"/>
  <c r="O469" i="3" s="1"/>
  <c r="O470" i="3" a="1"/>
  <c r="O470" i="3" s="1"/>
  <c r="O471" i="3" a="1"/>
  <c r="O471" i="3" s="1"/>
  <c r="O472" i="3" a="1"/>
  <c r="O472" i="3" s="1"/>
  <c r="O473" i="3" a="1"/>
  <c r="O473" i="3" s="1"/>
  <c r="O474" i="3" a="1"/>
  <c r="O474" i="3" s="1"/>
  <c r="O475" i="3" a="1"/>
  <c r="O475" i="3" s="1"/>
  <c r="O476" i="3" a="1"/>
  <c r="O476" i="3" s="1"/>
  <c r="O477" i="3" a="1"/>
  <c r="O477" i="3" s="1"/>
  <c r="O478" i="3" a="1"/>
  <c r="O478" i="3" s="1"/>
  <c r="O479" i="3" a="1"/>
  <c r="O479" i="3" s="1"/>
  <c r="O480" i="3" a="1"/>
  <c r="O480" i="3" s="1"/>
  <c r="O481" i="3" a="1"/>
  <c r="O481" i="3" s="1"/>
  <c r="O482" i="3" a="1"/>
  <c r="O482" i="3" s="1"/>
  <c r="O483" i="3" a="1"/>
  <c r="O483" i="3" s="1"/>
  <c r="O484" i="3" a="1"/>
  <c r="O484" i="3" s="1"/>
  <c r="O485" i="3" a="1"/>
  <c r="O485" i="3" s="1"/>
  <c r="O486" i="3" a="1"/>
  <c r="O486" i="3" s="1"/>
  <c r="O487" i="3" a="1"/>
  <c r="O487" i="3" s="1"/>
  <c r="O488" i="3" a="1"/>
  <c r="O488" i="3" s="1"/>
  <c r="O489" i="3" a="1"/>
  <c r="O489" i="3" s="1"/>
  <c r="O490" i="3" a="1"/>
  <c r="O490" i="3" s="1"/>
  <c r="O491" i="3" a="1"/>
  <c r="O491" i="3" s="1"/>
  <c r="O492" i="3" a="1"/>
  <c r="O492" i="3" s="1"/>
  <c r="O493" i="3" a="1"/>
  <c r="O493" i="3" s="1"/>
  <c r="O494" i="3" a="1"/>
  <c r="O494" i="3" s="1"/>
  <c r="O495" i="3" a="1"/>
  <c r="O495" i="3" s="1"/>
  <c r="O496" i="3" a="1"/>
  <c r="O496" i="3" s="1"/>
  <c r="O497" i="3" a="1"/>
  <c r="O497" i="3" s="1"/>
  <c r="O498" i="3" a="1"/>
  <c r="O498" i="3" s="1"/>
  <c r="O499" i="3" a="1"/>
  <c r="O499" i="3" s="1"/>
  <c r="O500" i="3" a="1"/>
  <c r="O500" i="3" s="1"/>
  <c r="O501" i="3" a="1"/>
  <c r="O501" i="3" s="1"/>
  <c r="O502" i="3" a="1"/>
  <c r="O502" i="3" s="1"/>
  <c r="O503" i="3" a="1"/>
  <c r="O503" i="3" s="1"/>
  <c r="O504" i="3" a="1"/>
  <c r="O504" i="3" s="1"/>
  <c r="O505" i="3" a="1"/>
  <c r="O505" i="3" s="1"/>
  <c r="O506" i="3" a="1"/>
  <c r="O506" i="3" s="1"/>
  <c r="O507" i="3" a="1"/>
  <c r="O507" i="3" s="1"/>
  <c r="O508" i="3" a="1"/>
  <c r="O508" i="3" s="1"/>
  <c r="O509" i="3" a="1"/>
  <c r="O509" i="3" s="1"/>
  <c r="O510" i="3" a="1"/>
  <c r="O510" i="3" s="1"/>
  <c r="O511" i="3" a="1"/>
  <c r="O511" i="3" s="1"/>
  <c r="O512" i="3" a="1"/>
  <c r="O512" i="3" s="1"/>
  <c r="O513" i="3" a="1"/>
  <c r="O513" i="3" s="1"/>
  <c r="O514" i="3" a="1"/>
  <c r="O514" i="3" s="1"/>
  <c r="O515" i="3" a="1"/>
  <c r="O515" i="3" s="1"/>
  <c r="O516" i="3" a="1"/>
  <c r="O516" i="3" s="1"/>
  <c r="O517" i="3" a="1"/>
  <c r="O517" i="3" s="1"/>
  <c r="O518" i="3" a="1"/>
  <c r="O518" i="3" s="1"/>
  <c r="O519" i="3" a="1"/>
  <c r="O519" i="3" s="1"/>
  <c r="O520" i="3" a="1"/>
  <c r="O520" i="3" s="1"/>
  <c r="O521" i="3" a="1"/>
  <c r="O521" i="3" s="1"/>
  <c r="O522" i="3" a="1"/>
  <c r="O522" i="3" s="1"/>
  <c r="O523" i="3" a="1"/>
  <c r="O523" i="3" s="1"/>
  <c r="O524" i="3" a="1"/>
  <c r="O524" i="3" s="1"/>
  <c r="O525" i="3" a="1"/>
  <c r="O525" i="3" s="1"/>
  <c r="O526" i="3" a="1"/>
  <c r="O526" i="3" s="1"/>
  <c r="O527" i="3" a="1"/>
  <c r="O527" i="3" s="1"/>
  <c r="O528" i="3" a="1"/>
  <c r="O528" i="3" s="1"/>
  <c r="O529" i="3" a="1"/>
  <c r="O529" i="3" s="1"/>
  <c r="O530" i="3" a="1"/>
  <c r="O530" i="3" s="1"/>
  <c r="O531" i="3" a="1"/>
  <c r="O531" i="3" s="1"/>
  <c r="O532" i="3" a="1"/>
  <c r="O532" i="3" s="1"/>
  <c r="O533" i="3" a="1"/>
  <c r="O533" i="3" s="1"/>
  <c r="O534" i="3" a="1"/>
  <c r="O534" i="3" s="1"/>
  <c r="O535" i="3" a="1"/>
  <c r="O535" i="3" s="1"/>
  <c r="O536" i="3" a="1"/>
  <c r="O536" i="3" s="1"/>
  <c r="O537" i="3" a="1"/>
  <c r="O537" i="3" s="1"/>
  <c r="O538" i="3" a="1"/>
  <c r="O538" i="3" s="1"/>
  <c r="O539" i="3" a="1"/>
  <c r="O539" i="3" s="1"/>
  <c r="O540" i="3" a="1"/>
  <c r="O540" i="3" s="1"/>
  <c r="O541" i="3" a="1"/>
  <c r="O541" i="3" s="1"/>
  <c r="O542" i="3" a="1"/>
  <c r="O542" i="3" s="1"/>
  <c r="O543" i="3" a="1"/>
  <c r="O543" i="3" s="1"/>
  <c r="O544" i="3" a="1"/>
  <c r="O544" i="3" s="1"/>
  <c r="O545" i="3" a="1"/>
  <c r="O545" i="3" s="1"/>
  <c r="O546" i="3" a="1"/>
  <c r="O546" i="3" s="1"/>
  <c r="O547" i="3" a="1"/>
  <c r="O547" i="3" s="1"/>
  <c r="O548" i="3" a="1"/>
  <c r="O548" i="3" s="1"/>
  <c r="O549" i="3" a="1"/>
  <c r="O549" i="3" s="1"/>
  <c r="O550" i="3" a="1"/>
  <c r="O550" i="3" s="1"/>
  <c r="O551" i="3" a="1"/>
  <c r="O551" i="3" s="1"/>
  <c r="O552" i="3" a="1"/>
  <c r="O552" i="3" s="1"/>
  <c r="O553" i="3" a="1"/>
  <c r="O553" i="3" s="1"/>
  <c r="O554" i="3" a="1"/>
  <c r="O554" i="3" s="1"/>
  <c r="O555" i="3" a="1"/>
  <c r="O555" i="3" s="1"/>
  <c r="O556" i="3" a="1"/>
  <c r="O556" i="3" s="1"/>
  <c r="O557" i="3" a="1"/>
  <c r="O557" i="3" s="1"/>
  <c r="O558" i="3" a="1"/>
  <c r="O558" i="3" s="1"/>
  <c r="O559" i="3" a="1"/>
  <c r="O559" i="3" s="1"/>
  <c r="O560" i="3" a="1"/>
  <c r="O560" i="3" s="1"/>
  <c r="O561" i="3" a="1"/>
  <c r="O561" i="3" s="1"/>
  <c r="O562" i="3" a="1"/>
  <c r="O562" i="3" s="1"/>
  <c r="O563" i="3" a="1"/>
  <c r="O563" i="3" s="1"/>
  <c r="O564" i="3" a="1"/>
  <c r="O564" i="3" s="1"/>
  <c r="O565" i="3" a="1"/>
  <c r="O565" i="3" s="1"/>
  <c r="O566" i="3" a="1"/>
  <c r="O566" i="3" s="1"/>
  <c r="O567" i="3" a="1"/>
  <c r="O567" i="3" s="1"/>
  <c r="O568" i="3" a="1"/>
  <c r="O568" i="3" s="1"/>
  <c r="O569" i="3" a="1"/>
  <c r="O569" i="3" s="1"/>
  <c r="O570" i="3" a="1"/>
  <c r="O570" i="3" s="1"/>
  <c r="O571" i="3" a="1"/>
  <c r="O571" i="3" s="1"/>
  <c r="O572" i="3" a="1"/>
  <c r="O572" i="3" s="1"/>
  <c r="O573" i="3" a="1"/>
  <c r="O573" i="3" s="1"/>
  <c r="O574" i="3" a="1"/>
  <c r="O574" i="3" s="1"/>
  <c r="O575" i="3" a="1"/>
  <c r="O575" i="3" s="1"/>
  <c r="O576" i="3" a="1"/>
  <c r="O576" i="3" s="1"/>
  <c r="O577" i="3" a="1"/>
  <c r="O577" i="3" s="1"/>
  <c r="O578" i="3" a="1"/>
  <c r="O578" i="3" s="1"/>
  <c r="O579" i="3" a="1"/>
  <c r="O579" i="3" s="1"/>
  <c r="O580" i="3" a="1"/>
  <c r="O580" i="3" s="1"/>
  <c r="O581" i="3" a="1"/>
  <c r="O581" i="3" s="1"/>
  <c r="O582" i="3" a="1"/>
  <c r="O582" i="3" s="1"/>
  <c r="O583" i="3" a="1"/>
  <c r="O583" i="3" s="1"/>
  <c r="O584" i="3" a="1"/>
  <c r="O584" i="3" s="1"/>
  <c r="O585" i="3" a="1"/>
  <c r="O585" i="3" s="1"/>
  <c r="O586" i="3" a="1"/>
  <c r="O586" i="3" s="1"/>
  <c r="O587" i="3" a="1"/>
  <c r="O587" i="3" s="1"/>
  <c r="O588" i="3" a="1"/>
  <c r="O588" i="3" s="1"/>
  <c r="O589" i="3" a="1"/>
  <c r="O589" i="3" s="1"/>
  <c r="O590" i="3" a="1"/>
  <c r="O590" i="3" s="1"/>
  <c r="O591" i="3" a="1"/>
  <c r="O591" i="3" s="1"/>
  <c r="O592" i="3" a="1"/>
  <c r="O592" i="3" s="1"/>
  <c r="O593" i="3" a="1"/>
  <c r="O593" i="3" s="1"/>
  <c r="O594" i="3" a="1"/>
  <c r="O594" i="3" s="1"/>
  <c r="O595" i="3" a="1"/>
  <c r="O595" i="3" s="1"/>
  <c r="O596" i="3" a="1"/>
  <c r="O596" i="3" s="1"/>
  <c r="O597" i="3" a="1"/>
  <c r="O597" i="3" s="1"/>
  <c r="O598" i="3" a="1"/>
  <c r="O598" i="3" s="1"/>
  <c r="O599" i="3" a="1"/>
  <c r="O599" i="3" s="1"/>
  <c r="O600" i="3" a="1"/>
  <c r="O600" i="3" s="1"/>
  <c r="O601" i="3" a="1"/>
  <c r="O601" i="3" s="1"/>
  <c r="O602" i="3" a="1"/>
  <c r="O602" i="3" s="1"/>
  <c r="O603" i="3" a="1"/>
  <c r="O603" i="3" s="1"/>
  <c r="O604" i="3" a="1"/>
  <c r="O604" i="3" s="1"/>
  <c r="O605" i="3" a="1"/>
  <c r="O605" i="3" s="1"/>
  <c r="O606" i="3" a="1"/>
  <c r="O606" i="3" s="1"/>
  <c r="O607" i="3" a="1"/>
  <c r="O607" i="3" s="1"/>
  <c r="O608" i="3" a="1"/>
  <c r="O608" i="3" s="1"/>
  <c r="O609" i="3" a="1"/>
  <c r="O609" i="3" s="1"/>
  <c r="O610" i="3" a="1"/>
  <c r="O610" i="3" s="1"/>
  <c r="O611" i="3" a="1"/>
  <c r="O611" i="3" s="1"/>
  <c r="O612" i="3" a="1"/>
  <c r="O612" i="3" s="1"/>
  <c r="O613" i="3" a="1"/>
  <c r="O613" i="3" s="1"/>
  <c r="O614" i="3" a="1"/>
  <c r="O614" i="3" s="1"/>
  <c r="O615" i="3" a="1"/>
  <c r="O615" i="3" s="1"/>
  <c r="O616" i="3" a="1"/>
  <c r="O616" i="3" s="1"/>
  <c r="O617" i="3" a="1"/>
  <c r="O617" i="3" s="1"/>
  <c r="O618" i="3" a="1"/>
  <c r="O618" i="3" s="1"/>
  <c r="O619" i="3" a="1"/>
  <c r="O619" i="3" s="1"/>
  <c r="O620" i="3" a="1"/>
  <c r="O620" i="3" s="1"/>
  <c r="O621" i="3" a="1"/>
  <c r="O621" i="3" s="1"/>
  <c r="O622" i="3" a="1"/>
  <c r="O622" i="3" s="1"/>
  <c r="O623" i="3" a="1"/>
  <c r="O623" i="3" s="1"/>
  <c r="O624" i="3" a="1"/>
  <c r="O624" i="3" s="1"/>
  <c r="O625" i="3" a="1"/>
  <c r="O625" i="3" s="1"/>
  <c r="O626" i="3" a="1"/>
  <c r="O626" i="3" s="1"/>
  <c r="O627" i="3" a="1"/>
  <c r="O627" i="3" s="1"/>
  <c r="O628" i="3" a="1"/>
  <c r="O628" i="3" s="1"/>
  <c r="O629" i="3" a="1"/>
  <c r="O629" i="3" s="1"/>
  <c r="O630" i="3" a="1"/>
  <c r="O630" i="3" s="1"/>
  <c r="O631" i="3" a="1"/>
  <c r="O631" i="3" s="1"/>
  <c r="O632" i="3" a="1"/>
  <c r="O632" i="3" s="1"/>
  <c r="O3" i="3" a="1"/>
  <c r="O3" i="3" s="1"/>
  <c r="O4" i="3" a="1"/>
  <c r="O4" i="3" s="1"/>
  <c r="O5" i="3" a="1"/>
  <c r="O5" i="3" s="1"/>
  <c r="O2" i="3" a="1"/>
  <c r="O2" i="3" s="1"/>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2" i="3"/>
  <c r="F3" i="3"/>
  <c r="G3" i="3" s="1"/>
  <c r="F4" i="3"/>
  <c r="G4" i="3" s="1"/>
  <c r="F5" i="3"/>
  <c r="G5" i="3" s="1"/>
  <c r="F6" i="3"/>
  <c r="G6" i="3" s="1"/>
  <c r="F7" i="3"/>
  <c r="G7" i="3" s="1"/>
  <c r="F8" i="3"/>
  <c r="G8" i="3" s="1"/>
  <c r="F9" i="3"/>
  <c r="G9" i="3" s="1"/>
  <c r="F10" i="3"/>
  <c r="G10" i="3" s="1"/>
  <c r="F11" i="3"/>
  <c r="G11" i="3" s="1"/>
  <c r="F12" i="3"/>
  <c r="G12" i="3" s="1"/>
  <c r="F13" i="3"/>
  <c r="G13" i="3" s="1"/>
  <c r="F14" i="3"/>
  <c r="G14" i="3" s="1"/>
  <c r="F15" i="3"/>
  <c r="G15" i="3" s="1"/>
  <c r="F16" i="3"/>
  <c r="G16" i="3" s="1"/>
  <c r="F17" i="3"/>
  <c r="G17" i="3" s="1"/>
  <c r="F18" i="3"/>
  <c r="G18" i="3" s="1"/>
  <c r="F19" i="3"/>
  <c r="G19" i="3" s="1"/>
  <c r="F20" i="3"/>
  <c r="G20" i="3" s="1"/>
  <c r="F21" i="3"/>
  <c r="G21" i="3" s="1"/>
  <c r="F22" i="3"/>
  <c r="G22" i="3" s="1"/>
  <c r="F23" i="3"/>
  <c r="G23" i="3" s="1"/>
  <c r="F24" i="3"/>
  <c r="G24" i="3" s="1"/>
  <c r="F25" i="3"/>
  <c r="G25" i="3" s="1"/>
  <c r="F26" i="3"/>
  <c r="G26" i="3" s="1"/>
  <c r="F27" i="3"/>
  <c r="G27" i="3" s="1"/>
  <c r="F28" i="3"/>
  <c r="G28" i="3" s="1"/>
  <c r="F29" i="3"/>
  <c r="G29" i="3" s="1"/>
  <c r="F30" i="3"/>
  <c r="G30" i="3" s="1"/>
  <c r="F31" i="3"/>
  <c r="G31" i="3" s="1"/>
  <c r="F32" i="3"/>
  <c r="G32" i="3" s="1"/>
  <c r="F33" i="3"/>
  <c r="G33" i="3" s="1"/>
  <c r="F34" i="3"/>
  <c r="G34" i="3" s="1"/>
  <c r="F35" i="3"/>
  <c r="G35" i="3" s="1"/>
  <c r="F36" i="3"/>
  <c r="G36" i="3" s="1"/>
  <c r="F37" i="3"/>
  <c r="G37" i="3" s="1"/>
  <c r="F38" i="3"/>
  <c r="G38" i="3" s="1"/>
  <c r="F39" i="3"/>
  <c r="G39" i="3" s="1"/>
  <c r="F40" i="3"/>
  <c r="G40" i="3" s="1"/>
  <c r="F41" i="3"/>
  <c r="G41" i="3" s="1"/>
  <c r="F42" i="3"/>
  <c r="G42" i="3" s="1"/>
  <c r="F43" i="3"/>
  <c r="G43" i="3" s="1"/>
  <c r="F44" i="3"/>
  <c r="G44" i="3" s="1"/>
  <c r="F45" i="3"/>
  <c r="G45" i="3" s="1"/>
  <c r="F46" i="3"/>
  <c r="G46" i="3" s="1"/>
  <c r="F47" i="3"/>
  <c r="G47" i="3" s="1"/>
  <c r="F48" i="3"/>
  <c r="G48" i="3" s="1"/>
  <c r="F49" i="3"/>
  <c r="G49" i="3" s="1"/>
  <c r="F50" i="3"/>
  <c r="G50" i="3" s="1"/>
  <c r="F51" i="3"/>
  <c r="G51" i="3" s="1"/>
  <c r="F52" i="3"/>
  <c r="G52" i="3" s="1"/>
  <c r="F53" i="3"/>
  <c r="G53" i="3" s="1"/>
  <c r="F54" i="3"/>
  <c r="G54" i="3" s="1"/>
  <c r="F55" i="3"/>
  <c r="G55" i="3" s="1"/>
  <c r="F56" i="3"/>
  <c r="G56" i="3" s="1"/>
  <c r="F57" i="3"/>
  <c r="G57" i="3" s="1"/>
  <c r="F58" i="3"/>
  <c r="G58" i="3" s="1"/>
  <c r="F59" i="3"/>
  <c r="G59" i="3" s="1"/>
  <c r="F60" i="3"/>
  <c r="G60" i="3" s="1"/>
  <c r="F61" i="3"/>
  <c r="G61" i="3" s="1"/>
  <c r="F62" i="3"/>
  <c r="G62" i="3" s="1"/>
  <c r="F63" i="3"/>
  <c r="G63" i="3" s="1"/>
  <c r="F64" i="3"/>
  <c r="G64" i="3" s="1"/>
  <c r="F65" i="3"/>
  <c r="G65" i="3" s="1"/>
  <c r="F66" i="3"/>
  <c r="G66" i="3" s="1"/>
  <c r="F67" i="3"/>
  <c r="G67" i="3" s="1"/>
  <c r="F68" i="3"/>
  <c r="G68" i="3" s="1"/>
  <c r="F69" i="3"/>
  <c r="G69" i="3" s="1"/>
  <c r="F70" i="3"/>
  <c r="G70" i="3" s="1"/>
  <c r="F71" i="3"/>
  <c r="G71" i="3" s="1"/>
  <c r="F72" i="3"/>
  <c r="G72" i="3" s="1"/>
  <c r="F73" i="3"/>
  <c r="G73" i="3" s="1"/>
  <c r="F74" i="3"/>
  <c r="G74" i="3" s="1"/>
  <c r="F75" i="3"/>
  <c r="G75" i="3" s="1"/>
  <c r="F76" i="3"/>
  <c r="G76" i="3" s="1"/>
  <c r="F77" i="3"/>
  <c r="G77" i="3" s="1"/>
  <c r="F78" i="3"/>
  <c r="G78" i="3" s="1"/>
  <c r="F79" i="3"/>
  <c r="G79" i="3" s="1"/>
  <c r="F80" i="3"/>
  <c r="G80" i="3" s="1"/>
  <c r="F81" i="3"/>
  <c r="G81" i="3" s="1"/>
  <c r="F82" i="3"/>
  <c r="G82" i="3" s="1"/>
  <c r="F83" i="3"/>
  <c r="G83" i="3" s="1"/>
  <c r="F84" i="3"/>
  <c r="G84" i="3" s="1"/>
  <c r="F85" i="3"/>
  <c r="G85" i="3" s="1"/>
  <c r="F86" i="3"/>
  <c r="G86" i="3" s="1"/>
  <c r="F87" i="3"/>
  <c r="G87" i="3" s="1"/>
  <c r="F88" i="3"/>
  <c r="G88" i="3" s="1"/>
  <c r="F89" i="3"/>
  <c r="G89" i="3" s="1"/>
  <c r="F90" i="3"/>
  <c r="G90" i="3" s="1"/>
  <c r="F91" i="3"/>
  <c r="G91" i="3" s="1"/>
  <c r="F92" i="3"/>
  <c r="G92" i="3" s="1"/>
  <c r="F93" i="3"/>
  <c r="G93" i="3" s="1"/>
  <c r="F94" i="3"/>
  <c r="G94" i="3" s="1"/>
  <c r="F95" i="3"/>
  <c r="G95" i="3" s="1"/>
  <c r="F96" i="3"/>
  <c r="G96" i="3" s="1"/>
  <c r="F97" i="3"/>
  <c r="G97" i="3" s="1"/>
  <c r="F98" i="3"/>
  <c r="G98" i="3" s="1"/>
  <c r="F99" i="3"/>
  <c r="G99" i="3" s="1"/>
  <c r="F100" i="3"/>
  <c r="G100" i="3" s="1"/>
  <c r="F101" i="3"/>
  <c r="G101" i="3" s="1"/>
  <c r="F102" i="3"/>
  <c r="G102" i="3" s="1"/>
  <c r="F103" i="3"/>
  <c r="G103" i="3" s="1"/>
  <c r="F104" i="3"/>
  <c r="G104" i="3" s="1"/>
  <c r="F105" i="3"/>
  <c r="G105" i="3" s="1"/>
  <c r="F106" i="3"/>
  <c r="G106" i="3" s="1"/>
  <c r="F107" i="3"/>
  <c r="G107" i="3" s="1"/>
  <c r="F108" i="3"/>
  <c r="G108" i="3" s="1"/>
  <c r="F109" i="3"/>
  <c r="G109" i="3" s="1"/>
  <c r="F110" i="3"/>
  <c r="G110" i="3" s="1"/>
  <c r="F111" i="3"/>
  <c r="G111" i="3" s="1"/>
  <c r="F112" i="3"/>
  <c r="G112" i="3" s="1"/>
  <c r="F113" i="3"/>
  <c r="G113" i="3" s="1"/>
  <c r="F114" i="3"/>
  <c r="G114" i="3" s="1"/>
  <c r="F115" i="3"/>
  <c r="G115" i="3" s="1"/>
  <c r="F116" i="3"/>
  <c r="G116" i="3" s="1"/>
  <c r="F117" i="3"/>
  <c r="G117" i="3" s="1"/>
  <c r="F118" i="3"/>
  <c r="G118" i="3" s="1"/>
  <c r="F119" i="3"/>
  <c r="G119" i="3" s="1"/>
  <c r="F120" i="3"/>
  <c r="G120" i="3" s="1"/>
  <c r="F121" i="3"/>
  <c r="G121" i="3" s="1"/>
  <c r="F122" i="3"/>
  <c r="G122" i="3" s="1"/>
  <c r="F123" i="3"/>
  <c r="G123" i="3" s="1"/>
  <c r="F124" i="3"/>
  <c r="G124" i="3" s="1"/>
  <c r="F125" i="3"/>
  <c r="G125" i="3" s="1"/>
  <c r="F126" i="3"/>
  <c r="G126" i="3" s="1"/>
  <c r="F127" i="3"/>
  <c r="G127" i="3" s="1"/>
  <c r="F128" i="3"/>
  <c r="G128" i="3" s="1"/>
  <c r="F129" i="3"/>
  <c r="G129" i="3" s="1"/>
  <c r="F130" i="3"/>
  <c r="G130" i="3" s="1"/>
  <c r="F131" i="3"/>
  <c r="G131" i="3" s="1"/>
  <c r="F132" i="3"/>
  <c r="G132" i="3" s="1"/>
  <c r="F133" i="3"/>
  <c r="G133" i="3" s="1"/>
  <c r="F134" i="3"/>
  <c r="G134" i="3" s="1"/>
  <c r="F135" i="3"/>
  <c r="G135" i="3" s="1"/>
  <c r="F136" i="3"/>
  <c r="G136" i="3" s="1"/>
  <c r="F137" i="3"/>
  <c r="G137" i="3" s="1"/>
  <c r="F138" i="3"/>
  <c r="G138" i="3" s="1"/>
  <c r="F139" i="3"/>
  <c r="G139" i="3" s="1"/>
  <c r="F140" i="3"/>
  <c r="G140" i="3" s="1"/>
  <c r="F141" i="3"/>
  <c r="G141" i="3" s="1"/>
  <c r="F142" i="3"/>
  <c r="G142" i="3" s="1"/>
  <c r="F143" i="3"/>
  <c r="G143" i="3" s="1"/>
  <c r="F144" i="3"/>
  <c r="G144" i="3" s="1"/>
  <c r="F145" i="3"/>
  <c r="G145" i="3" s="1"/>
  <c r="F146" i="3"/>
  <c r="G146" i="3" s="1"/>
  <c r="F147" i="3"/>
  <c r="G147" i="3" s="1"/>
  <c r="F148" i="3"/>
  <c r="G148" i="3" s="1"/>
  <c r="F149" i="3"/>
  <c r="G149" i="3" s="1"/>
  <c r="F150" i="3"/>
  <c r="G150" i="3" s="1"/>
  <c r="F151" i="3"/>
  <c r="G151" i="3" s="1"/>
  <c r="F152" i="3"/>
  <c r="G152" i="3" s="1"/>
  <c r="F153" i="3"/>
  <c r="G153" i="3" s="1"/>
  <c r="F154" i="3"/>
  <c r="G154" i="3" s="1"/>
  <c r="F155" i="3"/>
  <c r="G155" i="3" s="1"/>
  <c r="F156" i="3"/>
  <c r="G156" i="3" s="1"/>
  <c r="F157" i="3"/>
  <c r="G157" i="3" s="1"/>
  <c r="F158" i="3"/>
  <c r="G158" i="3" s="1"/>
  <c r="F159" i="3"/>
  <c r="G159" i="3" s="1"/>
  <c r="F160" i="3"/>
  <c r="G160" i="3" s="1"/>
  <c r="F161" i="3"/>
  <c r="G161" i="3" s="1"/>
  <c r="F162" i="3"/>
  <c r="G162" i="3" s="1"/>
  <c r="F163" i="3"/>
  <c r="G163" i="3" s="1"/>
  <c r="F164" i="3"/>
  <c r="G164" i="3" s="1"/>
  <c r="F165" i="3"/>
  <c r="G165" i="3" s="1"/>
  <c r="F166" i="3"/>
  <c r="G166" i="3" s="1"/>
  <c r="F167" i="3"/>
  <c r="G167" i="3" s="1"/>
  <c r="F168" i="3"/>
  <c r="G168" i="3" s="1"/>
  <c r="F169" i="3"/>
  <c r="G169" i="3" s="1"/>
  <c r="F170" i="3"/>
  <c r="G170" i="3" s="1"/>
  <c r="F171" i="3"/>
  <c r="G171" i="3" s="1"/>
  <c r="F172" i="3"/>
  <c r="G172" i="3" s="1"/>
  <c r="F173" i="3"/>
  <c r="G173" i="3" s="1"/>
  <c r="F174" i="3"/>
  <c r="G174" i="3" s="1"/>
  <c r="F175" i="3"/>
  <c r="G175" i="3" s="1"/>
  <c r="F176" i="3"/>
  <c r="G176" i="3" s="1"/>
  <c r="F177" i="3"/>
  <c r="G177" i="3" s="1"/>
  <c r="F178" i="3"/>
  <c r="G178" i="3" s="1"/>
  <c r="F179" i="3"/>
  <c r="G179" i="3" s="1"/>
  <c r="F180" i="3"/>
  <c r="G180" i="3" s="1"/>
  <c r="F181" i="3"/>
  <c r="G181" i="3" s="1"/>
  <c r="F182" i="3"/>
  <c r="G182" i="3" s="1"/>
  <c r="F183" i="3"/>
  <c r="G183" i="3" s="1"/>
  <c r="F184" i="3"/>
  <c r="G184" i="3" s="1"/>
  <c r="F185" i="3"/>
  <c r="G185" i="3" s="1"/>
  <c r="F186" i="3"/>
  <c r="G186" i="3" s="1"/>
  <c r="F187" i="3"/>
  <c r="G187" i="3" s="1"/>
  <c r="F188" i="3"/>
  <c r="G188" i="3" s="1"/>
  <c r="F189" i="3"/>
  <c r="G189" i="3" s="1"/>
  <c r="F190" i="3"/>
  <c r="G190" i="3" s="1"/>
  <c r="F191" i="3"/>
  <c r="G191" i="3" s="1"/>
  <c r="F192" i="3"/>
  <c r="G192" i="3" s="1"/>
  <c r="F193" i="3"/>
  <c r="G193" i="3" s="1"/>
  <c r="F194" i="3"/>
  <c r="G194" i="3" s="1"/>
  <c r="F195" i="3"/>
  <c r="G195" i="3" s="1"/>
  <c r="F196" i="3"/>
  <c r="G196" i="3" s="1"/>
  <c r="F197" i="3"/>
  <c r="G197" i="3" s="1"/>
  <c r="F198" i="3"/>
  <c r="G198" i="3" s="1"/>
  <c r="F199" i="3"/>
  <c r="G199" i="3" s="1"/>
  <c r="F200" i="3"/>
  <c r="G200" i="3" s="1"/>
  <c r="F201" i="3"/>
  <c r="G201" i="3" s="1"/>
  <c r="F202" i="3"/>
  <c r="G202" i="3" s="1"/>
  <c r="F203" i="3"/>
  <c r="G203" i="3" s="1"/>
  <c r="F204" i="3"/>
  <c r="G204" i="3" s="1"/>
  <c r="F205" i="3"/>
  <c r="G205" i="3" s="1"/>
  <c r="F206" i="3"/>
  <c r="G206" i="3" s="1"/>
  <c r="F207" i="3"/>
  <c r="G207" i="3" s="1"/>
  <c r="F208" i="3"/>
  <c r="G208" i="3" s="1"/>
  <c r="F209" i="3"/>
  <c r="G209" i="3" s="1"/>
  <c r="F210" i="3"/>
  <c r="G210" i="3" s="1"/>
  <c r="F211" i="3"/>
  <c r="G211" i="3" s="1"/>
  <c r="F212" i="3"/>
  <c r="G212" i="3" s="1"/>
  <c r="F213" i="3"/>
  <c r="G213" i="3" s="1"/>
  <c r="F214" i="3"/>
  <c r="G214" i="3" s="1"/>
  <c r="F215" i="3"/>
  <c r="G215" i="3" s="1"/>
  <c r="F216" i="3"/>
  <c r="G216" i="3" s="1"/>
  <c r="F217" i="3"/>
  <c r="G217" i="3" s="1"/>
  <c r="F218" i="3"/>
  <c r="G218" i="3" s="1"/>
  <c r="F219" i="3"/>
  <c r="G219" i="3" s="1"/>
  <c r="F220" i="3"/>
  <c r="G220" i="3" s="1"/>
  <c r="F221" i="3"/>
  <c r="G221" i="3" s="1"/>
  <c r="F222" i="3"/>
  <c r="G222" i="3" s="1"/>
  <c r="F223" i="3"/>
  <c r="G223" i="3" s="1"/>
  <c r="F224" i="3"/>
  <c r="G224" i="3" s="1"/>
  <c r="F225" i="3"/>
  <c r="G225" i="3" s="1"/>
  <c r="F226" i="3"/>
  <c r="G226" i="3" s="1"/>
  <c r="F227" i="3"/>
  <c r="G227" i="3" s="1"/>
  <c r="F228" i="3"/>
  <c r="G228" i="3" s="1"/>
  <c r="F229" i="3"/>
  <c r="G229" i="3" s="1"/>
  <c r="F230" i="3"/>
  <c r="G230" i="3" s="1"/>
  <c r="F231" i="3"/>
  <c r="G231" i="3" s="1"/>
  <c r="F232" i="3"/>
  <c r="G232" i="3" s="1"/>
  <c r="F233" i="3"/>
  <c r="G233" i="3" s="1"/>
  <c r="F234" i="3"/>
  <c r="G234" i="3" s="1"/>
  <c r="F235" i="3"/>
  <c r="G235" i="3" s="1"/>
  <c r="F236" i="3"/>
  <c r="G236" i="3" s="1"/>
  <c r="F237" i="3"/>
  <c r="G237" i="3" s="1"/>
  <c r="F238" i="3"/>
  <c r="G238" i="3" s="1"/>
  <c r="F239" i="3"/>
  <c r="G239" i="3" s="1"/>
  <c r="F240" i="3"/>
  <c r="G240" i="3" s="1"/>
  <c r="F241" i="3"/>
  <c r="G241" i="3" s="1"/>
  <c r="F242" i="3"/>
  <c r="G242" i="3" s="1"/>
  <c r="F243" i="3"/>
  <c r="G243" i="3" s="1"/>
  <c r="F244" i="3"/>
  <c r="G244" i="3" s="1"/>
  <c r="F245" i="3"/>
  <c r="G245" i="3" s="1"/>
  <c r="F246" i="3"/>
  <c r="G246" i="3" s="1"/>
  <c r="F247" i="3"/>
  <c r="G247" i="3" s="1"/>
  <c r="F248" i="3"/>
  <c r="G248" i="3" s="1"/>
  <c r="F249" i="3"/>
  <c r="G249" i="3" s="1"/>
  <c r="F250" i="3"/>
  <c r="G250" i="3" s="1"/>
  <c r="F251" i="3"/>
  <c r="G251" i="3" s="1"/>
  <c r="F252" i="3"/>
  <c r="G252" i="3" s="1"/>
  <c r="F253" i="3"/>
  <c r="G253" i="3" s="1"/>
  <c r="F254" i="3"/>
  <c r="G254" i="3" s="1"/>
  <c r="F255" i="3"/>
  <c r="G255" i="3" s="1"/>
  <c r="F256" i="3"/>
  <c r="G256" i="3" s="1"/>
  <c r="F257" i="3"/>
  <c r="G257" i="3" s="1"/>
  <c r="F258" i="3"/>
  <c r="G258" i="3" s="1"/>
  <c r="F259" i="3"/>
  <c r="G259" i="3" s="1"/>
  <c r="F260" i="3"/>
  <c r="G260" i="3" s="1"/>
  <c r="F261" i="3"/>
  <c r="G261" i="3" s="1"/>
  <c r="F262" i="3"/>
  <c r="G262" i="3" s="1"/>
  <c r="F263" i="3"/>
  <c r="G263" i="3" s="1"/>
  <c r="F264" i="3"/>
  <c r="G264" i="3" s="1"/>
  <c r="F265" i="3"/>
  <c r="G265" i="3" s="1"/>
  <c r="F266" i="3"/>
  <c r="G266" i="3" s="1"/>
  <c r="F267" i="3"/>
  <c r="G267" i="3" s="1"/>
  <c r="F268" i="3"/>
  <c r="G268" i="3" s="1"/>
  <c r="F269" i="3"/>
  <c r="G269" i="3" s="1"/>
  <c r="F270" i="3"/>
  <c r="G270" i="3" s="1"/>
  <c r="F271" i="3"/>
  <c r="G271" i="3" s="1"/>
  <c r="F272" i="3"/>
  <c r="G272" i="3" s="1"/>
  <c r="F273" i="3"/>
  <c r="G273" i="3" s="1"/>
  <c r="F274" i="3"/>
  <c r="G274" i="3" s="1"/>
  <c r="F275" i="3"/>
  <c r="G275" i="3" s="1"/>
  <c r="F276" i="3"/>
  <c r="G276" i="3" s="1"/>
  <c r="F277" i="3"/>
  <c r="G277" i="3" s="1"/>
  <c r="F278" i="3"/>
  <c r="G278" i="3" s="1"/>
  <c r="F279" i="3"/>
  <c r="G279" i="3" s="1"/>
  <c r="F280" i="3"/>
  <c r="G280" i="3" s="1"/>
  <c r="F281" i="3"/>
  <c r="G281" i="3" s="1"/>
  <c r="F282" i="3"/>
  <c r="G282" i="3" s="1"/>
  <c r="F283" i="3"/>
  <c r="G283" i="3" s="1"/>
  <c r="F284" i="3"/>
  <c r="G284" i="3" s="1"/>
  <c r="F285" i="3"/>
  <c r="G285" i="3" s="1"/>
  <c r="F286" i="3"/>
  <c r="G286" i="3" s="1"/>
  <c r="F287" i="3"/>
  <c r="G287" i="3" s="1"/>
  <c r="F288" i="3"/>
  <c r="G288" i="3" s="1"/>
  <c r="F289" i="3"/>
  <c r="G289" i="3" s="1"/>
  <c r="F290" i="3"/>
  <c r="G290" i="3" s="1"/>
  <c r="F291" i="3"/>
  <c r="G291" i="3" s="1"/>
  <c r="F292" i="3"/>
  <c r="G292" i="3" s="1"/>
  <c r="F293" i="3"/>
  <c r="G293" i="3" s="1"/>
  <c r="F294" i="3"/>
  <c r="G294" i="3" s="1"/>
  <c r="F295" i="3"/>
  <c r="G295" i="3" s="1"/>
  <c r="F296" i="3"/>
  <c r="G296" i="3" s="1"/>
  <c r="F297" i="3"/>
  <c r="G297" i="3" s="1"/>
  <c r="F298" i="3"/>
  <c r="G298" i="3" s="1"/>
  <c r="F299" i="3"/>
  <c r="G299" i="3" s="1"/>
  <c r="F300" i="3"/>
  <c r="G300" i="3" s="1"/>
  <c r="F301" i="3"/>
  <c r="G301" i="3" s="1"/>
  <c r="F302" i="3"/>
  <c r="G302" i="3" s="1"/>
  <c r="F303" i="3"/>
  <c r="G303" i="3" s="1"/>
  <c r="F304" i="3"/>
  <c r="G304" i="3" s="1"/>
  <c r="F305" i="3"/>
  <c r="G305" i="3" s="1"/>
  <c r="F306" i="3"/>
  <c r="G306" i="3" s="1"/>
  <c r="F307" i="3"/>
  <c r="G307" i="3" s="1"/>
  <c r="F308" i="3"/>
  <c r="G308" i="3" s="1"/>
  <c r="F309" i="3"/>
  <c r="G309" i="3" s="1"/>
  <c r="F310" i="3"/>
  <c r="G310" i="3" s="1"/>
  <c r="F311" i="3"/>
  <c r="G311" i="3" s="1"/>
  <c r="F312" i="3"/>
  <c r="G312" i="3" s="1"/>
  <c r="F313" i="3"/>
  <c r="G313" i="3" s="1"/>
  <c r="F314" i="3"/>
  <c r="G314" i="3" s="1"/>
  <c r="F315" i="3"/>
  <c r="G315" i="3" s="1"/>
  <c r="F316" i="3"/>
  <c r="G316" i="3" s="1"/>
  <c r="F317" i="3"/>
  <c r="G317" i="3" s="1"/>
  <c r="F318" i="3"/>
  <c r="G318" i="3" s="1"/>
  <c r="F319" i="3"/>
  <c r="G319" i="3" s="1"/>
  <c r="F320" i="3"/>
  <c r="G320" i="3" s="1"/>
  <c r="F321" i="3"/>
  <c r="G321" i="3" s="1"/>
  <c r="F322" i="3"/>
  <c r="G322" i="3" s="1"/>
  <c r="F323" i="3"/>
  <c r="G323" i="3" s="1"/>
  <c r="F324" i="3"/>
  <c r="G324" i="3" s="1"/>
  <c r="F325" i="3"/>
  <c r="G325" i="3" s="1"/>
  <c r="F326" i="3"/>
  <c r="G326" i="3" s="1"/>
  <c r="F327" i="3"/>
  <c r="G327" i="3" s="1"/>
  <c r="F328" i="3"/>
  <c r="G328" i="3" s="1"/>
  <c r="F329" i="3"/>
  <c r="G329" i="3" s="1"/>
  <c r="F330" i="3"/>
  <c r="G330" i="3" s="1"/>
  <c r="F331" i="3"/>
  <c r="G331" i="3" s="1"/>
  <c r="F332" i="3"/>
  <c r="G332" i="3" s="1"/>
  <c r="F333" i="3"/>
  <c r="G333" i="3" s="1"/>
  <c r="F334" i="3"/>
  <c r="G334" i="3" s="1"/>
  <c r="F335" i="3"/>
  <c r="G335" i="3" s="1"/>
  <c r="F336" i="3"/>
  <c r="G336" i="3" s="1"/>
  <c r="F337" i="3"/>
  <c r="G337" i="3" s="1"/>
  <c r="F338" i="3"/>
  <c r="G338" i="3" s="1"/>
  <c r="F339" i="3"/>
  <c r="G339" i="3" s="1"/>
  <c r="F340" i="3"/>
  <c r="G340" i="3" s="1"/>
  <c r="F341" i="3"/>
  <c r="G341" i="3" s="1"/>
  <c r="F342" i="3"/>
  <c r="G342" i="3" s="1"/>
  <c r="F343" i="3"/>
  <c r="G343" i="3" s="1"/>
  <c r="F344" i="3"/>
  <c r="G344" i="3" s="1"/>
  <c r="F345" i="3"/>
  <c r="G345" i="3" s="1"/>
  <c r="F346" i="3"/>
  <c r="G346" i="3" s="1"/>
  <c r="F347" i="3"/>
  <c r="G347" i="3" s="1"/>
  <c r="F348" i="3"/>
  <c r="G348" i="3" s="1"/>
  <c r="F349" i="3"/>
  <c r="G349" i="3" s="1"/>
  <c r="F350" i="3"/>
  <c r="G350" i="3" s="1"/>
  <c r="F351" i="3"/>
  <c r="G351" i="3" s="1"/>
  <c r="F352" i="3"/>
  <c r="G352" i="3" s="1"/>
  <c r="F353" i="3"/>
  <c r="G353" i="3" s="1"/>
  <c r="F354" i="3"/>
  <c r="G354" i="3" s="1"/>
  <c r="F355" i="3"/>
  <c r="G355" i="3" s="1"/>
  <c r="F356" i="3"/>
  <c r="G356" i="3" s="1"/>
  <c r="F357" i="3"/>
  <c r="G357" i="3" s="1"/>
  <c r="F358" i="3"/>
  <c r="G358" i="3" s="1"/>
  <c r="F359" i="3"/>
  <c r="G359" i="3" s="1"/>
  <c r="F360" i="3"/>
  <c r="G360" i="3" s="1"/>
  <c r="F361" i="3"/>
  <c r="G361" i="3" s="1"/>
  <c r="F362" i="3"/>
  <c r="G362" i="3" s="1"/>
  <c r="F363" i="3"/>
  <c r="G363" i="3" s="1"/>
  <c r="F364" i="3"/>
  <c r="G364" i="3" s="1"/>
  <c r="F365" i="3"/>
  <c r="G365" i="3" s="1"/>
  <c r="F366" i="3"/>
  <c r="G366" i="3" s="1"/>
  <c r="F367" i="3"/>
  <c r="G367" i="3" s="1"/>
  <c r="F368" i="3"/>
  <c r="G368" i="3" s="1"/>
  <c r="F369" i="3"/>
  <c r="G369" i="3" s="1"/>
  <c r="F370" i="3"/>
  <c r="G370" i="3" s="1"/>
  <c r="F371" i="3"/>
  <c r="G371" i="3" s="1"/>
  <c r="F372" i="3"/>
  <c r="G372" i="3" s="1"/>
  <c r="F373" i="3"/>
  <c r="G373" i="3" s="1"/>
  <c r="F374" i="3"/>
  <c r="G374" i="3" s="1"/>
  <c r="F375" i="3"/>
  <c r="G375" i="3" s="1"/>
  <c r="F376" i="3"/>
  <c r="G376" i="3" s="1"/>
  <c r="F377" i="3"/>
  <c r="G377" i="3" s="1"/>
  <c r="F378" i="3"/>
  <c r="G378" i="3" s="1"/>
  <c r="F379" i="3"/>
  <c r="G379" i="3" s="1"/>
  <c r="F380" i="3"/>
  <c r="G380" i="3" s="1"/>
  <c r="F381" i="3"/>
  <c r="G381" i="3" s="1"/>
  <c r="F382" i="3"/>
  <c r="G382" i="3" s="1"/>
  <c r="F383" i="3"/>
  <c r="G383" i="3" s="1"/>
  <c r="F384" i="3"/>
  <c r="G384" i="3" s="1"/>
  <c r="F385" i="3"/>
  <c r="G385" i="3" s="1"/>
  <c r="F386" i="3"/>
  <c r="G386" i="3" s="1"/>
  <c r="F387" i="3"/>
  <c r="G387" i="3" s="1"/>
  <c r="F388" i="3"/>
  <c r="G388" i="3" s="1"/>
  <c r="F389" i="3"/>
  <c r="G389" i="3" s="1"/>
  <c r="F390" i="3"/>
  <c r="G390" i="3" s="1"/>
  <c r="F391" i="3"/>
  <c r="G391" i="3" s="1"/>
  <c r="F392" i="3"/>
  <c r="G392" i="3" s="1"/>
  <c r="F393" i="3"/>
  <c r="G393" i="3" s="1"/>
  <c r="F394" i="3"/>
  <c r="G394" i="3" s="1"/>
  <c r="F395" i="3"/>
  <c r="G395" i="3" s="1"/>
  <c r="F396" i="3"/>
  <c r="G396" i="3" s="1"/>
  <c r="F397" i="3"/>
  <c r="G397" i="3" s="1"/>
  <c r="F398" i="3"/>
  <c r="G398" i="3" s="1"/>
  <c r="F399" i="3"/>
  <c r="G399" i="3" s="1"/>
  <c r="F400" i="3"/>
  <c r="G400" i="3" s="1"/>
  <c r="F401" i="3"/>
  <c r="G401" i="3" s="1"/>
  <c r="F402" i="3"/>
  <c r="G402" i="3" s="1"/>
  <c r="F403" i="3"/>
  <c r="G403" i="3" s="1"/>
  <c r="F404" i="3"/>
  <c r="G404" i="3" s="1"/>
  <c r="F405" i="3"/>
  <c r="G405" i="3" s="1"/>
  <c r="F406" i="3"/>
  <c r="G406" i="3" s="1"/>
  <c r="F407" i="3"/>
  <c r="G407" i="3" s="1"/>
  <c r="F408" i="3"/>
  <c r="G408" i="3" s="1"/>
  <c r="F409" i="3"/>
  <c r="G409" i="3" s="1"/>
  <c r="F410" i="3"/>
  <c r="G410" i="3" s="1"/>
  <c r="F411" i="3"/>
  <c r="G411" i="3" s="1"/>
  <c r="F412" i="3"/>
  <c r="G412" i="3" s="1"/>
  <c r="F413" i="3"/>
  <c r="G413" i="3" s="1"/>
  <c r="F414" i="3"/>
  <c r="G414" i="3" s="1"/>
  <c r="F415" i="3"/>
  <c r="G415" i="3" s="1"/>
  <c r="F416" i="3"/>
  <c r="G416" i="3" s="1"/>
  <c r="F417" i="3"/>
  <c r="G417" i="3" s="1"/>
  <c r="F418" i="3"/>
  <c r="G418" i="3" s="1"/>
  <c r="F419" i="3"/>
  <c r="G419" i="3" s="1"/>
  <c r="F420" i="3"/>
  <c r="G420" i="3" s="1"/>
  <c r="F421" i="3"/>
  <c r="G421" i="3" s="1"/>
  <c r="F422" i="3"/>
  <c r="G422" i="3" s="1"/>
  <c r="F423" i="3"/>
  <c r="G423" i="3" s="1"/>
  <c r="F424" i="3"/>
  <c r="G424" i="3" s="1"/>
  <c r="F425" i="3"/>
  <c r="G425" i="3" s="1"/>
  <c r="F426" i="3"/>
  <c r="G426" i="3" s="1"/>
  <c r="F427" i="3"/>
  <c r="G427" i="3" s="1"/>
  <c r="F428" i="3"/>
  <c r="G428" i="3" s="1"/>
  <c r="F429" i="3"/>
  <c r="G429" i="3" s="1"/>
  <c r="F430" i="3"/>
  <c r="G430" i="3" s="1"/>
  <c r="F431" i="3"/>
  <c r="G431" i="3" s="1"/>
  <c r="F432" i="3"/>
  <c r="G432" i="3" s="1"/>
  <c r="F433" i="3"/>
  <c r="G433" i="3" s="1"/>
  <c r="F434" i="3"/>
  <c r="G434" i="3" s="1"/>
  <c r="F435" i="3"/>
  <c r="G435" i="3" s="1"/>
  <c r="F436" i="3"/>
  <c r="G436" i="3" s="1"/>
  <c r="F437" i="3"/>
  <c r="G437" i="3" s="1"/>
  <c r="F438" i="3"/>
  <c r="G438" i="3" s="1"/>
  <c r="F439" i="3"/>
  <c r="G439" i="3" s="1"/>
  <c r="F440" i="3"/>
  <c r="G440" i="3" s="1"/>
  <c r="F441" i="3"/>
  <c r="G441" i="3" s="1"/>
  <c r="F442" i="3"/>
  <c r="G442" i="3" s="1"/>
  <c r="F443" i="3"/>
  <c r="G443" i="3" s="1"/>
  <c r="F444" i="3"/>
  <c r="G444" i="3" s="1"/>
  <c r="F445" i="3"/>
  <c r="G445" i="3" s="1"/>
  <c r="F446" i="3"/>
  <c r="G446" i="3" s="1"/>
  <c r="F447" i="3"/>
  <c r="G447" i="3" s="1"/>
  <c r="F448" i="3"/>
  <c r="G448" i="3" s="1"/>
  <c r="F449" i="3"/>
  <c r="G449" i="3" s="1"/>
  <c r="F450" i="3"/>
  <c r="G450" i="3" s="1"/>
  <c r="F451" i="3"/>
  <c r="G451" i="3" s="1"/>
  <c r="F452" i="3"/>
  <c r="G452" i="3" s="1"/>
  <c r="F453" i="3"/>
  <c r="G453" i="3" s="1"/>
  <c r="F454" i="3"/>
  <c r="G454" i="3" s="1"/>
  <c r="F455" i="3"/>
  <c r="G455" i="3" s="1"/>
  <c r="F456" i="3"/>
  <c r="G456" i="3" s="1"/>
  <c r="F457" i="3"/>
  <c r="G457" i="3" s="1"/>
  <c r="F458" i="3"/>
  <c r="G458" i="3" s="1"/>
  <c r="F459" i="3"/>
  <c r="G459" i="3" s="1"/>
  <c r="F460" i="3"/>
  <c r="G460" i="3" s="1"/>
  <c r="F461" i="3"/>
  <c r="G461" i="3" s="1"/>
  <c r="F462" i="3"/>
  <c r="G462" i="3" s="1"/>
  <c r="F463" i="3"/>
  <c r="G463" i="3" s="1"/>
  <c r="F464" i="3"/>
  <c r="G464" i="3" s="1"/>
  <c r="F465" i="3"/>
  <c r="G465" i="3" s="1"/>
  <c r="F466" i="3"/>
  <c r="G466" i="3" s="1"/>
  <c r="F467" i="3"/>
  <c r="G467" i="3" s="1"/>
  <c r="F468" i="3"/>
  <c r="G468" i="3" s="1"/>
  <c r="F469" i="3"/>
  <c r="G469" i="3" s="1"/>
  <c r="F470" i="3"/>
  <c r="G470" i="3" s="1"/>
  <c r="F471" i="3"/>
  <c r="G471" i="3" s="1"/>
  <c r="F472" i="3"/>
  <c r="G472" i="3" s="1"/>
  <c r="F473" i="3"/>
  <c r="G473" i="3" s="1"/>
  <c r="F474" i="3"/>
  <c r="G474" i="3" s="1"/>
  <c r="F475" i="3"/>
  <c r="G475" i="3" s="1"/>
  <c r="F476" i="3"/>
  <c r="G476" i="3" s="1"/>
  <c r="F477" i="3"/>
  <c r="G477" i="3" s="1"/>
  <c r="F478" i="3"/>
  <c r="G478" i="3" s="1"/>
  <c r="F479" i="3"/>
  <c r="G479" i="3" s="1"/>
  <c r="F480" i="3"/>
  <c r="G480" i="3" s="1"/>
  <c r="F481" i="3"/>
  <c r="G481" i="3" s="1"/>
  <c r="F482" i="3"/>
  <c r="G482" i="3" s="1"/>
  <c r="F483" i="3"/>
  <c r="G483" i="3" s="1"/>
  <c r="F484" i="3"/>
  <c r="G484" i="3" s="1"/>
  <c r="F485" i="3"/>
  <c r="G485" i="3" s="1"/>
  <c r="F486" i="3"/>
  <c r="G486" i="3" s="1"/>
  <c r="F487" i="3"/>
  <c r="G487" i="3" s="1"/>
  <c r="F488" i="3"/>
  <c r="G488" i="3" s="1"/>
  <c r="F489" i="3"/>
  <c r="G489" i="3" s="1"/>
  <c r="F490" i="3"/>
  <c r="G490" i="3" s="1"/>
  <c r="F491" i="3"/>
  <c r="G491" i="3" s="1"/>
  <c r="F492" i="3"/>
  <c r="G492" i="3" s="1"/>
  <c r="F493" i="3"/>
  <c r="G493" i="3" s="1"/>
  <c r="F494" i="3"/>
  <c r="G494" i="3" s="1"/>
  <c r="F495" i="3"/>
  <c r="G495" i="3" s="1"/>
  <c r="F496" i="3"/>
  <c r="G496" i="3" s="1"/>
  <c r="F497" i="3"/>
  <c r="G497" i="3" s="1"/>
  <c r="F498" i="3"/>
  <c r="G498" i="3" s="1"/>
  <c r="F499" i="3"/>
  <c r="G499" i="3" s="1"/>
  <c r="F500" i="3"/>
  <c r="G500" i="3" s="1"/>
  <c r="F501" i="3"/>
  <c r="G501" i="3" s="1"/>
  <c r="F502" i="3"/>
  <c r="G502" i="3" s="1"/>
  <c r="F503" i="3"/>
  <c r="G503" i="3" s="1"/>
  <c r="F504" i="3"/>
  <c r="G504" i="3" s="1"/>
  <c r="F505" i="3"/>
  <c r="G505" i="3" s="1"/>
  <c r="F506" i="3"/>
  <c r="G506" i="3" s="1"/>
  <c r="F507" i="3"/>
  <c r="G507" i="3" s="1"/>
  <c r="F508" i="3"/>
  <c r="G508" i="3" s="1"/>
  <c r="F509" i="3"/>
  <c r="G509" i="3" s="1"/>
  <c r="F510" i="3"/>
  <c r="G510" i="3" s="1"/>
  <c r="F511" i="3"/>
  <c r="G511" i="3" s="1"/>
  <c r="F512" i="3"/>
  <c r="G512" i="3" s="1"/>
  <c r="F513" i="3"/>
  <c r="G513" i="3" s="1"/>
  <c r="F514" i="3"/>
  <c r="G514" i="3" s="1"/>
  <c r="F515" i="3"/>
  <c r="G515" i="3" s="1"/>
  <c r="F516" i="3"/>
  <c r="G516" i="3" s="1"/>
  <c r="F517" i="3"/>
  <c r="G517" i="3" s="1"/>
  <c r="F518" i="3"/>
  <c r="G518" i="3" s="1"/>
  <c r="F519" i="3"/>
  <c r="G519" i="3" s="1"/>
  <c r="F520" i="3"/>
  <c r="G520" i="3" s="1"/>
  <c r="F521" i="3"/>
  <c r="G521" i="3" s="1"/>
  <c r="F522" i="3"/>
  <c r="G522" i="3" s="1"/>
  <c r="F523" i="3"/>
  <c r="G523" i="3" s="1"/>
  <c r="F524" i="3"/>
  <c r="G524" i="3" s="1"/>
  <c r="F525" i="3"/>
  <c r="G525" i="3" s="1"/>
  <c r="F526" i="3"/>
  <c r="G526" i="3" s="1"/>
  <c r="F527" i="3"/>
  <c r="G527" i="3" s="1"/>
  <c r="F528" i="3"/>
  <c r="G528" i="3" s="1"/>
  <c r="F529" i="3"/>
  <c r="G529" i="3" s="1"/>
  <c r="F530" i="3"/>
  <c r="G530" i="3" s="1"/>
  <c r="F531" i="3"/>
  <c r="G531" i="3" s="1"/>
  <c r="F532" i="3"/>
  <c r="G532" i="3" s="1"/>
  <c r="F533" i="3"/>
  <c r="G533" i="3" s="1"/>
  <c r="F534" i="3"/>
  <c r="G534" i="3" s="1"/>
  <c r="F535" i="3"/>
  <c r="G535" i="3" s="1"/>
  <c r="F536" i="3"/>
  <c r="G536" i="3" s="1"/>
  <c r="F537" i="3"/>
  <c r="G537" i="3" s="1"/>
  <c r="F538" i="3"/>
  <c r="G538" i="3" s="1"/>
  <c r="F539" i="3"/>
  <c r="G539" i="3" s="1"/>
  <c r="F540" i="3"/>
  <c r="G540" i="3" s="1"/>
  <c r="F541" i="3"/>
  <c r="G541" i="3" s="1"/>
  <c r="F542" i="3"/>
  <c r="G542" i="3" s="1"/>
  <c r="F543" i="3"/>
  <c r="G543" i="3" s="1"/>
  <c r="F544" i="3"/>
  <c r="G544" i="3" s="1"/>
  <c r="F545" i="3"/>
  <c r="G545" i="3" s="1"/>
  <c r="F546" i="3"/>
  <c r="G546" i="3" s="1"/>
  <c r="F547" i="3"/>
  <c r="G547" i="3" s="1"/>
  <c r="F548" i="3"/>
  <c r="G548" i="3" s="1"/>
  <c r="F549" i="3"/>
  <c r="G549" i="3" s="1"/>
  <c r="F550" i="3"/>
  <c r="G550" i="3" s="1"/>
  <c r="F551" i="3"/>
  <c r="G551" i="3" s="1"/>
  <c r="F552" i="3"/>
  <c r="G552" i="3" s="1"/>
  <c r="F553" i="3"/>
  <c r="G553" i="3" s="1"/>
  <c r="F554" i="3"/>
  <c r="G554" i="3" s="1"/>
  <c r="F555" i="3"/>
  <c r="G555" i="3" s="1"/>
  <c r="F556" i="3"/>
  <c r="G556" i="3" s="1"/>
  <c r="F557" i="3"/>
  <c r="G557" i="3" s="1"/>
  <c r="F558" i="3"/>
  <c r="G558" i="3" s="1"/>
  <c r="F559" i="3"/>
  <c r="G559" i="3" s="1"/>
  <c r="F560" i="3"/>
  <c r="G560" i="3" s="1"/>
  <c r="F561" i="3"/>
  <c r="G561" i="3" s="1"/>
  <c r="F562" i="3"/>
  <c r="G562" i="3" s="1"/>
  <c r="F563" i="3"/>
  <c r="G563" i="3" s="1"/>
  <c r="F564" i="3"/>
  <c r="G564" i="3" s="1"/>
  <c r="F565" i="3"/>
  <c r="G565" i="3" s="1"/>
  <c r="F566" i="3"/>
  <c r="G566" i="3" s="1"/>
  <c r="F567" i="3"/>
  <c r="G567" i="3" s="1"/>
  <c r="F568" i="3"/>
  <c r="G568" i="3" s="1"/>
  <c r="F569" i="3"/>
  <c r="G569" i="3" s="1"/>
  <c r="F570" i="3"/>
  <c r="G570" i="3" s="1"/>
  <c r="F571" i="3"/>
  <c r="G571" i="3" s="1"/>
  <c r="F572" i="3"/>
  <c r="G572" i="3" s="1"/>
  <c r="F573" i="3"/>
  <c r="G573" i="3" s="1"/>
  <c r="F574" i="3"/>
  <c r="G574" i="3" s="1"/>
  <c r="F575" i="3"/>
  <c r="G575" i="3" s="1"/>
  <c r="F576" i="3"/>
  <c r="G576" i="3" s="1"/>
  <c r="F577" i="3"/>
  <c r="G577" i="3" s="1"/>
  <c r="F578" i="3"/>
  <c r="G578" i="3" s="1"/>
  <c r="F579" i="3"/>
  <c r="G579" i="3" s="1"/>
  <c r="F580" i="3"/>
  <c r="G580" i="3" s="1"/>
  <c r="F581" i="3"/>
  <c r="G581" i="3" s="1"/>
  <c r="F582" i="3"/>
  <c r="G582" i="3" s="1"/>
  <c r="F583" i="3"/>
  <c r="G583" i="3" s="1"/>
  <c r="F584" i="3"/>
  <c r="G584" i="3" s="1"/>
  <c r="F585" i="3"/>
  <c r="G585" i="3" s="1"/>
  <c r="F586" i="3"/>
  <c r="G586" i="3" s="1"/>
  <c r="F587" i="3"/>
  <c r="G587" i="3" s="1"/>
  <c r="F588" i="3"/>
  <c r="G588" i="3" s="1"/>
  <c r="F589" i="3"/>
  <c r="G589" i="3" s="1"/>
  <c r="F590" i="3"/>
  <c r="G590" i="3" s="1"/>
  <c r="F591" i="3"/>
  <c r="G591" i="3" s="1"/>
  <c r="F592" i="3"/>
  <c r="G592" i="3" s="1"/>
  <c r="F593" i="3"/>
  <c r="G593" i="3" s="1"/>
  <c r="F594" i="3"/>
  <c r="G594" i="3" s="1"/>
  <c r="F595" i="3"/>
  <c r="G595" i="3" s="1"/>
  <c r="F596" i="3"/>
  <c r="G596" i="3" s="1"/>
  <c r="F597" i="3"/>
  <c r="G597" i="3" s="1"/>
  <c r="F598" i="3"/>
  <c r="G598" i="3" s="1"/>
  <c r="F599" i="3"/>
  <c r="G599" i="3" s="1"/>
  <c r="F600" i="3"/>
  <c r="G600" i="3" s="1"/>
  <c r="F601" i="3"/>
  <c r="G601" i="3" s="1"/>
  <c r="F602" i="3"/>
  <c r="G602" i="3" s="1"/>
  <c r="F603" i="3"/>
  <c r="G603" i="3" s="1"/>
  <c r="F604" i="3"/>
  <c r="G604" i="3" s="1"/>
  <c r="F605" i="3"/>
  <c r="G605" i="3" s="1"/>
  <c r="F606" i="3"/>
  <c r="G606" i="3" s="1"/>
  <c r="F607" i="3"/>
  <c r="G607" i="3" s="1"/>
  <c r="F608" i="3"/>
  <c r="G608" i="3" s="1"/>
  <c r="F609" i="3"/>
  <c r="G609" i="3" s="1"/>
  <c r="F610" i="3"/>
  <c r="G610" i="3" s="1"/>
  <c r="F611" i="3"/>
  <c r="G611" i="3" s="1"/>
  <c r="F612" i="3"/>
  <c r="G612" i="3" s="1"/>
  <c r="F613" i="3"/>
  <c r="G613" i="3" s="1"/>
  <c r="F614" i="3"/>
  <c r="G614" i="3" s="1"/>
  <c r="F615" i="3"/>
  <c r="G615" i="3" s="1"/>
  <c r="F616" i="3"/>
  <c r="G616" i="3" s="1"/>
  <c r="F617" i="3"/>
  <c r="G617" i="3" s="1"/>
  <c r="F618" i="3"/>
  <c r="G618" i="3" s="1"/>
  <c r="F619" i="3"/>
  <c r="G619" i="3" s="1"/>
  <c r="F620" i="3"/>
  <c r="G620" i="3" s="1"/>
  <c r="F621" i="3"/>
  <c r="G621" i="3" s="1"/>
  <c r="F622" i="3"/>
  <c r="G622" i="3" s="1"/>
  <c r="F623" i="3"/>
  <c r="G623" i="3" s="1"/>
  <c r="F624" i="3"/>
  <c r="G624" i="3" s="1"/>
  <c r="F625" i="3"/>
  <c r="G625" i="3" s="1"/>
  <c r="F626" i="3"/>
  <c r="G626" i="3" s="1"/>
  <c r="F627" i="3"/>
  <c r="G627" i="3" s="1"/>
  <c r="F628" i="3"/>
  <c r="G628" i="3" s="1"/>
  <c r="F629" i="3"/>
  <c r="G629" i="3" s="1"/>
  <c r="F630" i="3"/>
  <c r="G630" i="3" s="1"/>
  <c r="F631" i="3"/>
  <c r="G631" i="3" s="1"/>
  <c r="F632" i="3"/>
  <c r="G632" i="3" s="1"/>
  <c r="F2" i="3"/>
  <c r="G2" i="3"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30" i="3"/>
  <c r="U331" i="3"/>
  <c r="U332" i="3"/>
  <c r="U333" i="3"/>
  <c r="U334" i="3"/>
  <c r="U335" i="3"/>
  <c r="U336" i="3"/>
  <c r="U337" i="3"/>
  <c r="U338" i="3"/>
  <c r="U339" i="3"/>
  <c r="U340"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2" i="3"/>
  <c r="AO4" i="3"/>
  <c r="U282" i="3" s="1"/>
  <c r="AO3" i="3"/>
  <c r="Y634" i="3" l="1"/>
  <c r="AB34" i="3"/>
  <c r="AE344" i="3"/>
  <c r="AE627" i="3"/>
  <c r="AE595" i="3"/>
  <c r="AE563" i="3"/>
  <c r="AG563" i="3" s="1"/>
  <c r="AE531" i="3"/>
  <c r="AE479" i="3"/>
  <c r="AE408" i="3"/>
  <c r="AE260" i="3"/>
  <c r="AG260" i="3" s="1"/>
  <c r="AE89" i="3"/>
  <c r="AE611" i="3"/>
  <c r="AE579" i="3"/>
  <c r="AE547" i="3"/>
  <c r="AG547" i="3" s="1"/>
  <c r="AE511" i="3"/>
  <c r="AE447" i="3"/>
  <c r="AE174" i="3"/>
  <c r="AE603" i="3"/>
  <c r="AG603" i="3" s="1"/>
  <c r="AE571" i="3"/>
  <c r="AE539" i="3"/>
  <c r="AE495" i="3"/>
  <c r="AE431" i="3"/>
  <c r="AG431" i="3" s="1"/>
  <c r="AE302" i="3"/>
  <c r="AE132" i="3"/>
  <c r="AE619" i="3"/>
  <c r="AE587" i="3"/>
  <c r="AG587" i="3" s="1"/>
  <c r="AE555" i="3"/>
  <c r="AE523" i="3"/>
  <c r="AE463" i="3"/>
  <c r="AE376" i="3"/>
  <c r="AG376" i="3" s="1"/>
  <c r="AE217" i="3"/>
  <c r="AE46" i="3"/>
  <c r="AD3" i="3"/>
  <c r="AE626" i="3"/>
  <c r="AG626" i="3" s="1"/>
  <c r="AE618" i="3"/>
  <c r="AE610" i="3"/>
  <c r="AE602" i="3"/>
  <c r="AE594" i="3"/>
  <c r="AE586" i="3"/>
  <c r="AE578" i="3"/>
  <c r="AG578" i="3" s="1"/>
  <c r="AE570" i="3"/>
  <c r="AE562" i="3"/>
  <c r="AG562" i="3" s="1"/>
  <c r="AE554" i="3"/>
  <c r="AE546" i="3"/>
  <c r="AG546" i="3" s="1"/>
  <c r="AE538" i="3"/>
  <c r="AE530" i="3"/>
  <c r="AG530" i="3" s="1"/>
  <c r="AE522" i="3"/>
  <c r="AE507" i="3"/>
  <c r="AG507" i="3" s="1"/>
  <c r="AE491" i="3"/>
  <c r="AE475" i="3"/>
  <c r="AG475" i="3" s="1"/>
  <c r="AE459" i="3"/>
  <c r="AE443" i="3"/>
  <c r="AG443" i="3" s="1"/>
  <c r="AE427" i="3"/>
  <c r="AE400" i="3"/>
  <c r="AE368" i="3"/>
  <c r="AE334" i="3"/>
  <c r="AE292" i="3"/>
  <c r="AE249" i="3"/>
  <c r="AG249" i="3" s="1"/>
  <c r="AE206" i="3"/>
  <c r="AE164" i="3"/>
  <c r="AG164" i="3" s="1"/>
  <c r="AE121" i="3"/>
  <c r="AE78" i="3"/>
  <c r="AE36" i="3"/>
  <c r="AE631" i="3"/>
  <c r="AG631" i="3" s="1"/>
  <c r="AE623" i="3"/>
  <c r="AE615" i="3"/>
  <c r="AG615" i="3" s="1"/>
  <c r="AE607" i="3"/>
  <c r="AE599" i="3"/>
  <c r="AE591" i="3"/>
  <c r="AE583" i="3"/>
  <c r="AG583" i="3" s="1"/>
  <c r="AE575" i="3"/>
  <c r="AE567" i="3"/>
  <c r="AE559" i="3"/>
  <c r="AE551" i="3"/>
  <c r="AG551" i="3" s="1"/>
  <c r="AE543" i="3"/>
  <c r="AE535" i="3"/>
  <c r="AE527" i="3"/>
  <c r="AE519" i="3"/>
  <c r="AG519" i="3" s="1"/>
  <c r="AE503" i="3"/>
  <c r="AE487" i="3"/>
  <c r="AG487" i="3" s="1"/>
  <c r="AE471" i="3"/>
  <c r="AE455" i="3"/>
  <c r="AG455" i="3" s="1"/>
  <c r="AE439" i="3"/>
  <c r="AE421" i="3"/>
  <c r="AE392" i="3"/>
  <c r="AE360" i="3"/>
  <c r="AG360" i="3" s="1"/>
  <c r="AE324" i="3"/>
  <c r="AE281" i="3"/>
  <c r="AG281" i="3" s="1"/>
  <c r="AE238" i="3"/>
  <c r="AE196" i="3"/>
  <c r="AE153" i="3"/>
  <c r="AE110" i="3"/>
  <c r="AG110" i="3" s="1"/>
  <c r="AE68" i="3"/>
  <c r="AE25" i="3"/>
  <c r="AG25" i="3" s="1"/>
  <c r="AE630" i="3"/>
  <c r="AE622" i="3"/>
  <c r="AG622" i="3" s="1"/>
  <c r="AE614" i="3"/>
  <c r="AE606" i="3"/>
  <c r="AG606" i="3" s="1"/>
  <c r="AE598" i="3"/>
  <c r="AE590" i="3"/>
  <c r="AG590" i="3" s="1"/>
  <c r="AE582" i="3"/>
  <c r="AE574" i="3"/>
  <c r="AG574" i="3" s="1"/>
  <c r="AE566" i="3"/>
  <c r="AE558" i="3"/>
  <c r="AG558" i="3" s="1"/>
  <c r="AE550" i="3"/>
  <c r="AE542" i="3"/>
  <c r="AE534" i="3"/>
  <c r="AE526" i="3"/>
  <c r="AG526" i="3" s="1"/>
  <c r="AE515" i="3"/>
  <c r="AE499" i="3"/>
  <c r="AG499" i="3" s="1"/>
  <c r="AE483" i="3"/>
  <c r="AE467" i="3"/>
  <c r="AG467" i="3" s="1"/>
  <c r="AE451" i="3"/>
  <c r="AE435" i="3"/>
  <c r="AG435" i="3" s="1"/>
  <c r="AE416" i="3"/>
  <c r="AE384" i="3"/>
  <c r="AG384" i="3" s="1"/>
  <c r="AE352" i="3"/>
  <c r="AE313" i="3"/>
  <c r="AG313" i="3" s="1"/>
  <c r="AE270" i="3"/>
  <c r="AE228" i="3"/>
  <c r="AE185" i="3"/>
  <c r="AE142" i="3"/>
  <c r="AG142" i="3" s="1"/>
  <c r="AE100" i="3"/>
  <c r="AE57" i="3"/>
  <c r="AE14" i="3"/>
  <c r="AE518" i="3"/>
  <c r="AG518" i="3" s="1"/>
  <c r="AE514" i="3"/>
  <c r="AE510" i="3"/>
  <c r="AG510" i="3" s="1"/>
  <c r="AE506" i="3"/>
  <c r="AG506" i="3" s="1"/>
  <c r="AE502" i="3"/>
  <c r="AG502" i="3" s="1"/>
  <c r="AE498" i="3"/>
  <c r="AE494" i="3"/>
  <c r="AE490" i="3"/>
  <c r="AG490" i="3" s="1"/>
  <c r="AE486" i="3"/>
  <c r="AG486" i="3" s="1"/>
  <c r="AE482" i="3"/>
  <c r="AE478" i="3"/>
  <c r="AG478" i="3" s="1"/>
  <c r="AE474" i="3"/>
  <c r="AG474" i="3" s="1"/>
  <c r="AE470" i="3"/>
  <c r="AG470" i="3" s="1"/>
  <c r="AE466" i="3"/>
  <c r="AE462" i="3"/>
  <c r="AG462" i="3" s="1"/>
  <c r="AE458" i="3"/>
  <c r="AG458" i="3" s="1"/>
  <c r="AE454" i="3"/>
  <c r="AG454" i="3" s="1"/>
  <c r="AE450" i="3"/>
  <c r="AE446" i="3"/>
  <c r="AG446" i="3" s="1"/>
  <c r="AE442" i="3"/>
  <c r="AG442" i="3" s="1"/>
  <c r="AE438" i="3"/>
  <c r="AG438" i="3" s="1"/>
  <c r="AE434" i="3"/>
  <c r="AE430" i="3"/>
  <c r="AG430" i="3" s="1"/>
  <c r="AE425" i="3"/>
  <c r="AE420" i="3"/>
  <c r="AG420" i="3" s="1"/>
  <c r="AE415" i="3"/>
  <c r="AE407" i="3"/>
  <c r="AG407" i="3" s="1"/>
  <c r="AE399" i="3"/>
  <c r="AG399" i="3" s="1"/>
  <c r="AE391" i="3"/>
  <c r="AG391" i="3" s="1"/>
  <c r="AE383" i="3"/>
  <c r="AE375" i="3"/>
  <c r="AE367" i="3"/>
  <c r="AG367" i="3" s="1"/>
  <c r="AE359" i="3"/>
  <c r="AG359" i="3" s="1"/>
  <c r="AE351" i="3"/>
  <c r="AE343" i="3"/>
  <c r="AG343" i="3" s="1"/>
  <c r="AE333" i="3"/>
  <c r="AG333" i="3" s="1"/>
  <c r="AE322" i="3"/>
  <c r="AE312" i="3"/>
  <c r="AE301" i="3"/>
  <c r="AG301" i="3" s="1"/>
  <c r="AE290" i="3"/>
  <c r="AE280" i="3"/>
  <c r="AE269" i="3"/>
  <c r="AE258" i="3"/>
  <c r="AG258" i="3" s="1"/>
  <c r="AE248" i="3"/>
  <c r="AG248" i="3" s="1"/>
  <c r="AE237" i="3"/>
  <c r="AG237" i="3" s="1"/>
  <c r="AE226" i="3"/>
  <c r="AE216" i="3"/>
  <c r="AG216" i="3" s="1"/>
  <c r="AE205" i="3"/>
  <c r="AG205" i="3" s="1"/>
  <c r="AE194" i="3"/>
  <c r="AG194" i="3" s="1"/>
  <c r="AE184" i="3"/>
  <c r="AE173" i="3"/>
  <c r="AE162" i="3"/>
  <c r="AG162" i="3" s="1"/>
  <c r="AE152" i="3"/>
  <c r="AG152" i="3" s="1"/>
  <c r="AE141" i="3"/>
  <c r="AE130" i="3"/>
  <c r="AG130" i="3" s="1"/>
  <c r="AE120" i="3"/>
  <c r="AE109" i="3"/>
  <c r="AG109" i="3" s="1"/>
  <c r="AE98" i="3"/>
  <c r="AE88" i="3"/>
  <c r="AE77" i="3"/>
  <c r="AG77" i="3" s="1"/>
  <c r="AE66" i="3"/>
  <c r="AG66" i="3" s="1"/>
  <c r="AE56" i="3"/>
  <c r="AE45" i="3"/>
  <c r="AG45" i="3" s="1"/>
  <c r="AE34" i="3"/>
  <c r="AG34" i="3" s="1"/>
  <c r="AE24" i="3"/>
  <c r="AG24" i="3" s="1"/>
  <c r="AE13" i="3"/>
  <c r="AE2" i="3"/>
  <c r="AE629" i="3"/>
  <c r="AG629" i="3" s="1"/>
  <c r="AE625" i="3"/>
  <c r="AG625" i="3" s="1"/>
  <c r="AE621" i="3"/>
  <c r="AE617" i="3"/>
  <c r="AG617" i="3" s="1"/>
  <c r="AE613" i="3"/>
  <c r="AG613" i="3" s="1"/>
  <c r="AE609" i="3"/>
  <c r="AG609" i="3" s="1"/>
  <c r="AE605" i="3"/>
  <c r="AE601" i="3"/>
  <c r="AG601" i="3" s="1"/>
  <c r="AE597" i="3"/>
  <c r="AG597" i="3" s="1"/>
  <c r="AE593" i="3"/>
  <c r="AG593" i="3" s="1"/>
  <c r="AE589" i="3"/>
  <c r="AE585" i="3"/>
  <c r="AE581" i="3"/>
  <c r="AG581" i="3" s="1"/>
  <c r="AE577" i="3"/>
  <c r="AG577" i="3" s="1"/>
  <c r="AE573" i="3"/>
  <c r="AE569" i="3"/>
  <c r="AE565" i="3"/>
  <c r="AG565" i="3" s="1"/>
  <c r="AE561" i="3"/>
  <c r="AG561" i="3" s="1"/>
  <c r="AE557" i="3"/>
  <c r="AE553" i="3"/>
  <c r="AG553" i="3" s="1"/>
  <c r="AE549" i="3"/>
  <c r="AG549" i="3" s="1"/>
  <c r="AE545" i="3"/>
  <c r="AG545" i="3" s="1"/>
  <c r="AE541" i="3"/>
  <c r="AE537" i="3"/>
  <c r="AG537" i="3" s="1"/>
  <c r="AE533" i="3"/>
  <c r="AG533" i="3" s="1"/>
  <c r="AE529" i="3"/>
  <c r="AG529" i="3" s="1"/>
  <c r="AE525" i="3"/>
  <c r="AE521" i="3"/>
  <c r="AE517" i="3"/>
  <c r="AG517" i="3" s="1"/>
  <c r="AE513" i="3"/>
  <c r="AE509" i="3"/>
  <c r="AE505" i="3"/>
  <c r="AE501" i="3"/>
  <c r="AG501" i="3" s="1"/>
  <c r="AE497" i="3"/>
  <c r="AG497" i="3" s="1"/>
  <c r="AE493" i="3"/>
  <c r="AE489" i="3"/>
  <c r="AG489" i="3" s="1"/>
  <c r="AE485" i="3"/>
  <c r="AG485" i="3" s="1"/>
  <c r="AE481" i="3"/>
  <c r="AG481" i="3" s="1"/>
  <c r="AE477" i="3"/>
  <c r="AE473" i="3"/>
  <c r="AG473" i="3" s="1"/>
  <c r="AE469" i="3"/>
  <c r="AG469" i="3" s="1"/>
  <c r="AE465" i="3"/>
  <c r="AG465" i="3" s="1"/>
  <c r="AE461" i="3"/>
  <c r="AE457" i="3"/>
  <c r="AE453" i="3"/>
  <c r="AG453" i="3" s="1"/>
  <c r="AE449" i="3"/>
  <c r="AG449" i="3" s="1"/>
  <c r="AE445" i="3"/>
  <c r="AE441" i="3"/>
  <c r="AE437" i="3"/>
  <c r="AG437" i="3" s="1"/>
  <c r="AE433" i="3"/>
  <c r="AG433" i="3" s="1"/>
  <c r="AE429" i="3"/>
  <c r="AE424" i="3"/>
  <c r="AE419" i="3"/>
  <c r="AG419" i="3" s="1"/>
  <c r="AE412" i="3"/>
  <c r="AG412" i="3" s="1"/>
  <c r="AE404" i="3"/>
  <c r="AE396" i="3"/>
  <c r="AG396" i="3" s="1"/>
  <c r="AE388" i="3"/>
  <c r="AG388" i="3" s="1"/>
  <c r="AE380" i="3"/>
  <c r="AG380" i="3" s="1"/>
  <c r="AE372" i="3"/>
  <c r="AE364" i="3"/>
  <c r="AG364" i="3" s="1"/>
  <c r="AE356" i="3"/>
  <c r="AG356" i="3" s="1"/>
  <c r="AE348" i="3"/>
  <c r="AE340" i="3"/>
  <c r="AE329" i="3"/>
  <c r="AE318" i="3"/>
  <c r="AG318" i="3" s="1"/>
  <c r="AE308" i="3"/>
  <c r="AG308" i="3" s="1"/>
  <c r="AE297" i="3"/>
  <c r="AE286" i="3"/>
  <c r="AG286" i="3" s="1"/>
  <c r="AE276" i="3"/>
  <c r="AG276" i="3" s="1"/>
  <c r="AE265" i="3"/>
  <c r="AE254" i="3"/>
  <c r="AE244" i="3"/>
  <c r="AG244" i="3" s="1"/>
  <c r="AE233" i="3"/>
  <c r="AG233" i="3" s="1"/>
  <c r="AE222" i="3"/>
  <c r="AG222" i="3" s="1"/>
  <c r="AE212" i="3"/>
  <c r="AE201" i="3"/>
  <c r="AG201" i="3" s="1"/>
  <c r="AE190" i="3"/>
  <c r="AG190" i="3" s="1"/>
  <c r="AE180" i="3"/>
  <c r="AE169" i="3"/>
  <c r="AE158" i="3"/>
  <c r="AG158" i="3" s="1"/>
  <c r="AE148" i="3"/>
  <c r="AG148" i="3" s="1"/>
  <c r="AE137" i="3"/>
  <c r="AG137" i="3" s="1"/>
  <c r="AE126" i="3"/>
  <c r="AE116" i="3"/>
  <c r="AE105" i="3"/>
  <c r="AE94" i="3"/>
  <c r="AG94" i="3" s="1"/>
  <c r="AE84" i="3"/>
  <c r="AE73" i="3"/>
  <c r="AE62" i="3"/>
  <c r="AG62" i="3" s="1"/>
  <c r="AE52" i="3"/>
  <c r="AG52" i="3" s="1"/>
  <c r="AE41" i="3"/>
  <c r="AE30" i="3"/>
  <c r="AG30" i="3" s="1"/>
  <c r="AE20" i="3"/>
  <c r="AG20" i="3" s="1"/>
  <c r="AE3" i="3"/>
  <c r="AE7" i="3"/>
  <c r="AE11" i="3"/>
  <c r="AG11" i="3" s="1"/>
  <c r="AE15" i="3"/>
  <c r="AE19" i="3"/>
  <c r="AG19" i="3" s="1"/>
  <c r="AE23" i="3"/>
  <c r="AE27" i="3"/>
  <c r="AG27" i="3" s="1"/>
  <c r="AE31" i="3"/>
  <c r="AG31" i="3" s="1"/>
  <c r="AE35" i="3"/>
  <c r="AG35" i="3" s="1"/>
  <c r="AE39" i="3"/>
  <c r="AE43" i="3"/>
  <c r="AG43" i="3" s="1"/>
  <c r="AE47" i="3"/>
  <c r="AE51" i="3"/>
  <c r="AG51" i="3" s="1"/>
  <c r="AE55" i="3"/>
  <c r="AE59" i="3"/>
  <c r="AG59" i="3" s="1"/>
  <c r="AE63" i="3"/>
  <c r="AG63" i="3" s="1"/>
  <c r="AE67" i="3"/>
  <c r="AE71" i="3"/>
  <c r="AE75" i="3"/>
  <c r="AG75" i="3" s="1"/>
  <c r="AE79" i="3"/>
  <c r="AG79" i="3" s="1"/>
  <c r="AE83" i="3"/>
  <c r="AG83" i="3" s="1"/>
  <c r="AE87" i="3"/>
  <c r="AE91" i="3"/>
  <c r="AG91" i="3" s="1"/>
  <c r="AE95" i="3"/>
  <c r="AG95" i="3" s="1"/>
  <c r="AE99" i="3"/>
  <c r="AG99" i="3" s="1"/>
  <c r="AE103" i="3"/>
  <c r="AE107" i="3"/>
  <c r="AG107" i="3" s="1"/>
  <c r="AE111" i="3"/>
  <c r="AG111" i="3" s="1"/>
  <c r="AE115" i="3"/>
  <c r="AG115" i="3" s="1"/>
  <c r="AE119" i="3"/>
  <c r="AE123" i="3"/>
  <c r="AG123" i="3" s="1"/>
  <c r="AE127" i="3"/>
  <c r="AE131" i="3"/>
  <c r="AG131" i="3" s="1"/>
  <c r="AE135" i="3"/>
  <c r="AE139" i="3"/>
  <c r="AG139" i="3" s="1"/>
  <c r="AE143" i="3"/>
  <c r="AG143" i="3" s="1"/>
  <c r="AE147" i="3"/>
  <c r="AG147" i="3" s="1"/>
  <c r="AE151" i="3"/>
  <c r="AE155" i="3"/>
  <c r="AG155" i="3" s="1"/>
  <c r="AE159" i="3"/>
  <c r="AG159" i="3" s="1"/>
  <c r="AE163" i="3"/>
  <c r="AG163" i="3" s="1"/>
  <c r="AE167" i="3"/>
  <c r="AE171" i="3"/>
  <c r="AG171" i="3" s="1"/>
  <c r="AE175" i="3"/>
  <c r="AG175" i="3" s="1"/>
  <c r="AE179" i="3"/>
  <c r="AG179" i="3" s="1"/>
  <c r="AE183" i="3"/>
  <c r="AE187" i="3"/>
  <c r="AG187" i="3" s="1"/>
  <c r="AE191" i="3"/>
  <c r="AE195" i="3"/>
  <c r="AG195" i="3" s="1"/>
  <c r="AE199" i="3"/>
  <c r="AE203" i="3"/>
  <c r="AG203" i="3" s="1"/>
  <c r="AE207" i="3"/>
  <c r="AG207" i="3" s="1"/>
  <c r="AE211" i="3"/>
  <c r="AG211" i="3" s="1"/>
  <c r="AE215" i="3"/>
  <c r="AE219" i="3"/>
  <c r="AG219" i="3" s="1"/>
  <c r="AE223" i="3"/>
  <c r="AG223" i="3" s="1"/>
  <c r="AE227" i="3"/>
  <c r="AG227" i="3" s="1"/>
  <c r="AE231" i="3"/>
  <c r="AE235" i="3"/>
  <c r="AG235" i="3" s="1"/>
  <c r="AE239" i="3"/>
  <c r="AG239" i="3" s="1"/>
  <c r="AE243" i="3"/>
  <c r="AG243" i="3" s="1"/>
  <c r="AE247" i="3"/>
  <c r="AE251" i="3"/>
  <c r="AG251" i="3" s="1"/>
  <c r="AE255" i="3"/>
  <c r="AE259" i="3"/>
  <c r="AG259" i="3" s="1"/>
  <c r="AE263" i="3"/>
  <c r="AE267" i="3"/>
  <c r="AG267" i="3" s="1"/>
  <c r="AE271" i="3"/>
  <c r="AG271" i="3" s="1"/>
  <c r="AE275" i="3"/>
  <c r="AG275" i="3" s="1"/>
  <c r="AE279" i="3"/>
  <c r="AE283" i="3"/>
  <c r="AG283" i="3" s="1"/>
  <c r="AE287" i="3"/>
  <c r="AG287" i="3" s="1"/>
  <c r="AE291" i="3"/>
  <c r="AG291" i="3" s="1"/>
  <c r="AE295" i="3"/>
  <c r="AE299" i="3"/>
  <c r="AG299" i="3" s="1"/>
  <c r="AE303" i="3"/>
  <c r="AG303" i="3" s="1"/>
  <c r="AE307" i="3"/>
  <c r="AG307" i="3" s="1"/>
  <c r="AE311" i="3"/>
  <c r="AE315" i="3"/>
  <c r="AG315" i="3" s="1"/>
  <c r="AE319" i="3"/>
  <c r="AE323" i="3"/>
  <c r="AG323" i="3" s="1"/>
  <c r="AE327" i="3"/>
  <c r="AE331" i="3"/>
  <c r="AG331" i="3" s="1"/>
  <c r="AE335" i="3"/>
  <c r="AG335" i="3" s="1"/>
  <c r="AE339" i="3"/>
  <c r="AG339" i="3" s="1"/>
  <c r="AE4" i="3"/>
  <c r="AE5" i="3"/>
  <c r="AE10" i="3"/>
  <c r="AG10" i="3" s="1"/>
  <c r="AE16" i="3"/>
  <c r="AG16" i="3" s="1"/>
  <c r="AE21" i="3"/>
  <c r="AE26" i="3"/>
  <c r="AE32" i="3"/>
  <c r="AG32" i="3" s="1"/>
  <c r="AE37" i="3"/>
  <c r="AG37" i="3" s="1"/>
  <c r="AE42" i="3"/>
  <c r="AE48" i="3"/>
  <c r="AG48" i="3" s="1"/>
  <c r="AE53" i="3"/>
  <c r="AG53" i="3" s="1"/>
  <c r="AE58" i="3"/>
  <c r="AG58" i="3" s="1"/>
  <c r="AE64" i="3"/>
  <c r="AE69" i="3"/>
  <c r="AG69" i="3" s="1"/>
  <c r="AE74" i="3"/>
  <c r="AG74" i="3" s="1"/>
  <c r="AE80" i="3"/>
  <c r="AG80" i="3" s="1"/>
  <c r="AE85" i="3"/>
  <c r="AE90" i="3"/>
  <c r="AG90" i="3" s="1"/>
  <c r="AE96" i="3"/>
  <c r="AG96" i="3" s="1"/>
  <c r="AE101" i="3"/>
  <c r="AG101" i="3" s="1"/>
  <c r="AE106" i="3"/>
  <c r="AE112" i="3"/>
  <c r="AG112" i="3" s="1"/>
  <c r="AE117" i="3"/>
  <c r="AG117" i="3" s="1"/>
  <c r="AE122" i="3"/>
  <c r="AG122" i="3" s="1"/>
  <c r="AE128" i="3"/>
  <c r="AE133" i="3"/>
  <c r="AG133" i="3" s="1"/>
  <c r="AE138" i="3"/>
  <c r="AG138" i="3" s="1"/>
  <c r="AE144" i="3"/>
  <c r="AG144" i="3" s="1"/>
  <c r="AE149" i="3"/>
  <c r="AE154" i="3"/>
  <c r="AG154" i="3" s="1"/>
  <c r="AE160" i="3"/>
  <c r="AG160" i="3" s="1"/>
  <c r="AE165" i="3"/>
  <c r="AG165" i="3" s="1"/>
  <c r="AE170" i="3"/>
  <c r="AE176" i="3"/>
  <c r="AG176" i="3" s="1"/>
  <c r="AE181" i="3"/>
  <c r="AG181" i="3" s="1"/>
  <c r="AE186" i="3"/>
  <c r="AG186" i="3" s="1"/>
  <c r="AE192" i="3"/>
  <c r="AE197" i="3"/>
  <c r="AE202" i="3"/>
  <c r="AG202" i="3" s="1"/>
  <c r="AE208" i="3"/>
  <c r="AG208" i="3" s="1"/>
  <c r="AE213" i="3"/>
  <c r="AE218" i="3"/>
  <c r="AG218" i="3" s="1"/>
  <c r="AE224" i="3"/>
  <c r="AG224" i="3" s="1"/>
  <c r="AE229" i="3"/>
  <c r="AG229" i="3" s="1"/>
  <c r="AE234" i="3"/>
  <c r="AE240" i="3"/>
  <c r="AG240" i="3" s="1"/>
  <c r="AE245" i="3"/>
  <c r="AG245" i="3" s="1"/>
  <c r="AE250" i="3"/>
  <c r="AG250" i="3" s="1"/>
  <c r="AE256" i="3"/>
  <c r="AE261" i="3"/>
  <c r="AE266" i="3"/>
  <c r="AG266" i="3" s="1"/>
  <c r="AE272" i="3"/>
  <c r="AG272" i="3" s="1"/>
  <c r="AE277" i="3"/>
  <c r="AE282" i="3"/>
  <c r="AG282" i="3" s="1"/>
  <c r="AE288" i="3"/>
  <c r="AG288" i="3" s="1"/>
  <c r="AE293" i="3"/>
  <c r="AG293" i="3" s="1"/>
  <c r="AE298" i="3"/>
  <c r="AE304" i="3"/>
  <c r="AE309" i="3"/>
  <c r="AG309" i="3" s="1"/>
  <c r="AE314" i="3"/>
  <c r="AG314" i="3" s="1"/>
  <c r="AE320" i="3"/>
  <c r="AE325" i="3"/>
  <c r="AG325" i="3" s="1"/>
  <c r="AE330" i="3"/>
  <c r="AG330" i="3" s="1"/>
  <c r="AE336" i="3"/>
  <c r="AG336" i="3" s="1"/>
  <c r="AE341" i="3"/>
  <c r="AE345" i="3"/>
  <c r="AG345" i="3" s="1"/>
  <c r="AE349" i="3"/>
  <c r="AG349" i="3" s="1"/>
  <c r="AE353" i="3"/>
  <c r="AG353" i="3" s="1"/>
  <c r="AE357" i="3"/>
  <c r="AE361" i="3"/>
  <c r="AG361" i="3" s="1"/>
  <c r="AE365" i="3"/>
  <c r="AG365" i="3" s="1"/>
  <c r="AE369" i="3"/>
  <c r="AG369" i="3" s="1"/>
  <c r="AE373" i="3"/>
  <c r="AE377" i="3"/>
  <c r="AE381" i="3"/>
  <c r="AG381" i="3" s="1"/>
  <c r="AE385" i="3"/>
  <c r="AG385" i="3" s="1"/>
  <c r="AE389" i="3"/>
  <c r="AE393" i="3"/>
  <c r="AE397" i="3"/>
  <c r="AG397" i="3" s="1"/>
  <c r="AE401" i="3"/>
  <c r="AG401" i="3" s="1"/>
  <c r="AE405" i="3"/>
  <c r="AE409" i="3"/>
  <c r="AG409" i="3" s="1"/>
  <c r="AE413" i="3"/>
  <c r="AG413" i="3" s="1"/>
  <c r="AE6" i="3"/>
  <c r="AG6" i="3" s="1"/>
  <c r="AE12" i="3"/>
  <c r="AE17" i="3"/>
  <c r="AE22" i="3"/>
  <c r="AG22" i="3" s="1"/>
  <c r="AE28" i="3"/>
  <c r="AG28" i="3" s="1"/>
  <c r="AE33" i="3"/>
  <c r="AE38" i="3"/>
  <c r="AE44" i="3"/>
  <c r="AG44" i="3" s="1"/>
  <c r="AE49" i="3"/>
  <c r="AE54" i="3"/>
  <c r="AE60" i="3"/>
  <c r="AE65" i="3"/>
  <c r="AG65" i="3" s="1"/>
  <c r="AE70" i="3"/>
  <c r="AG70" i="3" s="1"/>
  <c r="AE76" i="3"/>
  <c r="AE81" i="3"/>
  <c r="AE86" i="3"/>
  <c r="AG86" i="3" s="1"/>
  <c r="AE92" i="3"/>
  <c r="AG92" i="3" s="1"/>
  <c r="AE97" i="3"/>
  <c r="AE102" i="3"/>
  <c r="AE108" i="3"/>
  <c r="AG108" i="3" s="1"/>
  <c r="AE113" i="3"/>
  <c r="AG113" i="3" s="1"/>
  <c r="AE118" i="3"/>
  <c r="AE124" i="3"/>
  <c r="AG124" i="3" s="1"/>
  <c r="AE129" i="3"/>
  <c r="AG129" i="3" s="1"/>
  <c r="AE134" i="3"/>
  <c r="AG134" i="3" s="1"/>
  <c r="AE140" i="3"/>
  <c r="AE145" i="3"/>
  <c r="AG145" i="3" s="1"/>
  <c r="AE150" i="3"/>
  <c r="AG150" i="3" s="1"/>
  <c r="AE156" i="3"/>
  <c r="AG156" i="3" s="1"/>
  <c r="AE161" i="3"/>
  <c r="AE166" i="3"/>
  <c r="AG166" i="3" s="1"/>
  <c r="AE172" i="3"/>
  <c r="AG172" i="3" s="1"/>
  <c r="AE177" i="3"/>
  <c r="AG177" i="3" s="1"/>
  <c r="AE182" i="3"/>
  <c r="AE188" i="3"/>
  <c r="AE193" i="3"/>
  <c r="AG193" i="3" s="1"/>
  <c r="AE198" i="3"/>
  <c r="AE204" i="3"/>
  <c r="AE209" i="3"/>
  <c r="AG209" i="3" s="1"/>
  <c r="AE214" i="3"/>
  <c r="AG214" i="3" s="1"/>
  <c r="AE220" i="3"/>
  <c r="AG220" i="3" s="1"/>
  <c r="AE225" i="3"/>
  <c r="AE230" i="3"/>
  <c r="AE236" i="3"/>
  <c r="AG236" i="3" s="1"/>
  <c r="AE241" i="3"/>
  <c r="AE246" i="3"/>
  <c r="AE252" i="3"/>
  <c r="AG252" i="3" s="1"/>
  <c r="AE257" i="3"/>
  <c r="AG257" i="3" s="1"/>
  <c r="AE262" i="3"/>
  <c r="AG262" i="3" s="1"/>
  <c r="AE268" i="3"/>
  <c r="AE273" i="3"/>
  <c r="AE278" i="3"/>
  <c r="AG278" i="3" s="1"/>
  <c r="AE284" i="3"/>
  <c r="AG284" i="3" s="1"/>
  <c r="AE289" i="3"/>
  <c r="AE294" i="3"/>
  <c r="AE300" i="3"/>
  <c r="AG300" i="3" s="1"/>
  <c r="AE305" i="3"/>
  <c r="AE310" i="3"/>
  <c r="AE316" i="3"/>
  <c r="AG316" i="3" s="1"/>
  <c r="AE321" i="3"/>
  <c r="AG321" i="3" s="1"/>
  <c r="AE326" i="3"/>
  <c r="AG326" i="3" s="1"/>
  <c r="AE332" i="3"/>
  <c r="AE337" i="3"/>
  <c r="AE342" i="3"/>
  <c r="AG342" i="3" s="1"/>
  <c r="AE346" i="3"/>
  <c r="AE350" i="3"/>
  <c r="AE354" i="3"/>
  <c r="AE358" i="3"/>
  <c r="AG358" i="3" s="1"/>
  <c r="AE362" i="3"/>
  <c r="AG362" i="3" s="1"/>
  <c r="AE366" i="3"/>
  <c r="AE370" i="3"/>
  <c r="AE374" i="3"/>
  <c r="AG374" i="3" s="1"/>
  <c r="AE378" i="3"/>
  <c r="AG378" i="3" s="1"/>
  <c r="AE382" i="3"/>
  <c r="AE386" i="3"/>
  <c r="AG386" i="3" s="1"/>
  <c r="AE390" i="3"/>
  <c r="AG390" i="3" s="1"/>
  <c r="AE394" i="3"/>
  <c r="AG394" i="3" s="1"/>
  <c r="AE398" i="3"/>
  <c r="AE402" i="3"/>
  <c r="AG402" i="3" s="1"/>
  <c r="AE406" i="3"/>
  <c r="AG406" i="3" s="1"/>
  <c r="AE410" i="3"/>
  <c r="AG410" i="3" s="1"/>
  <c r="AE414" i="3"/>
  <c r="AE418" i="3"/>
  <c r="AE422" i="3"/>
  <c r="AG422" i="3" s="1"/>
  <c r="AE426" i="3"/>
  <c r="AG426" i="3" s="1"/>
  <c r="AE632" i="3"/>
  <c r="AE628" i="3"/>
  <c r="AG628" i="3" s="1"/>
  <c r="AE624" i="3"/>
  <c r="AG624" i="3" s="1"/>
  <c r="AE620" i="3"/>
  <c r="AE616" i="3"/>
  <c r="AE612" i="3"/>
  <c r="AE608" i="3"/>
  <c r="AG608" i="3" s="1"/>
  <c r="AE604" i="3"/>
  <c r="AG604" i="3" s="1"/>
  <c r="AE600" i="3"/>
  <c r="AE596" i="3"/>
  <c r="AG596" i="3" s="1"/>
  <c r="AE592" i="3"/>
  <c r="AG592" i="3" s="1"/>
  <c r="AE588" i="3"/>
  <c r="AG588" i="3" s="1"/>
  <c r="AE584" i="3"/>
  <c r="AE580" i="3"/>
  <c r="AG580" i="3" s="1"/>
  <c r="AE576" i="3"/>
  <c r="AG576" i="3" s="1"/>
  <c r="AE572" i="3"/>
  <c r="AG572" i="3" s="1"/>
  <c r="AE568" i="3"/>
  <c r="AE564" i="3"/>
  <c r="AG564" i="3" s="1"/>
  <c r="AE560" i="3"/>
  <c r="AG560" i="3" s="1"/>
  <c r="AE556" i="3"/>
  <c r="AG556" i="3" s="1"/>
  <c r="AE552" i="3"/>
  <c r="AE548" i="3"/>
  <c r="AG548" i="3" s="1"/>
  <c r="AE544" i="3"/>
  <c r="AG544" i="3" s="1"/>
  <c r="AE540" i="3"/>
  <c r="AG540" i="3" s="1"/>
  <c r="AE536" i="3"/>
  <c r="AE532" i="3"/>
  <c r="AG532" i="3" s="1"/>
  <c r="AE528" i="3"/>
  <c r="AG528" i="3" s="1"/>
  <c r="AE524" i="3"/>
  <c r="AG524" i="3" s="1"/>
  <c r="AE520" i="3"/>
  <c r="AE516" i="3"/>
  <c r="AG516" i="3" s="1"/>
  <c r="AE512" i="3"/>
  <c r="AG512" i="3" s="1"/>
  <c r="AE508" i="3"/>
  <c r="AE504" i="3"/>
  <c r="AE500" i="3"/>
  <c r="AG500" i="3" s="1"/>
  <c r="AE496" i="3"/>
  <c r="AG496" i="3" s="1"/>
  <c r="AE492" i="3"/>
  <c r="AG492" i="3" s="1"/>
  <c r="AE488" i="3"/>
  <c r="AE484" i="3"/>
  <c r="AE480" i="3"/>
  <c r="AG480" i="3" s="1"/>
  <c r="AE476" i="3"/>
  <c r="AE472" i="3"/>
  <c r="AE468" i="3"/>
  <c r="AG468" i="3" s="1"/>
  <c r="AE464" i="3"/>
  <c r="AG464" i="3" s="1"/>
  <c r="AE460" i="3"/>
  <c r="AG460" i="3" s="1"/>
  <c r="AE456" i="3"/>
  <c r="AE452" i="3"/>
  <c r="AG452" i="3" s="1"/>
  <c r="AE448" i="3"/>
  <c r="AG448" i="3" s="1"/>
  <c r="AE444" i="3"/>
  <c r="AG444" i="3" s="1"/>
  <c r="AE440" i="3"/>
  <c r="AE436" i="3"/>
  <c r="AG436" i="3" s="1"/>
  <c r="AE432" i="3"/>
  <c r="AG432" i="3" s="1"/>
  <c r="AE428" i="3"/>
  <c r="AG428" i="3" s="1"/>
  <c r="AE423" i="3"/>
  <c r="AE417" i="3"/>
  <c r="AE411" i="3"/>
  <c r="AG411" i="3" s="1"/>
  <c r="AE403" i="3"/>
  <c r="AG403" i="3" s="1"/>
  <c r="AE395" i="3"/>
  <c r="AE387" i="3"/>
  <c r="AE379" i="3"/>
  <c r="AG379" i="3" s="1"/>
  <c r="AE371" i="3"/>
  <c r="AG371" i="3" s="1"/>
  <c r="AE363" i="3"/>
  <c r="AE355" i="3"/>
  <c r="AE347" i="3"/>
  <c r="AG347" i="3" s="1"/>
  <c r="AE338" i="3"/>
  <c r="AG338" i="3" s="1"/>
  <c r="AE328" i="3"/>
  <c r="AE317" i="3"/>
  <c r="AG317" i="3" s="1"/>
  <c r="AE306" i="3"/>
  <c r="AE296" i="3"/>
  <c r="AG296" i="3" s="1"/>
  <c r="AE285" i="3"/>
  <c r="AE274" i="3"/>
  <c r="AG274" i="3" s="1"/>
  <c r="AE264" i="3"/>
  <c r="AG264" i="3" s="1"/>
  <c r="AE253" i="3"/>
  <c r="AG253" i="3" s="1"/>
  <c r="AE242" i="3"/>
  <c r="AE232" i="3"/>
  <c r="AG232" i="3" s="1"/>
  <c r="AE221" i="3"/>
  <c r="AG221" i="3" s="1"/>
  <c r="AE210" i="3"/>
  <c r="AG210" i="3" s="1"/>
  <c r="AE200" i="3"/>
  <c r="AE189" i="3"/>
  <c r="AE178" i="3"/>
  <c r="AE168" i="3"/>
  <c r="AG168" i="3" s="1"/>
  <c r="AE157" i="3"/>
  <c r="AE146" i="3"/>
  <c r="AG146" i="3" s="1"/>
  <c r="AE136" i="3"/>
  <c r="AG136" i="3" s="1"/>
  <c r="AE125" i="3"/>
  <c r="AE114" i="3"/>
  <c r="AE104" i="3"/>
  <c r="AG104" i="3" s="1"/>
  <c r="AE93" i="3"/>
  <c r="AG93" i="3" s="1"/>
  <c r="AE82" i="3"/>
  <c r="AG82" i="3" s="1"/>
  <c r="AE72" i="3"/>
  <c r="AE61" i="3"/>
  <c r="AG61" i="3" s="1"/>
  <c r="AE50" i="3"/>
  <c r="AG50" i="3" s="1"/>
  <c r="AE40" i="3"/>
  <c r="AE29" i="3"/>
  <c r="AE18" i="3"/>
  <c r="AE8" i="3"/>
  <c r="AG8" i="3" s="1"/>
  <c r="AB412" i="3"/>
  <c r="AC412" i="3" s="1"/>
  <c r="AB631" i="3"/>
  <c r="AC631" i="3" s="1"/>
  <c r="AF631" i="3" s="1"/>
  <c r="AB567" i="3"/>
  <c r="AC567" i="3" s="1"/>
  <c r="AB492" i="3"/>
  <c r="AC492" i="3" s="1"/>
  <c r="AB364" i="3"/>
  <c r="AC364" i="3" s="1"/>
  <c r="AB130" i="3"/>
  <c r="AC130" i="3" s="1"/>
  <c r="AF130" i="3" s="1"/>
  <c r="AB599" i="3"/>
  <c r="AC599" i="3" s="1"/>
  <c r="AB535" i="3"/>
  <c r="AC535" i="3" s="1"/>
  <c r="AB258" i="3"/>
  <c r="AC258" i="3" s="1"/>
  <c r="AB591" i="3"/>
  <c r="AC591" i="3" s="1"/>
  <c r="AF591" i="3" s="1"/>
  <c r="AB527" i="3"/>
  <c r="AC527" i="3" s="1"/>
  <c r="AF527" i="3" s="1"/>
  <c r="AB226" i="3"/>
  <c r="AC226" i="3" s="1"/>
  <c r="AB623" i="3"/>
  <c r="AC623" i="3" s="1"/>
  <c r="AF623" i="3" s="1"/>
  <c r="AB559" i="3"/>
  <c r="AC559" i="3" s="1"/>
  <c r="AF559" i="3" s="1"/>
  <c r="AB476" i="3"/>
  <c r="AC476" i="3" s="1"/>
  <c r="AB348" i="3"/>
  <c r="AC348" i="3" s="1"/>
  <c r="AB98" i="3"/>
  <c r="AB615" i="3"/>
  <c r="AC615" i="3" s="1"/>
  <c r="AB583" i="3"/>
  <c r="AC583" i="3" s="1"/>
  <c r="AB551" i="3"/>
  <c r="AC551" i="3" s="1"/>
  <c r="AB519" i="3"/>
  <c r="AC519" i="3" s="1"/>
  <c r="AB460" i="3"/>
  <c r="AC460" i="3" s="1"/>
  <c r="AB396" i="3"/>
  <c r="AC396" i="3" s="1"/>
  <c r="AB322" i="3"/>
  <c r="AC322" i="3" s="1"/>
  <c r="AF322" i="3" s="1"/>
  <c r="AB194" i="3"/>
  <c r="AC194" i="3" s="1"/>
  <c r="AB66" i="3"/>
  <c r="AC66" i="3" s="1"/>
  <c r="AB607" i="3"/>
  <c r="AC607" i="3" s="1"/>
  <c r="AF607" i="3" s="1"/>
  <c r="AB575" i="3"/>
  <c r="AC575" i="3" s="1"/>
  <c r="AB543" i="3"/>
  <c r="AC543" i="3" s="1"/>
  <c r="AF543" i="3" s="1"/>
  <c r="AB508" i="3"/>
  <c r="AC508" i="3" s="1"/>
  <c r="AB444" i="3"/>
  <c r="AC444" i="3" s="1"/>
  <c r="AB380" i="3"/>
  <c r="AC380" i="3" s="1"/>
  <c r="AF380" i="3" s="1"/>
  <c r="AB290" i="3"/>
  <c r="AB162" i="3"/>
  <c r="AC162" i="3" s="1"/>
  <c r="AB3" i="3"/>
  <c r="AC3" i="3" s="1"/>
  <c r="AB7" i="3"/>
  <c r="AC7" i="3" s="1"/>
  <c r="AB11" i="3"/>
  <c r="AC11" i="3" s="1"/>
  <c r="AB15" i="3"/>
  <c r="AC15" i="3" s="1"/>
  <c r="AB19" i="3"/>
  <c r="AC19" i="3" s="1"/>
  <c r="AB23" i="3"/>
  <c r="AC23" i="3" s="1"/>
  <c r="AB27" i="3"/>
  <c r="AC27" i="3" s="1"/>
  <c r="AB31" i="3"/>
  <c r="AC31" i="3" s="1"/>
  <c r="AB35" i="3"/>
  <c r="AC35" i="3" s="1"/>
  <c r="AB39" i="3"/>
  <c r="AC39" i="3" s="1"/>
  <c r="AB43" i="3"/>
  <c r="AC43" i="3" s="1"/>
  <c r="AB47" i="3"/>
  <c r="AC47" i="3" s="1"/>
  <c r="AB51" i="3"/>
  <c r="AC51" i="3" s="1"/>
  <c r="AB55" i="3"/>
  <c r="AC55" i="3" s="1"/>
  <c r="AB59" i="3"/>
  <c r="AC59" i="3" s="1"/>
  <c r="AB63" i="3"/>
  <c r="AC63" i="3" s="1"/>
  <c r="AB67" i="3"/>
  <c r="AC67" i="3" s="1"/>
  <c r="AB71" i="3"/>
  <c r="AC71" i="3" s="1"/>
  <c r="AB75" i="3"/>
  <c r="AC75" i="3" s="1"/>
  <c r="AB79" i="3"/>
  <c r="AC79" i="3" s="1"/>
  <c r="AB83" i="3"/>
  <c r="AC83" i="3" s="1"/>
  <c r="AB87" i="3"/>
  <c r="AC87" i="3" s="1"/>
  <c r="AB91" i="3"/>
  <c r="AC91" i="3" s="1"/>
  <c r="AB95" i="3"/>
  <c r="AC95" i="3" s="1"/>
  <c r="AB99" i="3"/>
  <c r="AC99" i="3" s="1"/>
  <c r="AB103" i="3"/>
  <c r="AC103" i="3" s="1"/>
  <c r="AB107" i="3"/>
  <c r="AC107" i="3" s="1"/>
  <c r="AB111" i="3"/>
  <c r="AC111" i="3" s="1"/>
  <c r="AB115" i="3"/>
  <c r="AC115" i="3" s="1"/>
  <c r="AB119" i="3"/>
  <c r="AC119" i="3" s="1"/>
  <c r="AB123" i="3"/>
  <c r="AC123" i="3" s="1"/>
  <c r="AB127" i="3"/>
  <c r="AC127" i="3" s="1"/>
  <c r="AB131" i="3"/>
  <c r="AC131" i="3" s="1"/>
  <c r="AB135" i="3"/>
  <c r="AC135" i="3" s="1"/>
  <c r="AB139" i="3"/>
  <c r="AC139" i="3" s="1"/>
  <c r="AB143" i="3"/>
  <c r="AC143" i="3" s="1"/>
  <c r="AB147" i="3"/>
  <c r="AC147" i="3" s="1"/>
  <c r="AB151" i="3"/>
  <c r="AC151" i="3" s="1"/>
  <c r="AB155" i="3"/>
  <c r="AC155" i="3" s="1"/>
  <c r="AB159" i="3"/>
  <c r="AC159" i="3" s="1"/>
  <c r="AB163" i="3"/>
  <c r="AC163" i="3" s="1"/>
  <c r="AB167" i="3"/>
  <c r="AC167" i="3" s="1"/>
  <c r="AB171" i="3"/>
  <c r="AC171" i="3" s="1"/>
  <c r="AB175" i="3"/>
  <c r="AC175" i="3" s="1"/>
  <c r="AB179" i="3"/>
  <c r="AC179" i="3" s="1"/>
  <c r="AB183" i="3"/>
  <c r="AC183" i="3" s="1"/>
  <c r="AB187" i="3"/>
  <c r="AC187" i="3" s="1"/>
  <c r="AB191" i="3"/>
  <c r="AC191" i="3" s="1"/>
  <c r="AB195" i="3"/>
  <c r="AC195" i="3" s="1"/>
  <c r="AB199" i="3"/>
  <c r="AC199" i="3" s="1"/>
  <c r="AB203" i="3"/>
  <c r="AC203" i="3" s="1"/>
  <c r="AB207" i="3"/>
  <c r="AC207" i="3" s="1"/>
  <c r="AB211" i="3"/>
  <c r="AC211" i="3" s="1"/>
  <c r="AB215" i="3"/>
  <c r="AC215" i="3" s="1"/>
  <c r="AB219" i="3"/>
  <c r="AC219" i="3" s="1"/>
  <c r="AB223" i="3"/>
  <c r="AC223" i="3" s="1"/>
  <c r="AB227" i="3"/>
  <c r="AC227" i="3" s="1"/>
  <c r="AB231" i="3"/>
  <c r="AC231" i="3" s="1"/>
  <c r="AB235" i="3"/>
  <c r="AC235" i="3" s="1"/>
  <c r="AB239" i="3"/>
  <c r="AC239" i="3" s="1"/>
  <c r="AB243" i="3"/>
  <c r="AC243" i="3" s="1"/>
  <c r="AB247" i="3"/>
  <c r="AC247" i="3" s="1"/>
  <c r="AB251" i="3"/>
  <c r="AC251" i="3" s="1"/>
  <c r="AB255" i="3"/>
  <c r="AC255" i="3" s="1"/>
  <c r="AB259" i="3"/>
  <c r="AC259" i="3" s="1"/>
  <c r="AB263" i="3"/>
  <c r="AC263" i="3" s="1"/>
  <c r="AB267" i="3"/>
  <c r="AC267" i="3" s="1"/>
  <c r="AB271" i="3"/>
  <c r="AC271" i="3" s="1"/>
  <c r="AB275" i="3"/>
  <c r="AC275" i="3" s="1"/>
  <c r="AB279" i="3"/>
  <c r="AC279" i="3" s="1"/>
  <c r="AB283" i="3"/>
  <c r="AC283" i="3" s="1"/>
  <c r="AB287" i="3"/>
  <c r="AC287" i="3" s="1"/>
  <c r="AB291" i="3"/>
  <c r="AC291" i="3" s="1"/>
  <c r="AB295" i="3"/>
  <c r="AC295" i="3" s="1"/>
  <c r="AB299" i="3"/>
  <c r="AC299" i="3" s="1"/>
  <c r="AB303" i="3"/>
  <c r="AC303" i="3" s="1"/>
  <c r="AB307" i="3"/>
  <c r="AC307" i="3" s="1"/>
  <c r="AB311" i="3"/>
  <c r="AC311" i="3" s="1"/>
  <c r="AB315" i="3"/>
  <c r="AC315" i="3" s="1"/>
  <c r="AB319" i="3"/>
  <c r="AC319" i="3" s="1"/>
  <c r="AB323" i="3"/>
  <c r="AC323" i="3" s="1"/>
  <c r="AB327" i="3"/>
  <c r="AC327" i="3" s="1"/>
  <c r="AB331" i="3"/>
  <c r="AC331" i="3" s="1"/>
  <c r="AB335" i="3"/>
  <c r="AC335" i="3" s="1"/>
  <c r="AB339" i="3"/>
  <c r="AC339" i="3" s="1"/>
  <c r="AB4" i="3"/>
  <c r="AC4" i="3" s="1"/>
  <c r="AB8" i="3"/>
  <c r="AC8" i="3" s="1"/>
  <c r="AB12" i="3"/>
  <c r="AC12" i="3" s="1"/>
  <c r="AB16" i="3"/>
  <c r="AC16" i="3" s="1"/>
  <c r="AB20" i="3"/>
  <c r="AC20" i="3" s="1"/>
  <c r="AB24" i="3"/>
  <c r="AC24" i="3" s="1"/>
  <c r="AB28" i="3"/>
  <c r="AC28" i="3" s="1"/>
  <c r="AB32" i="3"/>
  <c r="AC32" i="3" s="1"/>
  <c r="AF32" i="3" s="1"/>
  <c r="AB36" i="3"/>
  <c r="AC36" i="3" s="1"/>
  <c r="AF36" i="3" s="1"/>
  <c r="AB40" i="3"/>
  <c r="AC40" i="3" s="1"/>
  <c r="AB48" i="3"/>
  <c r="AC48" i="3" s="1"/>
  <c r="AB52" i="3"/>
  <c r="AC52" i="3" s="1"/>
  <c r="AF52" i="3" s="1"/>
  <c r="AB56" i="3"/>
  <c r="AC56" i="3" s="1"/>
  <c r="AF56" i="3" s="1"/>
  <c r="AB60" i="3"/>
  <c r="AC60" i="3" s="1"/>
  <c r="AF60" i="3" s="1"/>
  <c r="AB64" i="3"/>
  <c r="AC64" i="3" s="1"/>
  <c r="AF64" i="3" s="1"/>
  <c r="AB68" i="3"/>
  <c r="AC68" i="3" s="1"/>
  <c r="AF68" i="3" s="1"/>
  <c r="AB72" i="3"/>
  <c r="AC72" i="3" s="1"/>
  <c r="AF72" i="3" s="1"/>
  <c r="AB80" i="3"/>
  <c r="AC80" i="3" s="1"/>
  <c r="AB84" i="3"/>
  <c r="AC84" i="3" s="1"/>
  <c r="AF84" i="3" s="1"/>
  <c r="AB88" i="3"/>
  <c r="AC88" i="3" s="1"/>
  <c r="AB92" i="3"/>
  <c r="AC92" i="3" s="1"/>
  <c r="AB96" i="3"/>
  <c r="AC96" i="3" s="1"/>
  <c r="AF96" i="3" s="1"/>
  <c r="AB100" i="3"/>
  <c r="AC100" i="3" s="1"/>
  <c r="AF100" i="3" s="1"/>
  <c r="AB104" i="3"/>
  <c r="AC104" i="3" s="1"/>
  <c r="AB108" i="3"/>
  <c r="AC108" i="3" s="1"/>
  <c r="AB112" i="3"/>
  <c r="AC112" i="3" s="1"/>
  <c r="AB116" i="3"/>
  <c r="AC116" i="3" s="1"/>
  <c r="AB120" i="3"/>
  <c r="AC120" i="3" s="1"/>
  <c r="AB124" i="3"/>
  <c r="AC124" i="3" s="1"/>
  <c r="AF124" i="3" s="1"/>
  <c r="AB128" i="3"/>
  <c r="AC128" i="3" s="1"/>
  <c r="AF128" i="3" s="1"/>
  <c r="AB132" i="3"/>
  <c r="AC132" i="3" s="1"/>
  <c r="AF132" i="3" s="1"/>
  <c r="AB136" i="3"/>
  <c r="AC136" i="3" s="1"/>
  <c r="AB140" i="3"/>
  <c r="AC140" i="3" s="1"/>
  <c r="AB144" i="3"/>
  <c r="AC144" i="3" s="1"/>
  <c r="AB148" i="3"/>
  <c r="AC148" i="3" s="1"/>
  <c r="AB152" i="3"/>
  <c r="AC152" i="3" s="1"/>
  <c r="AB156" i="3"/>
  <c r="AC156" i="3" s="1"/>
  <c r="AB160" i="3"/>
  <c r="AC160" i="3" s="1"/>
  <c r="AF160" i="3" s="1"/>
  <c r="AB164" i="3"/>
  <c r="AC164" i="3" s="1"/>
  <c r="AB168" i="3"/>
  <c r="AC168" i="3" s="1"/>
  <c r="AB172" i="3"/>
  <c r="AC172" i="3" s="1"/>
  <c r="AB176" i="3"/>
  <c r="AC176" i="3" s="1"/>
  <c r="AB180" i="3"/>
  <c r="AC180" i="3" s="1"/>
  <c r="AF180" i="3" s="1"/>
  <c r="AB184" i="3"/>
  <c r="AC184" i="3" s="1"/>
  <c r="AF184" i="3" s="1"/>
  <c r="AB188" i="3"/>
  <c r="AC188" i="3" s="1"/>
  <c r="AF188" i="3" s="1"/>
  <c r="AB192" i="3"/>
  <c r="AC192" i="3" s="1"/>
  <c r="AF192" i="3" s="1"/>
  <c r="AB196" i="3"/>
  <c r="AC196" i="3" s="1"/>
  <c r="AF196" i="3" s="1"/>
  <c r="AB200" i="3"/>
  <c r="AC200" i="3" s="1"/>
  <c r="AF200" i="3" s="1"/>
  <c r="AB204" i="3"/>
  <c r="AC204" i="3" s="1"/>
  <c r="AB208" i="3"/>
  <c r="AC208" i="3" s="1"/>
  <c r="AB212" i="3"/>
  <c r="AC212" i="3" s="1"/>
  <c r="AF212" i="3" s="1"/>
  <c r="AB216" i="3"/>
  <c r="AC216" i="3" s="1"/>
  <c r="AB220" i="3"/>
  <c r="AC220" i="3" s="1"/>
  <c r="AB224" i="3"/>
  <c r="AC224" i="3" s="1"/>
  <c r="AF224" i="3" s="1"/>
  <c r="AB228" i="3"/>
  <c r="AC228" i="3" s="1"/>
  <c r="AB232" i="3"/>
  <c r="AC232" i="3" s="1"/>
  <c r="AB236" i="3"/>
  <c r="AC236" i="3" s="1"/>
  <c r="AB240" i="3"/>
  <c r="AC240" i="3" s="1"/>
  <c r="AB244" i="3"/>
  <c r="AC244" i="3" s="1"/>
  <c r="AB248" i="3"/>
  <c r="AC248" i="3" s="1"/>
  <c r="AB252" i="3"/>
  <c r="AC252" i="3" s="1"/>
  <c r="AF252" i="3" s="1"/>
  <c r="AB256" i="3"/>
  <c r="AC256" i="3" s="1"/>
  <c r="AF256" i="3" s="1"/>
  <c r="AB260" i="3"/>
  <c r="AC260" i="3" s="1"/>
  <c r="AF260" i="3" s="1"/>
  <c r="AB264" i="3"/>
  <c r="AC264" i="3" s="1"/>
  <c r="AB268" i="3"/>
  <c r="AC268" i="3" s="1"/>
  <c r="AB272" i="3"/>
  <c r="AC272" i="3" s="1"/>
  <c r="AB276" i="3"/>
  <c r="AC276" i="3" s="1"/>
  <c r="AB280" i="3"/>
  <c r="AC280" i="3" s="1"/>
  <c r="AB284" i="3"/>
  <c r="AC284" i="3" s="1"/>
  <c r="AB288" i="3"/>
  <c r="AC288" i="3" s="1"/>
  <c r="AF288" i="3" s="1"/>
  <c r="AB292" i="3"/>
  <c r="AC292" i="3" s="1"/>
  <c r="AF292" i="3" s="1"/>
  <c r="AB296" i="3"/>
  <c r="AC296" i="3" s="1"/>
  <c r="AB300" i="3"/>
  <c r="AC300" i="3" s="1"/>
  <c r="AB304" i="3"/>
  <c r="AC304" i="3" s="1"/>
  <c r="AB308" i="3"/>
  <c r="AC308" i="3" s="1"/>
  <c r="AF308" i="3" s="1"/>
  <c r="AB312" i="3"/>
  <c r="AC312" i="3" s="1"/>
  <c r="AF312" i="3" s="1"/>
  <c r="AB316" i="3"/>
  <c r="AC316" i="3" s="1"/>
  <c r="AF316" i="3" s="1"/>
  <c r="AB320" i="3"/>
  <c r="AC320" i="3" s="1"/>
  <c r="AF320" i="3" s="1"/>
  <c r="AB324" i="3"/>
  <c r="AC324" i="3" s="1"/>
  <c r="AF324" i="3" s="1"/>
  <c r="AB328" i="3"/>
  <c r="AC328" i="3" s="1"/>
  <c r="AF328" i="3" s="1"/>
  <c r="AB332" i="3"/>
  <c r="AC332" i="3" s="1"/>
  <c r="AB336" i="3"/>
  <c r="AC336" i="3" s="1"/>
  <c r="AB340" i="3"/>
  <c r="AC340" i="3" s="1"/>
  <c r="AF340" i="3" s="1"/>
  <c r="AB5" i="3"/>
  <c r="AC5" i="3" s="1"/>
  <c r="AB13" i="3"/>
  <c r="AC13" i="3" s="1"/>
  <c r="AB21" i="3"/>
  <c r="AC21" i="3" s="1"/>
  <c r="AF21" i="3" s="1"/>
  <c r="AB29" i="3"/>
  <c r="AC29" i="3" s="1"/>
  <c r="AB37" i="3"/>
  <c r="AC37" i="3" s="1"/>
  <c r="AB45" i="3"/>
  <c r="AC45" i="3" s="1"/>
  <c r="AF45" i="3" s="1"/>
  <c r="AB53" i="3"/>
  <c r="AC53" i="3" s="1"/>
  <c r="AF53" i="3" s="1"/>
  <c r="AB61" i="3"/>
  <c r="AC61" i="3" s="1"/>
  <c r="AB69" i="3"/>
  <c r="AC69" i="3" s="1"/>
  <c r="AB77" i="3"/>
  <c r="AC77" i="3" s="1"/>
  <c r="AB85" i="3"/>
  <c r="AC85" i="3" s="1"/>
  <c r="AF85" i="3" s="1"/>
  <c r="AB93" i="3"/>
  <c r="AC93" i="3" s="1"/>
  <c r="AB101" i="3"/>
  <c r="AC101" i="3" s="1"/>
  <c r="AB109" i="3"/>
  <c r="AC109" i="3" s="1"/>
  <c r="AB117" i="3"/>
  <c r="AC117" i="3" s="1"/>
  <c r="AF117" i="3" s="1"/>
  <c r="AB125" i="3"/>
  <c r="AC125" i="3" s="1"/>
  <c r="AF125" i="3" s="1"/>
  <c r="AB133" i="3"/>
  <c r="AC133" i="3" s="1"/>
  <c r="AB141" i="3"/>
  <c r="AC141" i="3" s="1"/>
  <c r="AB149" i="3"/>
  <c r="AC149" i="3" s="1"/>
  <c r="AF149" i="3" s="1"/>
  <c r="AB157" i="3"/>
  <c r="AC157" i="3" s="1"/>
  <c r="AF157" i="3" s="1"/>
  <c r="AB165" i="3"/>
  <c r="AC165" i="3" s="1"/>
  <c r="AB173" i="3"/>
  <c r="AC173" i="3" s="1"/>
  <c r="AF173" i="3" s="1"/>
  <c r="AB181" i="3"/>
  <c r="AC181" i="3" s="1"/>
  <c r="AF181" i="3" s="1"/>
  <c r="AB189" i="3"/>
  <c r="AC189" i="3" s="1"/>
  <c r="AB197" i="3"/>
  <c r="AC197" i="3" s="1"/>
  <c r="AB205" i="3"/>
  <c r="AC205" i="3" s="1"/>
  <c r="AB213" i="3"/>
  <c r="AC213" i="3" s="1"/>
  <c r="AF213" i="3" s="1"/>
  <c r="AB221" i="3"/>
  <c r="AC221" i="3" s="1"/>
  <c r="AB229" i="3"/>
  <c r="AC229" i="3" s="1"/>
  <c r="AB237" i="3"/>
  <c r="AC237" i="3" s="1"/>
  <c r="AB245" i="3"/>
  <c r="AC245" i="3" s="1"/>
  <c r="AF245" i="3" s="1"/>
  <c r="AB253" i="3"/>
  <c r="AC253" i="3" s="1"/>
  <c r="AF253" i="3" s="1"/>
  <c r="AB261" i="3"/>
  <c r="AC261" i="3" s="1"/>
  <c r="AB269" i="3"/>
  <c r="AC269" i="3" s="1"/>
  <c r="AB277" i="3"/>
  <c r="AC277" i="3" s="1"/>
  <c r="AF277" i="3" s="1"/>
  <c r="AB285" i="3"/>
  <c r="AC285" i="3" s="1"/>
  <c r="AF285" i="3" s="1"/>
  <c r="AB293" i="3"/>
  <c r="AC293" i="3" s="1"/>
  <c r="AB301" i="3"/>
  <c r="AC301" i="3" s="1"/>
  <c r="AF301" i="3" s="1"/>
  <c r="AB309" i="3"/>
  <c r="AC309" i="3" s="1"/>
  <c r="AF309" i="3" s="1"/>
  <c r="AB317" i="3"/>
  <c r="AC317" i="3" s="1"/>
  <c r="AB325" i="3"/>
  <c r="AC325" i="3" s="1"/>
  <c r="AB333" i="3"/>
  <c r="AC333" i="3" s="1"/>
  <c r="AB345" i="3"/>
  <c r="AC345" i="3" s="1"/>
  <c r="AB349" i="3"/>
  <c r="AC349" i="3" s="1"/>
  <c r="AB353" i="3"/>
  <c r="AC353" i="3" s="1"/>
  <c r="AB357" i="3"/>
  <c r="AC357" i="3" s="1"/>
  <c r="AF357" i="3" s="1"/>
  <c r="AB361" i="3"/>
  <c r="AC361" i="3" s="1"/>
  <c r="AB365" i="3"/>
  <c r="AC365" i="3" s="1"/>
  <c r="AB369" i="3"/>
  <c r="AC369" i="3" s="1"/>
  <c r="AB373" i="3"/>
  <c r="AC373" i="3" s="1"/>
  <c r="AF373" i="3" s="1"/>
  <c r="AB377" i="3"/>
  <c r="AC377" i="3" s="1"/>
  <c r="AB381" i="3"/>
  <c r="AC381" i="3" s="1"/>
  <c r="AB385" i="3"/>
  <c r="AC385" i="3" s="1"/>
  <c r="AB389" i="3"/>
  <c r="AC389" i="3" s="1"/>
  <c r="AF389" i="3" s="1"/>
  <c r="AB397" i="3"/>
  <c r="AC397" i="3" s="1"/>
  <c r="AB401" i="3"/>
  <c r="AC401" i="3" s="1"/>
  <c r="AB405" i="3"/>
  <c r="AC405" i="3" s="1"/>
  <c r="AF405" i="3" s="1"/>
  <c r="AB409" i="3"/>
  <c r="AC409" i="3" s="1"/>
  <c r="AB413" i="3"/>
  <c r="AC413" i="3" s="1"/>
  <c r="AB417" i="3"/>
  <c r="AC417" i="3" s="1"/>
  <c r="AF417" i="3" s="1"/>
  <c r="AB421" i="3"/>
  <c r="AC421" i="3" s="1"/>
  <c r="AB425" i="3"/>
  <c r="AC425" i="3" s="1"/>
  <c r="AB429" i="3"/>
  <c r="AC429" i="3" s="1"/>
  <c r="AF429" i="3" s="1"/>
  <c r="AB433" i="3"/>
  <c r="AC433" i="3" s="1"/>
  <c r="AB437" i="3"/>
  <c r="AC437" i="3" s="1"/>
  <c r="AF437" i="3" s="1"/>
  <c r="AB441" i="3"/>
  <c r="AC441" i="3" s="1"/>
  <c r="AB445" i="3"/>
  <c r="AC445" i="3" s="1"/>
  <c r="AF445" i="3" s="1"/>
  <c r="AB449" i="3"/>
  <c r="AC449" i="3" s="1"/>
  <c r="AB453" i="3"/>
  <c r="AC453" i="3" s="1"/>
  <c r="AF453" i="3" s="1"/>
  <c r="AB457" i="3"/>
  <c r="AC457" i="3" s="1"/>
  <c r="AB461" i="3"/>
  <c r="AC461" i="3" s="1"/>
  <c r="AF461" i="3" s="1"/>
  <c r="AB465" i="3"/>
  <c r="AC465" i="3" s="1"/>
  <c r="AB469" i="3"/>
  <c r="AC469" i="3" s="1"/>
  <c r="AF469" i="3" s="1"/>
  <c r="AB473" i="3"/>
  <c r="AC473" i="3" s="1"/>
  <c r="AB477" i="3"/>
  <c r="AC477" i="3" s="1"/>
  <c r="AF477" i="3" s="1"/>
  <c r="AB481" i="3"/>
  <c r="AC481" i="3" s="1"/>
  <c r="AB485" i="3"/>
  <c r="AC485" i="3" s="1"/>
  <c r="AF485" i="3" s="1"/>
  <c r="AB489" i="3"/>
  <c r="AC489" i="3" s="1"/>
  <c r="AB493" i="3"/>
  <c r="AC493" i="3" s="1"/>
  <c r="AF493" i="3" s="1"/>
  <c r="AB497" i="3"/>
  <c r="AC497" i="3" s="1"/>
  <c r="AB501" i="3"/>
  <c r="AC501" i="3" s="1"/>
  <c r="AF501" i="3" s="1"/>
  <c r="AB505" i="3"/>
  <c r="AC505" i="3" s="1"/>
  <c r="AB509" i="3"/>
  <c r="AC509" i="3" s="1"/>
  <c r="AF509" i="3" s="1"/>
  <c r="AB513" i="3"/>
  <c r="AC513" i="3" s="1"/>
  <c r="AB517" i="3"/>
  <c r="AC517" i="3" s="1"/>
  <c r="AF517" i="3" s="1"/>
  <c r="AB521" i="3"/>
  <c r="AC521" i="3" s="1"/>
  <c r="AB525" i="3"/>
  <c r="AC525" i="3" s="1"/>
  <c r="AF525" i="3" s="1"/>
  <c r="AB529" i="3"/>
  <c r="AC529" i="3" s="1"/>
  <c r="AB533" i="3"/>
  <c r="AC533" i="3" s="1"/>
  <c r="AF533" i="3" s="1"/>
  <c r="AB537" i="3"/>
  <c r="AC537" i="3" s="1"/>
  <c r="AB541" i="3"/>
  <c r="AC541" i="3" s="1"/>
  <c r="AF541" i="3" s="1"/>
  <c r="AB545" i="3"/>
  <c r="AC545" i="3" s="1"/>
  <c r="AB549" i="3"/>
  <c r="AC549" i="3" s="1"/>
  <c r="AF549" i="3" s="1"/>
  <c r="AB553" i="3"/>
  <c r="AC553" i="3" s="1"/>
  <c r="AB557" i="3"/>
  <c r="AC557" i="3" s="1"/>
  <c r="AF557" i="3" s="1"/>
  <c r="AB561" i="3"/>
  <c r="AC561" i="3" s="1"/>
  <c r="AB565" i="3"/>
  <c r="AC565" i="3" s="1"/>
  <c r="AF565" i="3" s="1"/>
  <c r="AB569" i="3"/>
  <c r="AC569" i="3" s="1"/>
  <c r="AB573" i="3"/>
  <c r="AC573" i="3" s="1"/>
  <c r="AF573" i="3" s="1"/>
  <c r="AB577" i="3"/>
  <c r="AC577" i="3" s="1"/>
  <c r="AB581" i="3"/>
  <c r="AC581" i="3" s="1"/>
  <c r="AF581" i="3" s="1"/>
  <c r="AB585" i="3"/>
  <c r="AC585" i="3" s="1"/>
  <c r="AB589" i="3"/>
  <c r="AC589" i="3" s="1"/>
  <c r="AF589" i="3" s="1"/>
  <c r="AB593" i="3"/>
  <c r="AC593" i="3" s="1"/>
  <c r="AB597" i="3"/>
  <c r="AC597" i="3" s="1"/>
  <c r="AF597" i="3" s="1"/>
  <c r="AB601" i="3"/>
  <c r="AC601" i="3" s="1"/>
  <c r="AB605" i="3"/>
  <c r="AC605" i="3" s="1"/>
  <c r="AF605" i="3" s="1"/>
  <c r="AB609" i="3"/>
  <c r="AC609" i="3" s="1"/>
  <c r="AB613" i="3"/>
  <c r="AC613" i="3" s="1"/>
  <c r="AF613" i="3" s="1"/>
  <c r="AB617" i="3"/>
  <c r="AC617" i="3" s="1"/>
  <c r="AB621" i="3"/>
  <c r="AC621" i="3" s="1"/>
  <c r="AF621" i="3" s="1"/>
  <c r="AB625" i="3"/>
  <c r="AC625" i="3" s="1"/>
  <c r="AB629" i="3"/>
  <c r="AC629" i="3" s="1"/>
  <c r="AF629" i="3" s="1"/>
  <c r="AB2" i="3"/>
  <c r="AC2" i="3" s="1"/>
  <c r="AB6" i="3"/>
  <c r="AC6" i="3" s="1"/>
  <c r="AB14" i="3"/>
  <c r="AC14" i="3" s="1"/>
  <c r="AF14" i="3" s="1"/>
  <c r="AB22" i="3"/>
  <c r="AC22" i="3" s="1"/>
  <c r="AF22" i="3" s="1"/>
  <c r="AB30" i="3"/>
  <c r="AC30" i="3" s="1"/>
  <c r="AB38" i="3"/>
  <c r="AC38" i="3" s="1"/>
  <c r="AB46" i="3"/>
  <c r="AC46" i="3" s="1"/>
  <c r="AF46" i="3" s="1"/>
  <c r="AB54" i="3"/>
  <c r="AC54" i="3" s="1"/>
  <c r="AF54" i="3" s="1"/>
  <c r="AB62" i="3"/>
  <c r="AC62" i="3" s="1"/>
  <c r="AB70" i="3"/>
  <c r="AC70" i="3" s="1"/>
  <c r="AB78" i="3"/>
  <c r="AC78" i="3" s="1"/>
  <c r="AB86" i="3"/>
  <c r="AC86" i="3" s="1"/>
  <c r="AF86" i="3" s="1"/>
  <c r="AB94" i="3"/>
  <c r="AC94" i="3" s="1"/>
  <c r="AF94" i="3" s="1"/>
  <c r="AB102" i="3"/>
  <c r="AC102" i="3" s="1"/>
  <c r="AB110" i="3"/>
  <c r="AC110" i="3" s="1"/>
  <c r="AF110" i="3" s="1"/>
  <c r="AB118" i="3"/>
  <c r="AC118" i="3" s="1"/>
  <c r="AF118" i="3" s="1"/>
  <c r="AB126" i="3"/>
  <c r="AC126" i="3" s="1"/>
  <c r="AF126" i="3" s="1"/>
  <c r="AB134" i="3"/>
  <c r="AC134" i="3" s="1"/>
  <c r="AB142" i="3"/>
  <c r="AC142" i="3" s="1"/>
  <c r="AB150" i="3"/>
  <c r="AC150" i="3" s="1"/>
  <c r="AF150" i="3" s="1"/>
  <c r="AB158" i="3"/>
  <c r="AC158" i="3" s="1"/>
  <c r="AB166" i="3"/>
  <c r="AC166" i="3" s="1"/>
  <c r="AB174" i="3"/>
  <c r="AC174" i="3" s="1"/>
  <c r="AF174" i="3" s="1"/>
  <c r="AB182" i="3"/>
  <c r="AC182" i="3" s="1"/>
  <c r="AF182" i="3" s="1"/>
  <c r="AB190" i="3"/>
  <c r="AC190" i="3" s="1"/>
  <c r="AB198" i="3"/>
  <c r="AC198" i="3" s="1"/>
  <c r="AB206" i="3"/>
  <c r="AC206" i="3" s="1"/>
  <c r="AF206" i="3" s="1"/>
  <c r="AB214" i="3"/>
  <c r="AC214" i="3" s="1"/>
  <c r="AF214" i="3" s="1"/>
  <c r="AB222" i="3"/>
  <c r="AC222" i="3" s="1"/>
  <c r="AF222" i="3" s="1"/>
  <c r="AB230" i="3"/>
  <c r="AC230" i="3" s="1"/>
  <c r="AB238" i="3"/>
  <c r="AC238" i="3" s="1"/>
  <c r="AF238" i="3" s="1"/>
  <c r="AB246" i="3"/>
  <c r="AC246" i="3" s="1"/>
  <c r="AF246" i="3" s="1"/>
  <c r="AB254" i="3"/>
  <c r="AC254" i="3" s="1"/>
  <c r="AF254" i="3" s="1"/>
  <c r="AB262" i="3"/>
  <c r="AC262" i="3" s="1"/>
  <c r="AB270" i="3"/>
  <c r="AC270" i="3" s="1"/>
  <c r="AF270" i="3" s="1"/>
  <c r="AB278" i="3"/>
  <c r="AC278" i="3" s="1"/>
  <c r="AF278" i="3" s="1"/>
  <c r="AB286" i="3"/>
  <c r="AC286" i="3" s="1"/>
  <c r="AB294" i="3"/>
  <c r="AC294" i="3" s="1"/>
  <c r="AB302" i="3"/>
  <c r="AC302" i="3" s="1"/>
  <c r="AF302" i="3" s="1"/>
  <c r="AB310" i="3"/>
  <c r="AC310" i="3" s="1"/>
  <c r="AF310" i="3" s="1"/>
  <c r="AB318" i="3"/>
  <c r="AC318" i="3" s="1"/>
  <c r="AB326" i="3"/>
  <c r="AC326" i="3" s="1"/>
  <c r="AB334" i="3"/>
  <c r="AC334" i="3" s="1"/>
  <c r="AF334" i="3" s="1"/>
  <c r="AB342" i="3"/>
  <c r="AC342" i="3" s="1"/>
  <c r="AF342" i="3" s="1"/>
  <c r="AB346" i="3"/>
  <c r="AC346" i="3" s="1"/>
  <c r="AF346" i="3" s="1"/>
  <c r="AB350" i="3"/>
  <c r="AC350" i="3" s="1"/>
  <c r="AF350" i="3" s="1"/>
  <c r="AB354" i="3"/>
  <c r="AC354" i="3" s="1"/>
  <c r="AF354" i="3" s="1"/>
  <c r="AB358" i="3"/>
  <c r="AC358" i="3" s="1"/>
  <c r="AF358" i="3" s="1"/>
  <c r="AB362" i="3"/>
  <c r="AC362" i="3" s="1"/>
  <c r="AF362" i="3" s="1"/>
  <c r="AB366" i="3"/>
  <c r="AC366" i="3" s="1"/>
  <c r="AF366" i="3" s="1"/>
  <c r="AB370" i="3"/>
  <c r="AC370" i="3" s="1"/>
  <c r="AF370" i="3" s="1"/>
  <c r="AB374" i="3"/>
  <c r="AC374" i="3" s="1"/>
  <c r="AF374" i="3" s="1"/>
  <c r="AB378" i="3"/>
  <c r="AC378" i="3" s="1"/>
  <c r="AF378" i="3" s="1"/>
  <c r="AB382" i="3"/>
  <c r="AC382" i="3" s="1"/>
  <c r="AF382" i="3" s="1"/>
  <c r="AB386" i="3"/>
  <c r="AC386" i="3" s="1"/>
  <c r="AF386" i="3" s="1"/>
  <c r="AB390" i="3"/>
  <c r="AC390" i="3" s="1"/>
  <c r="AF390" i="3" s="1"/>
  <c r="AB394" i="3"/>
  <c r="AC394" i="3" s="1"/>
  <c r="AF394" i="3" s="1"/>
  <c r="AB398" i="3"/>
  <c r="AC398" i="3" s="1"/>
  <c r="AF398" i="3" s="1"/>
  <c r="AB402" i="3"/>
  <c r="AC402" i="3" s="1"/>
  <c r="AF402" i="3" s="1"/>
  <c r="AB406" i="3"/>
  <c r="AC406" i="3" s="1"/>
  <c r="AF406" i="3" s="1"/>
  <c r="AB410" i="3"/>
  <c r="AC410" i="3" s="1"/>
  <c r="AF410" i="3" s="1"/>
  <c r="AB414" i="3"/>
  <c r="AC414" i="3" s="1"/>
  <c r="AF414" i="3" s="1"/>
  <c r="AB418" i="3"/>
  <c r="AC418" i="3" s="1"/>
  <c r="AF418" i="3" s="1"/>
  <c r="AB422" i="3"/>
  <c r="AC422" i="3" s="1"/>
  <c r="AF422" i="3" s="1"/>
  <c r="AB426" i="3"/>
  <c r="AC426" i="3" s="1"/>
  <c r="AF426" i="3" s="1"/>
  <c r="AB430" i="3"/>
  <c r="AC430" i="3" s="1"/>
  <c r="AB434" i="3"/>
  <c r="AC434" i="3" s="1"/>
  <c r="AF434" i="3" s="1"/>
  <c r="AB438" i="3"/>
  <c r="AC438" i="3" s="1"/>
  <c r="AB442" i="3"/>
  <c r="AC442" i="3" s="1"/>
  <c r="AB446" i="3"/>
  <c r="AC446" i="3" s="1"/>
  <c r="AB450" i="3"/>
  <c r="AC450" i="3" s="1"/>
  <c r="AF450" i="3" s="1"/>
  <c r="AB454" i="3"/>
  <c r="AC454" i="3" s="1"/>
  <c r="AB458" i="3"/>
  <c r="AC458" i="3" s="1"/>
  <c r="AB462" i="3"/>
  <c r="AC462" i="3" s="1"/>
  <c r="AB466" i="3"/>
  <c r="AC466" i="3" s="1"/>
  <c r="AF466" i="3" s="1"/>
  <c r="AB470" i="3"/>
  <c r="AC470" i="3" s="1"/>
  <c r="AB474" i="3"/>
  <c r="AC474" i="3" s="1"/>
  <c r="AB478" i="3"/>
  <c r="AC478" i="3" s="1"/>
  <c r="AB482" i="3"/>
  <c r="AC482" i="3" s="1"/>
  <c r="AF482" i="3" s="1"/>
  <c r="AB486" i="3"/>
  <c r="AC486" i="3" s="1"/>
  <c r="AB490" i="3"/>
  <c r="AC490" i="3" s="1"/>
  <c r="AB494" i="3"/>
  <c r="AC494" i="3" s="1"/>
  <c r="AB498" i="3"/>
  <c r="AC498" i="3" s="1"/>
  <c r="AF498" i="3" s="1"/>
  <c r="AB502" i="3"/>
  <c r="AC502" i="3" s="1"/>
  <c r="AB506" i="3"/>
  <c r="AC506" i="3" s="1"/>
  <c r="AB510" i="3"/>
  <c r="AC510" i="3" s="1"/>
  <c r="AB514" i="3"/>
  <c r="AC514" i="3" s="1"/>
  <c r="AF514" i="3" s="1"/>
  <c r="AB518" i="3"/>
  <c r="AC518" i="3" s="1"/>
  <c r="AB522" i="3"/>
  <c r="AC522" i="3" s="1"/>
  <c r="AF522" i="3" s="1"/>
  <c r="AB526" i="3"/>
  <c r="AC526" i="3" s="1"/>
  <c r="AB530" i="3"/>
  <c r="AC530" i="3" s="1"/>
  <c r="AB534" i="3"/>
  <c r="AC534" i="3" s="1"/>
  <c r="AF534" i="3" s="1"/>
  <c r="AB538" i="3"/>
  <c r="AC538" i="3" s="1"/>
  <c r="AF538" i="3" s="1"/>
  <c r="AB542" i="3"/>
  <c r="AC542" i="3" s="1"/>
  <c r="AB546" i="3"/>
  <c r="AC546" i="3" s="1"/>
  <c r="AF546" i="3" s="1"/>
  <c r="AB550" i="3"/>
  <c r="AC550" i="3" s="1"/>
  <c r="AF550" i="3" s="1"/>
  <c r="AB554" i="3"/>
  <c r="AC554" i="3" s="1"/>
  <c r="AF554" i="3" s="1"/>
  <c r="AB558" i="3"/>
  <c r="AC558" i="3" s="1"/>
  <c r="AB562" i="3"/>
  <c r="AC562" i="3" s="1"/>
  <c r="AB566" i="3"/>
  <c r="AC566" i="3" s="1"/>
  <c r="AF566" i="3" s="1"/>
  <c r="AB570" i="3"/>
  <c r="AC570" i="3" s="1"/>
  <c r="AF570" i="3" s="1"/>
  <c r="AB574" i="3"/>
  <c r="AC574" i="3" s="1"/>
  <c r="AB578" i="3"/>
  <c r="AC578" i="3" s="1"/>
  <c r="AF578" i="3" s="1"/>
  <c r="AB582" i="3"/>
  <c r="AC582" i="3" s="1"/>
  <c r="AF582" i="3" s="1"/>
  <c r="AB586" i="3"/>
  <c r="AC586" i="3" s="1"/>
  <c r="AF586" i="3" s="1"/>
  <c r="AB590" i="3"/>
  <c r="AC590" i="3" s="1"/>
  <c r="AB594" i="3"/>
  <c r="AC594" i="3" s="1"/>
  <c r="AB598" i="3"/>
  <c r="AC598" i="3" s="1"/>
  <c r="AF598" i="3" s="1"/>
  <c r="AB602" i="3"/>
  <c r="AC602" i="3" s="1"/>
  <c r="AF602" i="3" s="1"/>
  <c r="AB606" i="3"/>
  <c r="AC606" i="3" s="1"/>
  <c r="AB610" i="3"/>
  <c r="AC610" i="3" s="1"/>
  <c r="AF610" i="3" s="1"/>
  <c r="AB614" i="3"/>
  <c r="AC614" i="3" s="1"/>
  <c r="AF614" i="3" s="1"/>
  <c r="AB618" i="3"/>
  <c r="AC618" i="3" s="1"/>
  <c r="AF618" i="3" s="1"/>
  <c r="AB622" i="3"/>
  <c r="AC622" i="3" s="1"/>
  <c r="AB626" i="3"/>
  <c r="AC626" i="3" s="1"/>
  <c r="AB630" i="3"/>
  <c r="AC630" i="3" s="1"/>
  <c r="AF630" i="3" s="1"/>
  <c r="AB9" i="3"/>
  <c r="AC9" i="3" s="1"/>
  <c r="AF9" i="3" s="1"/>
  <c r="AB17" i="3"/>
  <c r="AC17" i="3" s="1"/>
  <c r="AB25" i="3"/>
  <c r="AC25" i="3" s="1"/>
  <c r="AB33" i="3"/>
  <c r="AC33" i="3" s="1"/>
  <c r="AF33" i="3" s="1"/>
  <c r="AB41" i="3"/>
  <c r="AC41" i="3" s="1"/>
  <c r="AF41" i="3" s="1"/>
  <c r="AB49" i="3"/>
  <c r="AC49" i="3" s="1"/>
  <c r="AB57" i="3"/>
  <c r="AC57" i="3" s="1"/>
  <c r="AF57" i="3" s="1"/>
  <c r="AB65" i="3"/>
  <c r="AC65" i="3" s="1"/>
  <c r="AF65" i="3" s="1"/>
  <c r="AB73" i="3"/>
  <c r="AC73" i="3" s="1"/>
  <c r="AB81" i="3"/>
  <c r="AC81" i="3" s="1"/>
  <c r="AB89" i="3"/>
  <c r="AC89" i="3" s="1"/>
  <c r="AF89" i="3" s="1"/>
  <c r="AB97" i="3"/>
  <c r="AC97" i="3" s="1"/>
  <c r="AF97" i="3" s="1"/>
  <c r="AB105" i="3"/>
  <c r="AC105" i="3" s="1"/>
  <c r="AB113" i="3"/>
  <c r="AC113" i="3" s="1"/>
  <c r="AB121" i="3"/>
  <c r="AC121" i="3" s="1"/>
  <c r="AF121" i="3" s="1"/>
  <c r="AB129" i="3"/>
  <c r="AC129" i="3" s="1"/>
  <c r="AF129" i="3" s="1"/>
  <c r="AB137" i="3"/>
  <c r="AC137" i="3" s="1"/>
  <c r="AF137" i="3" s="1"/>
  <c r="AB145" i="3"/>
  <c r="AC145" i="3" s="1"/>
  <c r="AB153" i="3"/>
  <c r="AC153" i="3" s="1"/>
  <c r="AF153" i="3" s="1"/>
  <c r="AB161" i="3"/>
  <c r="AC161" i="3" s="1"/>
  <c r="AF161" i="3" s="1"/>
  <c r="AB169" i="3"/>
  <c r="AC169" i="3" s="1"/>
  <c r="AF169" i="3" s="1"/>
  <c r="AB177" i="3"/>
  <c r="AC177" i="3" s="1"/>
  <c r="AB185" i="3"/>
  <c r="AC185" i="3" s="1"/>
  <c r="AF185" i="3" s="1"/>
  <c r="AB193" i="3"/>
  <c r="AC193" i="3" s="1"/>
  <c r="AF193" i="3" s="1"/>
  <c r="AB201" i="3"/>
  <c r="AC201" i="3" s="1"/>
  <c r="AB209" i="3"/>
  <c r="AC209" i="3" s="1"/>
  <c r="AB217" i="3"/>
  <c r="AC217" i="3" s="1"/>
  <c r="AF217" i="3" s="1"/>
  <c r="AB225" i="3"/>
  <c r="AC225" i="3" s="1"/>
  <c r="AF225" i="3" s="1"/>
  <c r="AB233" i="3"/>
  <c r="AC233" i="3" s="1"/>
  <c r="AB241" i="3"/>
  <c r="AC241" i="3" s="1"/>
  <c r="AB249" i="3"/>
  <c r="AC249" i="3" s="1"/>
  <c r="AB257" i="3"/>
  <c r="AC257" i="3" s="1"/>
  <c r="AF257" i="3" s="1"/>
  <c r="AB265" i="3"/>
  <c r="AC265" i="3" s="1"/>
  <c r="AF265" i="3" s="1"/>
  <c r="AB273" i="3"/>
  <c r="AC273" i="3" s="1"/>
  <c r="AB281" i="3"/>
  <c r="AC281" i="3" s="1"/>
  <c r="AF281" i="3" s="1"/>
  <c r="AB289" i="3"/>
  <c r="AC289" i="3" s="1"/>
  <c r="AF289" i="3" s="1"/>
  <c r="AB297" i="3"/>
  <c r="AC297" i="3" s="1"/>
  <c r="AF297" i="3" s="1"/>
  <c r="AB305" i="3"/>
  <c r="AC305" i="3" s="1"/>
  <c r="AB313" i="3"/>
  <c r="AC313" i="3" s="1"/>
  <c r="AB321" i="3"/>
  <c r="AC321" i="3" s="1"/>
  <c r="AF321" i="3" s="1"/>
  <c r="AB337" i="3"/>
  <c r="AC337" i="3" s="1"/>
  <c r="AB343" i="3"/>
  <c r="AC343" i="3" s="1"/>
  <c r="AF343" i="3" s="1"/>
  <c r="AB347" i="3"/>
  <c r="AC347" i="3" s="1"/>
  <c r="AF347" i="3" s="1"/>
  <c r="AB351" i="3"/>
  <c r="AC351" i="3" s="1"/>
  <c r="AF351" i="3" s="1"/>
  <c r="AB355" i="3"/>
  <c r="AC355" i="3" s="1"/>
  <c r="AB359" i="3"/>
  <c r="AC359" i="3" s="1"/>
  <c r="AB363" i="3"/>
  <c r="AC363" i="3" s="1"/>
  <c r="AF363" i="3" s="1"/>
  <c r="AB367" i="3"/>
  <c r="AC367" i="3" s="1"/>
  <c r="AB371" i="3"/>
  <c r="AC371" i="3" s="1"/>
  <c r="AB375" i="3"/>
  <c r="AC375" i="3" s="1"/>
  <c r="AF375" i="3" s="1"/>
  <c r="AB379" i="3"/>
  <c r="AC379" i="3" s="1"/>
  <c r="AF379" i="3" s="1"/>
  <c r="AB383" i="3"/>
  <c r="AC383" i="3" s="1"/>
  <c r="AF383" i="3" s="1"/>
  <c r="AB387" i="3"/>
  <c r="AC387" i="3" s="1"/>
  <c r="AB391" i="3"/>
  <c r="AC391" i="3" s="1"/>
  <c r="AB395" i="3"/>
  <c r="AC395" i="3" s="1"/>
  <c r="AF395" i="3" s="1"/>
  <c r="AB399" i="3"/>
  <c r="AC399" i="3" s="1"/>
  <c r="AB403" i="3"/>
  <c r="AC403" i="3" s="1"/>
  <c r="AB407" i="3"/>
  <c r="AC407" i="3" s="1"/>
  <c r="AF407" i="3" s="1"/>
  <c r="AB411" i="3"/>
  <c r="AC411" i="3" s="1"/>
  <c r="AF411" i="3" s="1"/>
  <c r="AB415" i="3"/>
  <c r="AC415" i="3" s="1"/>
  <c r="AF415" i="3" s="1"/>
  <c r="AB419" i="3"/>
  <c r="AC419" i="3" s="1"/>
  <c r="AB423" i="3"/>
  <c r="AC423" i="3" s="1"/>
  <c r="AF423" i="3" s="1"/>
  <c r="AB427" i="3"/>
  <c r="AC427" i="3" s="1"/>
  <c r="AF427" i="3" s="1"/>
  <c r="AB431" i="3"/>
  <c r="AC431" i="3" s="1"/>
  <c r="AF431" i="3" s="1"/>
  <c r="AB435" i="3"/>
  <c r="AC435" i="3" s="1"/>
  <c r="AB439" i="3"/>
  <c r="AC439" i="3" s="1"/>
  <c r="AF439" i="3" s="1"/>
  <c r="AB443" i="3"/>
  <c r="AC443" i="3" s="1"/>
  <c r="AB447" i="3"/>
  <c r="AC447" i="3" s="1"/>
  <c r="AF447" i="3" s="1"/>
  <c r="AB451" i="3"/>
  <c r="AC451" i="3" s="1"/>
  <c r="AF451" i="3" s="1"/>
  <c r="AB455" i="3"/>
  <c r="AC455" i="3" s="1"/>
  <c r="AB459" i="3"/>
  <c r="AC459" i="3" s="1"/>
  <c r="AF459" i="3" s="1"/>
  <c r="AB463" i="3"/>
  <c r="AC463" i="3" s="1"/>
  <c r="AF463" i="3" s="1"/>
  <c r="AB467" i="3"/>
  <c r="AC467" i="3" s="1"/>
  <c r="AB471" i="3"/>
  <c r="AC471" i="3" s="1"/>
  <c r="AF471" i="3" s="1"/>
  <c r="AB475" i="3"/>
  <c r="AC475" i="3" s="1"/>
  <c r="AB479" i="3"/>
  <c r="AC479" i="3" s="1"/>
  <c r="AF479" i="3" s="1"/>
  <c r="AB483" i="3"/>
  <c r="AC483" i="3" s="1"/>
  <c r="AF483" i="3" s="1"/>
  <c r="AB487" i="3"/>
  <c r="AC487" i="3" s="1"/>
  <c r="AF487" i="3" s="1"/>
  <c r="AB491" i="3"/>
  <c r="AC491" i="3" s="1"/>
  <c r="AF491" i="3" s="1"/>
  <c r="AB495" i="3"/>
  <c r="AC495" i="3" s="1"/>
  <c r="AF495" i="3" s="1"/>
  <c r="AB499" i="3"/>
  <c r="AC499" i="3" s="1"/>
  <c r="AB503" i="3"/>
  <c r="AC503" i="3" s="1"/>
  <c r="AF503" i="3" s="1"/>
  <c r="AB507" i="3"/>
  <c r="AC507" i="3" s="1"/>
  <c r="AB511" i="3"/>
  <c r="AC511" i="3" s="1"/>
  <c r="AF511" i="3" s="1"/>
  <c r="AB628" i="3"/>
  <c r="AC628" i="3" s="1"/>
  <c r="AB620" i="3"/>
  <c r="AC620" i="3" s="1"/>
  <c r="AB612" i="3"/>
  <c r="AC612" i="3" s="1"/>
  <c r="AB604" i="3"/>
  <c r="AC604" i="3" s="1"/>
  <c r="AF604" i="3" s="1"/>
  <c r="AB596" i="3"/>
  <c r="AC596" i="3" s="1"/>
  <c r="AB588" i="3"/>
  <c r="AC588" i="3" s="1"/>
  <c r="AB580" i="3"/>
  <c r="AC580" i="3" s="1"/>
  <c r="AB572" i="3"/>
  <c r="AC572" i="3" s="1"/>
  <c r="AF572" i="3" s="1"/>
  <c r="AB564" i="3"/>
  <c r="AC564" i="3" s="1"/>
  <c r="AB556" i="3"/>
  <c r="AC556" i="3" s="1"/>
  <c r="AB548" i="3"/>
  <c r="AC548" i="3" s="1"/>
  <c r="AB540" i="3"/>
  <c r="AC540" i="3" s="1"/>
  <c r="AF540" i="3" s="1"/>
  <c r="AB532" i="3"/>
  <c r="AC532" i="3" s="1"/>
  <c r="AB524" i="3"/>
  <c r="AC524" i="3" s="1"/>
  <c r="AB516" i="3"/>
  <c r="AC516" i="3" s="1"/>
  <c r="AB504" i="3"/>
  <c r="AC504" i="3" s="1"/>
  <c r="AF504" i="3" s="1"/>
  <c r="AB488" i="3"/>
  <c r="AC488" i="3" s="1"/>
  <c r="AF488" i="3" s="1"/>
  <c r="AB472" i="3"/>
  <c r="AC472" i="3" s="1"/>
  <c r="AF472" i="3" s="1"/>
  <c r="AB456" i="3"/>
  <c r="AC456" i="3" s="1"/>
  <c r="AF456" i="3" s="1"/>
  <c r="AB440" i="3"/>
  <c r="AC440" i="3" s="1"/>
  <c r="AF440" i="3" s="1"/>
  <c r="AB424" i="3"/>
  <c r="AC424" i="3" s="1"/>
  <c r="AB408" i="3"/>
  <c r="AC408" i="3" s="1"/>
  <c r="AF408" i="3" s="1"/>
  <c r="AB392" i="3"/>
  <c r="AC392" i="3" s="1"/>
  <c r="AF392" i="3" s="1"/>
  <c r="AB376" i="3"/>
  <c r="AC376" i="3" s="1"/>
  <c r="AF376" i="3" s="1"/>
  <c r="AB360" i="3"/>
  <c r="AC360" i="3" s="1"/>
  <c r="AB344" i="3"/>
  <c r="AC344" i="3" s="1"/>
  <c r="AF344" i="3" s="1"/>
  <c r="AB314" i="3"/>
  <c r="AC314" i="3" s="1"/>
  <c r="AB282" i="3"/>
  <c r="AC282" i="3" s="1"/>
  <c r="AB250" i="3"/>
  <c r="AC250" i="3" s="1"/>
  <c r="AB218" i="3"/>
  <c r="AC218" i="3" s="1"/>
  <c r="AF218" i="3" s="1"/>
  <c r="AB186" i="3"/>
  <c r="AC186" i="3" s="1"/>
  <c r="AB154" i="3"/>
  <c r="AC154" i="3" s="1"/>
  <c r="AB122" i="3"/>
  <c r="AC122" i="3" s="1"/>
  <c r="AB90" i="3"/>
  <c r="AC90" i="3" s="1"/>
  <c r="AF90" i="3" s="1"/>
  <c r="AB58" i="3"/>
  <c r="AC58" i="3" s="1"/>
  <c r="AB26" i="3"/>
  <c r="AC26" i="3" s="1"/>
  <c r="AB627" i="3"/>
  <c r="AC627" i="3" s="1"/>
  <c r="AF627" i="3" s="1"/>
  <c r="AB619" i="3"/>
  <c r="AC619" i="3" s="1"/>
  <c r="AF619" i="3" s="1"/>
  <c r="AB611" i="3"/>
  <c r="AC611" i="3" s="1"/>
  <c r="AF611" i="3" s="1"/>
  <c r="AB603" i="3"/>
  <c r="AC603" i="3" s="1"/>
  <c r="AF603" i="3" s="1"/>
  <c r="AB595" i="3"/>
  <c r="AC595" i="3" s="1"/>
  <c r="AF595" i="3" s="1"/>
  <c r="AB587" i="3"/>
  <c r="AC587" i="3" s="1"/>
  <c r="AB579" i="3"/>
  <c r="AC579" i="3" s="1"/>
  <c r="AF579" i="3" s="1"/>
  <c r="AB571" i="3"/>
  <c r="AC571" i="3" s="1"/>
  <c r="AF571" i="3" s="1"/>
  <c r="AB563" i="3"/>
  <c r="AC563" i="3" s="1"/>
  <c r="AB555" i="3"/>
  <c r="AC555" i="3" s="1"/>
  <c r="AF555" i="3" s="1"/>
  <c r="AB547" i="3"/>
  <c r="AC547" i="3" s="1"/>
  <c r="AB539" i="3"/>
  <c r="AC539" i="3" s="1"/>
  <c r="AF539" i="3" s="1"/>
  <c r="AB531" i="3"/>
  <c r="AC531" i="3" s="1"/>
  <c r="AF531" i="3" s="1"/>
  <c r="AB523" i="3"/>
  <c r="AC523" i="3" s="1"/>
  <c r="AF523" i="3" s="1"/>
  <c r="AB515" i="3"/>
  <c r="AC515" i="3" s="1"/>
  <c r="AF515" i="3" s="1"/>
  <c r="AB500" i="3"/>
  <c r="AC500" i="3" s="1"/>
  <c r="AB484" i="3"/>
  <c r="AC484" i="3" s="1"/>
  <c r="AB468" i="3"/>
  <c r="AC468" i="3" s="1"/>
  <c r="AF468" i="3" s="1"/>
  <c r="AB452" i="3"/>
  <c r="AC452" i="3" s="1"/>
  <c r="AB436" i="3"/>
  <c r="AC436" i="3" s="1"/>
  <c r="AB420" i="3"/>
  <c r="AC420" i="3" s="1"/>
  <c r="AB404" i="3"/>
  <c r="AC404" i="3" s="1"/>
  <c r="AF404" i="3" s="1"/>
  <c r="AB388" i="3"/>
  <c r="AC388" i="3" s="1"/>
  <c r="AF388" i="3" s="1"/>
  <c r="AB372" i="3"/>
  <c r="AC372" i="3" s="1"/>
  <c r="AF372" i="3" s="1"/>
  <c r="AB356" i="3"/>
  <c r="AC356" i="3" s="1"/>
  <c r="AB338" i="3"/>
  <c r="AC338" i="3" s="1"/>
  <c r="AB306" i="3"/>
  <c r="AC306" i="3" s="1"/>
  <c r="AF306" i="3" s="1"/>
  <c r="AB274" i="3"/>
  <c r="AC274" i="3" s="1"/>
  <c r="AB242" i="3"/>
  <c r="AC242" i="3" s="1"/>
  <c r="AF242" i="3" s="1"/>
  <c r="AB210" i="3"/>
  <c r="AC210" i="3" s="1"/>
  <c r="AB178" i="3"/>
  <c r="AC178" i="3" s="1"/>
  <c r="AF178" i="3" s="1"/>
  <c r="AB146" i="3"/>
  <c r="AC146" i="3" s="1"/>
  <c r="AB114" i="3"/>
  <c r="AC114" i="3" s="1"/>
  <c r="AF114" i="3" s="1"/>
  <c r="AB82" i="3"/>
  <c r="AC82" i="3" s="1"/>
  <c r="AB50" i="3"/>
  <c r="AC50" i="3" s="1"/>
  <c r="AF50" i="3" s="1"/>
  <c r="AB18" i="3"/>
  <c r="AC18" i="3" s="1"/>
  <c r="AB632" i="3"/>
  <c r="AC632" i="3" s="1"/>
  <c r="AF632" i="3" s="1"/>
  <c r="AB624" i="3"/>
  <c r="AC624" i="3" s="1"/>
  <c r="AB616" i="3"/>
  <c r="AC616" i="3" s="1"/>
  <c r="AF616" i="3" s="1"/>
  <c r="AB608" i="3"/>
  <c r="AC608" i="3" s="1"/>
  <c r="AB600" i="3"/>
  <c r="AC600" i="3" s="1"/>
  <c r="AF600" i="3" s="1"/>
  <c r="AB592" i="3"/>
  <c r="AC592" i="3" s="1"/>
  <c r="AB584" i="3"/>
  <c r="AC584" i="3" s="1"/>
  <c r="AF584" i="3" s="1"/>
  <c r="AB576" i="3"/>
  <c r="AC576" i="3" s="1"/>
  <c r="AB568" i="3"/>
  <c r="AC568" i="3" s="1"/>
  <c r="AF568" i="3" s="1"/>
  <c r="AB560" i="3"/>
  <c r="AC560" i="3" s="1"/>
  <c r="AB552" i="3"/>
  <c r="AC552" i="3" s="1"/>
  <c r="AF552" i="3" s="1"/>
  <c r="AB544" i="3"/>
  <c r="AC544" i="3" s="1"/>
  <c r="AB536" i="3"/>
  <c r="AC536" i="3" s="1"/>
  <c r="AF536" i="3" s="1"/>
  <c r="AB528" i="3"/>
  <c r="AC528" i="3" s="1"/>
  <c r="AB520" i="3"/>
  <c r="AC520" i="3" s="1"/>
  <c r="AF520" i="3" s="1"/>
  <c r="AB512" i="3"/>
  <c r="AC512" i="3" s="1"/>
  <c r="AB496" i="3"/>
  <c r="AC496" i="3" s="1"/>
  <c r="AB480" i="3"/>
  <c r="AC480" i="3" s="1"/>
  <c r="AB464" i="3"/>
  <c r="AC464" i="3" s="1"/>
  <c r="AF464" i="3" s="1"/>
  <c r="AB448" i="3"/>
  <c r="AC448" i="3" s="1"/>
  <c r="AB432" i="3"/>
  <c r="AC432" i="3" s="1"/>
  <c r="AB416" i="3"/>
  <c r="AC416" i="3" s="1"/>
  <c r="AF416" i="3" s="1"/>
  <c r="AB400" i="3"/>
  <c r="AC400" i="3" s="1"/>
  <c r="AB384" i="3"/>
  <c r="AC384" i="3" s="1"/>
  <c r="AB368" i="3"/>
  <c r="AC368" i="3" s="1"/>
  <c r="AF368" i="3" s="1"/>
  <c r="AB352" i="3"/>
  <c r="AC352" i="3" s="1"/>
  <c r="AF352" i="3" s="1"/>
  <c r="AB330" i="3"/>
  <c r="AC330" i="3" s="1"/>
  <c r="AF330" i="3" s="1"/>
  <c r="AB298" i="3"/>
  <c r="AC298" i="3" s="1"/>
  <c r="AF298" i="3" s="1"/>
  <c r="AB266" i="3"/>
  <c r="AC266" i="3" s="1"/>
  <c r="AB234" i="3"/>
  <c r="AC234" i="3" s="1"/>
  <c r="AF234" i="3" s="1"/>
  <c r="AB202" i="3"/>
  <c r="AC202" i="3" s="1"/>
  <c r="AF202" i="3" s="1"/>
  <c r="AB170" i="3"/>
  <c r="AC170" i="3" s="1"/>
  <c r="AF170" i="3" s="1"/>
  <c r="AB138" i="3"/>
  <c r="AC138" i="3" s="1"/>
  <c r="AB106" i="3"/>
  <c r="AC106" i="3" s="1"/>
  <c r="AF106" i="3" s="1"/>
  <c r="AB74" i="3"/>
  <c r="AC74" i="3" s="1"/>
  <c r="AF74" i="3" s="1"/>
  <c r="AB42" i="3"/>
  <c r="AC42" i="3" s="1"/>
  <c r="AF42" i="3" s="1"/>
  <c r="AB10" i="3"/>
  <c r="AC10" i="3" s="1"/>
  <c r="AC98" i="3"/>
  <c r="AF98" i="3" s="1"/>
  <c r="AC290" i="3"/>
  <c r="AC34" i="3"/>
  <c r="AG632" i="3"/>
  <c r="AG620" i="3"/>
  <c r="AG616" i="3"/>
  <c r="AG612" i="3"/>
  <c r="AG600" i="3"/>
  <c r="AG584" i="3"/>
  <c r="AG568" i="3"/>
  <c r="AG552" i="3"/>
  <c r="AG536" i="3"/>
  <c r="AG520" i="3"/>
  <c r="AG508" i="3"/>
  <c r="AG504" i="3"/>
  <c r="AG488" i="3"/>
  <c r="AG484" i="3"/>
  <c r="AG476" i="3"/>
  <c r="AG472" i="3"/>
  <c r="AG456" i="3"/>
  <c r="AG440" i="3"/>
  <c r="AG424" i="3"/>
  <c r="AG416" i="3"/>
  <c r="AG408" i="3"/>
  <c r="AG404" i="3"/>
  <c r="AG623" i="3"/>
  <c r="AG611" i="3"/>
  <c r="AG595" i="3"/>
  <c r="AG579" i="3"/>
  <c r="AG571" i="3"/>
  <c r="AG559" i="3"/>
  <c r="AG539" i="3"/>
  <c r="AG531" i="3"/>
  <c r="AG627" i="3"/>
  <c r="AG619" i="3"/>
  <c r="AG607" i="3"/>
  <c r="AG599" i="3"/>
  <c r="AG591" i="3"/>
  <c r="AG575" i="3"/>
  <c r="AG567" i="3"/>
  <c r="AG555" i="3"/>
  <c r="AG543" i="3"/>
  <c r="AH543" i="3" s="1"/>
  <c r="AI543" i="3" s="1"/>
  <c r="AG535" i="3"/>
  <c r="AG527" i="3"/>
  <c r="AG523" i="3"/>
  <c r="AG515" i="3"/>
  <c r="AG511" i="3"/>
  <c r="AG503" i="3"/>
  <c r="AG495" i="3"/>
  <c r="AG491" i="3"/>
  <c r="AG483" i="3"/>
  <c r="AG479" i="3"/>
  <c r="AG471" i="3"/>
  <c r="AG463" i="3"/>
  <c r="AG459" i="3"/>
  <c r="AG451" i="3"/>
  <c r="AG447" i="3"/>
  <c r="AG439" i="3"/>
  <c r="AG427" i="3"/>
  <c r="AG423" i="3"/>
  <c r="AG415" i="3"/>
  <c r="AG395" i="3"/>
  <c r="AG351" i="3"/>
  <c r="AG327" i="3"/>
  <c r="AG319" i="3"/>
  <c r="AG311" i="3"/>
  <c r="AG295" i="3"/>
  <c r="AG279" i="3"/>
  <c r="AG263" i="3"/>
  <c r="AG255" i="3"/>
  <c r="AG247" i="3"/>
  <c r="AG231" i="3"/>
  <c r="AG215" i="3"/>
  <c r="AG199" i="3"/>
  <c r="AG191" i="3"/>
  <c r="AG183" i="3"/>
  <c r="AG167" i="3"/>
  <c r="AG151" i="3"/>
  <c r="AG135" i="3"/>
  <c r="AG127" i="3"/>
  <c r="AG119" i="3"/>
  <c r="AG103" i="3"/>
  <c r="AG87" i="3"/>
  <c r="AG71" i="3"/>
  <c r="AG67" i="3"/>
  <c r="AG55" i="3"/>
  <c r="AG47" i="3"/>
  <c r="AG39" i="3"/>
  <c r="AG23" i="3"/>
  <c r="AG15" i="3"/>
  <c r="AG7" i="3"/>
  <c r="AD634" i="3"/>
  <c r="AG400" i="3"/>
  <c r="AG392" i="3"/>
  <c r="AG372" i="3"/>
  <c r="AG368" i="3"/>
  <c r="AG352" i="3"/>
  <c r="AG348" i="3"/>
  <c r="AG344" i="3"/>
  <c r="AG340" i="3"/>
  <c r="AG332" i="3"/>
  <c r="AG328" i="3"/>
  <c r="AG324" i="3"/>
  <c r="AG320" i="3"/>
  <c r="AG312" i="3"/>
  <c r="AG304" i="3"/>
  <c r="AG292" i="3"/>
  <c r="AG280" i="3"/>
  <c r="AG268" i="3"/>
  <c r="AG256" i="3"/>
  <c r="AG228" i="3"/>
  <c r="AG212" i="3"/>
  <c r="AG204" i="3"/>
  <c r="AG200" i="3"/>
  <c r="AG196" i="3"/>
  <c r="AG192" i="3"/>
  <c r="AG188" i="3"/>
  <c r="AG184" i="3"/>
  <c r="AG180" i="3"/>
  <c r="AG140" i="3"/>
  <c r="AG132" i="3"/>
  <c r="AG128" i="3"/>
  <c r="AG120" i="3"/>
  <c r="AG116" i="3"/>
  <c r="AG100" i="3"/>
  <c r="AG88" i="3"/>
  <c r="AG84" i="3"/>
  <c r="AG76" i="3"/>
  <c r="AG72" i="3"/>
  <c r="AG68" i="3"/>
  <c r="AG64" i="3"/>
  <c r="AG60" i="3"/>
  <c r="AG56" i="3"/>
  <c r="AG40" i="3"/>
  <c r="AG36" i="3"/>
  <c r="AG12" i="3"/>
  <c r="AG4" i="3"/>
  <c r="AG630" i="3"/>
  <c r="AG618" i="3"/>
  <c r="AG614" i="3"/>
  <c r="AG610" i="3"/>
  <c r="AG602" i="3"/>
  <c r="AG598" i="3"/>
  <c r="AG594" i="3"/>
  <c r="AG586" i="3"/>
  <c r="AG582" i="3"/>
  <c r="AG570" i="3"/>
  <c r="AG566" i="3"/>
  <c r="AG554" i="3"/>
  <c r="AG550" i="3"/>
  <c r="AG542" i="3"/>
  <c r="AG538" i="3"/>
  <c r="AG534" i="3"/>
  <c r="AG522" i="3"/>
  <c r="AG514" i="3"/>
  <c r="AG498" i="3"/>
  <c r="AG494" i="3"/>
  <c r="AG482" i="3"/>
  <c r="AG466" i="3"/>
  <c r="AG450" i="3"/>
  <c r="AG434" i="3"/>
  <c r="AG418" i="3"/>
  <c r="AG414" i="3"/>
  <c r="AG398" i="3"/>
  <c r="AG382" i="3"/>
  <c r="AG370" i="3"/>
  <c r="AG366" i="3"/>
  <c r="AG354" i="3"/>
  <c r="AG350" i="3"/>
  <c r="AG346" i="3"/>
  <c r="AG334" i="3"/>
  <c r="AG322" i="3"/>
  <c r="AG310" i="3"/>
  <c r="AG306" i="3"/>
  <c r="AG302" i="3"/>
  <c r="AG298" i="3"/>
  <c r="AG294" i="3"/>
  <c r="AG290" i="3"/>
  <c r="AG270" i="3"/>
  <c r="AG254" i="3"/>
  <c r="AG246" i="3"/>
  <c r="AG242" i="3"/>
  <c r="AG238" i="3"/>
  <c r="AG234" i="3"/>
  <c r="AG230" i="3"/>
  <c r="AG226" i="3"/>
  <c r="AG206" i="3"/>
  <c r="AG198" i="3"/>
  <c r="AG182" i="3"/>
  <c r="AG178" i="3"/>
  <c r="AG174" i="3"/>
  <c r="AG170" i="3"/>
  <c r="AG126" i="3"/>
  <c r="AG118" i="3"/>
  <c r="AG114" i="3"/>
  <c r="AG106" i="3"/>
  <c r="AG102" i="3"/>
  <c r="AG98" i="3"/>
  <c r="AG78" i="3"/>
  <c r="AG54" i="3"/>
  <c r="AG46" i="3"/>
  <c r="AG42" i="3"/>
  <c r="AG38" i="3"/>
  <c r="AG26" i="3"/>
  <c r="AG18" i="3"/>
  <c r="AG14" i="3"/>
  <c r="AG2" i="3"/>
  <c r="AG621" i="3"/>
  <c r="AG605" i="3"/>
  <c r="AG589" i="3"/>
  <c r="AG585" i="3"/>
  <c r="AG573" i="3"/>
  <c r="AG569" i="3"/>
  <c r="AG557" i="3"/>
  <c r="AG541" i="3"/>
  <c r="AG525" i="3"/>
  <c r="AG521" i="3"/>
  <c r="AG513" i="3"/>
  <c r="AG509" i="3"/>
  <c r="AG505" i="3"/>
  <c r="AG493" i="3"/>
  <c r="AG477" i="3"/>
  <c r="AG461" i="3"/>
  <c r="AG457" i="3"/>
  <c r="AG445" i="3"/>
  <c r="AG441" i="3"/>
  <c r="AG429" i="3"/>
  <c r="AG425" i="3"/>
  <c r="AG421" i="3"/>
  <c r="AG417" i="3"/>
  <c r="AG405" i="3"/>
  <c r="AG393" i="3"/>
  <c r="AG389" i="3"/>
  <c r="AG377" i="3"/>
  <c r="AG373" i="3"/>
  <c r="AG357" i="3"/>
  <c r="AG341" i="3"/>
  <c r="AG337" i="3"/>
  <c r="AG329" i="3"/>
  <c r="AG305" i="3"/>
  <c r="AG297" i="3"/>
  <c r="AG289" i="3"/>
  <c r="AG285" i="3"/>
  <c r="AG277" i="3"/>
  <c r="AG273" i="3"/>
  <c r="AG269" i="3"/>
  <c r="AG265" i="3"/>
  <c r="AG261" i="3"/>
  <c r="AG241" i="3"/>
  <c r="AG225" i="3"/>
  <c r="AG217" i="3"/>
  <c r="AG213" i="3"/>
  <c r="AG197" i="3"/>
  <c r="AG189" i="3"/>
  <c r="AG185" i="3"/>
  <c r="AG173" i="3"/>
  <c r="AG169" i="3"/>
  <c r="AG161" i="3"/>
  <c r="AG157" i="3"/>
  <c r="AG153" i="3"/>
  <c r="AG149" i="3"/>
  <c r="AG141" i="3"/>
  <c r="AG125" i="3"/>
  <c r="AG121" i="3"/>
  <c r="AG105" i="3"/>
  <c r="AG97" i="3"/>
  <c r="AG89" i="3"/>
  <c r="AG85" i="3"/>
  <c r="AG81" i="3"/>
  <c r="AG73" i="3"/>
  <c r="AG57" i="3"/>
  <c r="AG49" i="3"/>
  <c r="AG41" i="3"/>
  <c r="AG33" i="3"/>
  <c r="AG29" i="3"/>
  <c r="AG21" i="3"/>
  <c r="AG17" i="3"/>
  <c r="AG13" i="3"/>
  <c r="AG9" i="3"/>
  <c r="AG5" i="3"/>
  <c r="AG387" i="3"/>
  <c r="AG383" i="3"/>
  <c r="AG375" i="3"/>
  <c r="AG363" i="3"/>
  <c r="AG355" i="3"/>
  <c r="X551" i="3"/>
  <c r="V551" i="3"/>
  <c r="X535" i="3"/>
  <c r="V535" i="3"/>
  <c r="X523" i="3"/>
  <c r="V523" i="3"/>
  <c r="X511" i="3"/>
  <c r="Z511" i="3" s="1"/>
  <c r="V511" i="3"/>
  <c r="X495" i="3"/>
  <c r="V495" i="3"/>
  <c r="X483" i="3"/>
  <c r="Z483" i="3" s="1"/>
  <c r="V483" i="3"/>
  <c r="X467" i="3"/>
  <c r="V467" i="3"/>
  <c r="X451" i="3"/>
  <c r="V451" i="3"/>
  <c r="X439" i="3"/>
  <c r="V439" i="3"/>
  <c r="X426" i="3"/>
  <c r="Z426" i="3" s="1"/>
  <c r="V426" i="3"/>
  <c r="X414" i="3"/>
  <c r="Z414" i="3" s="1"/>
  <c r="V414" i="3"/>
  <c r="X402" i="3"/>
  <c r="Z402" i="3" s="1"/>
  <c r="V402" i="3"/>
  <c r="X389" i="3"/>
  <c r="V389" i="3"/>
  <c r="X369" i="3"/>
  <c r="V369" i="3"/>
  <c r="X357" i="3"/>
  <c r="V357" i="3"/>
  <c r="X345" i="3"/>
  <c r="V345" i="3"/>
  <c r="X332" i="3"/>
  <c r="V332" i="3"/>
  <c r="X311" i="3"/>
  <c r="V311" i="3"/>
  <c r="X299" i="3"/>
  <c r="V299" i="3"/>
  <c r="X287" i="3"/>
  <c r="V287" i="3"/>
  <c r="X274" i="3"/>
  <c r="Z274" i="3" s="1"/>
  <c r="V274" i="3"/>
  <c r="X254" i="3"/>
  <c r="Z254" i="3" s="1"/>
  <c r="V254" i="3"/>
  <c r="X242" i="3"/>
  <c r="Z242" i="3" s="1"/>
  <c r="V242" i="3"/>
  <c r="X230" i="3"/>
  <c r="Z230" i="3" s="1"/>
  <c r="V230" i="3"/>
  <c r="X210" i="3"/>
  <c r="Z210" i="3" s="1"/>
  <c r="V210" i="3"/>
  <c r="X194" i="3"/>
  <c r="Z194" i="3" s="1"/>
  <c r="V194" i="3"/>
  <c r="X178" i="3"/>
  <c r="Z178" i="3" s="1"/>
  <c r="V178" i="3"/>
  <c r="X162" i="3"/>
  <c r="Z162" i="3" s="1"/>
  <c r="AK162" i="3" s="1"/>
  <c r="V162" i="3"/>
  <c r="X150" i="3"/>
  <c r="Z150" i="3" s="1"/>
  <c r="AK150" i="3" s="1"/>
  <c r="V150" i="3"/>
  <c r="X130" i="3"/>
  <c r="Z130" i="3" s="1"/>
  <c r="V130" i="3"/>
  <c r="X118" i="3"/>
  <c r="Z118" i="3" s="1"/>
  <c r="V118" i="3"/>
  <c r="X98" i="3"/>
  <c r="V98" i="3"/>
  <c r="X86" i="3"/>
  <c r="V86" i="3"/>
  <c r="X73" i="3"/>
  <c r="V73" i="3"/>
  <c r="X57" i="3"/>
  <c r="V57" i="3"/>
  <c r="X40" i="3"/>
  <c r="Z40" i="3" s="1"/>
  <c r="V40" i="3"/>
  <c r="X28" i="3"/>
  <c r="V28" i="3"/>
  <c r="X16" i="3"/>
  <c r="V16" i="3"/>
  <c r="X4" i="3"/>
  <c r="V4" i="3"/>
  <c r="X282" i="3"/>
  <c r="Z282" i="3" s="1"/>
  <c r="V282" i="3"/>
  <c r="X626" i="3"/>
  <c r="Z626" i="3" s="1"/>
  <c r="V626" i="3"/>
  <c r="X618" i="3"/>
  <c r="V618" i="3"/>
  <c r="X610" i="3"/>
  <c r="V610" i="3"/>
  <c r="X602" i="3"/>
  <c r="Z602" i="3" s="1"/>
  <c r="V602" i="3"/>
  <c r="X598" i="3"/>
  <c r="Z598" i="3" s="1"/>
  <c r="V598" i="3"/>
  <c r="X590" i="3"/>
  <c r="Z590" i="3" s="1"/>
  <c r="V590" i="3"/>
  <c r="X582" i="3"/>
  <c r="Z582" i="3" s="1"/>
  <c r="V582" i="3"/>
  <c r="X574" i="3"/>
  <c r="Z574" i="3" s="1"/>
  <c r="V574" i="3"/>
  <c r="X566" i="3"/>
  <c r="Z566" i="3" s="1"/>
  <c r="V566" i="3"/>
  <c r="X558" i="3"/>
  <c r="Z558" i="3" s="1"/>
  <c r="V558" i="3"/>
  <c r="X554" i="3"/>
  <c r="Z554" i="3" s="1"/>
  <c r="V554" i="3"/>
  <c r="X546" i="3"/>
  <c r="Z546" i="3" s="1"/>
  <c r="V546" i="3"/>
  <c r="X538" i="3"/>
  <c r="Z538" i="3" s="1"/>
  <c r="V538" i="3"/>
  <c r="X530" i="3"/>
  <c r="Z530" i="3" s="1"/>
  <c r="V530" i="3"/>
  <c r="X526" i="3"/>
  <c r="V526" i="3"/>
  <c r="X518" i="3"/>
  <c r="Z518" i="3" s="1"/>
  <c r="V518" i="3"/>
  <c r="X510" i="3"/>
  <c r="Z510" i="3" s="1"/>
  <c r="V510" i="3"/>
  <c r="X502" i="3"/>
  <c r="Z502" i="3" s="1"/>
  <c r="V502" i="3"/>
  <c r="X498" i="3"/>
  <c r="Z498" i="3" s="1"/>
  <c r="V498" i="3"/>
  <c r="X490" i="3"/>
  <c r="Z490" i="3" s="1"/>
  <c r="V490" i="3"/>
  <c r="X482" i="3"/>
  <c r="Z482" i="3" s="1"/>
  <c r="V482" i="3"/>
  <c r="X474" i="3"/>
  <c r="Z474" i="3" s="1"/>
  <c r="V474" i="3"/>
  <c r="X466" i="3"/>
  <c r="Z466" i="3" s="1"/>
  <c r="V466" i="3"/>
  <c r="X458" i="3"/>
  <c r="Z458" i="3" s="1"/>
  <c r="V458" i="3"/>
  <c r="X454" i="3"/>
  <c r="Z454" i="3" s="1"/>
  <c r="V454" i="3"/>
  <c r="X446" i="3"/>
  <c r="Z446" i="3" s="1"/>
  <c r="V446" i="3"/>
  <c r="X438" i="3"/>
  <c r="V438" i="3"/>
  <c r="X430" i="3"/>
  <c r="Z430" i="3" s="1"/>
  <c r="V430" i="3"/>
  <c r="X421" i="3"/>
  <c r="V421" i="3"/>
  <c r="X413" i="3"/>
  <c r="Z413" i="3" s="1"/>
  <c r="AK413" i="3" s="1"/>
  <c r="V413" i="3"/>
  <c r="X405" i="3"/>
  <c r="V405" i="3"/>
  <c r="X397" i="3"/>
  <c r="Z397" i="3" s="1"/>
  <c r="V397" i="3"/>
  <c r="X392" i="3"/>
  <c r="V392" i="3"/>
  <c r="X384" i="3"/>
  <c r="V384" i="3"/>
  <c r="X376" i="3"/>
  <c r="V376" i="3"/>
  <c r="X368" i="3"/>
  <c r="V368" i="3"/>
  <c r="X360" i="3"/>
  <c r="V360" i="3"/>
  <c r="X352" i="3"/>
  <c r="V352" i="3"/>
  <c r="X344" i="3"/>
  <c r="V344" i="3"/>
  <c r="X335" i="3"/>
  <c r="V335" i="3"/>
  <c r="X326" i="3"/>
  <c r="Z326" i="3" s="1"/>
  <c r="V326" i="3"/>
  <c r="X318" i="3"/>
  <c r="Z318" i="3" s="1"/>
  <c r="V318" i="3"/>
  <c r="X310" i="3"/>
  <c r="Z310" i="3" s="1"/>
  <c r="V310" i="3"/>
  <c r="X302" i="3"/>
  <c r="Z302" i="3" s="1"/>
  <c r="AK302" i="3" s="1"/>
  <c r="V302" i="3"/>
  <c r="X294" i="3"/>
  <c r="Z294" i="3" s="1"/>
  <c r="V294" i="3"/>
  <c r="X286" i="3"/>
  <c r="Z286" i="3" s="1"/>
  <c r="V286" i="3"/>
  <c r="X277" i="3"/>
  <c r="V277" i="3"/>
  <c r="X269" i="3"/>
  <c r="Z269" i="3" s="1"/>
  <c r="V269" i="3"/>
  <c r="X261" i="3"/>
  <c r="V261" i="3"/>
  <c r="X253" i="3"/>
  <c r="Z253" i="3" s="1"/>
  <c r="V253" i="3"/>
  <c r="X245" i="3"/>
  <c r="V245" i="3"/>
  <c r="X233" i="3"/>
  <c r="V233" i="3"/>
  <c r="X205" i="3"/>
  <c r="Z205" i="3" s="1"/>
  <c r="V205" i="3"/>
  <c r="X197" i="3"/>
  <c r="V197" i="3"/>
  <c r="X189" i="3"/>
  <c r="Z189" i="3" s="1"/>
  <c r="V189" i="3"/>
  <c r="X181" i="3"/>
  <c r="V181" i="3"/>
  <c r="X173" i="3"/>
  <c r="Z173" i="3" s="1"/>
  <c r="V173" i="3"/>
  <c r="X165" i="3"/>
  <c r="V165" i="3"/>
  <c r="X157" i="3"/>
  <c r="Z157" i="3" s="1"/>
  <c r="V157" i="3"/>
  <c r="X149" i="3"/>
  <c r="V149" i="3"/>
  <c r="X141" i="3"/>
  <c r="Z141" i="3" s="1"/>
  <c r="V141" i="3"/>
  <c r="X133" i="3"/>
  <c r="V133" i="3"/>
  <c r="X125" i="3"/>
  <c r="V125" i="3"/>
  <c r="X121" i="3"/>
  <c r="V121" i="3"/>
  <c r="X113" i="3"/>
  <c r="V113" i="3"/>
  <c r="X105" i="3"/>
  <c r="V105" i="3"/>
  <c r="X97" i="3"/>
  <c r="V97" i="3"/>
  <c r="X93" i="3"/>
  <c r="V93" i="3"/>
  <c r="X85" i="3"/>
  <c r="V85" i="3"/>
  <c r="X77" i="3"/>
  <c r="Z77" i="3" s="1"/>
  <c r="V77" i="3"/>
  <c r="X68" i="3"/>
  <c r="V68" i="3"/>
  <c r="X60" i="3"/>
  <c r="V60" i="3"/>
  <c r="X52" i="3"/>
  <c r="V52" i="3"/>
  <c r="X43" i="3"/>
  <c r="V43" i="3"/>
  <c r="X35" i="3"/>
  <c r="V35" i="3"/>
  <c r="X27" i="3"/>
  <c r="V27" i="3"/>
  <c r="X19" i="3"/>
  <c r="V19" i="3"/>
  <c r="X11" i="3"/>
  <c r="V11" i="3"/>
  <c r="X7" i="3"/>
  <c r="V7" i="3"/>
  <c r="X631" i="3"/>
  <c r="V631" i="3"/>
  <c r="X623" i="3"/>
  <c r="V623" i="3"/>
  <c r="X615" i="3"/>
  <c r="V615" i="3"/>
  <c r="X607" i="3"/>
  <c r="V607" i="3"/>
  <c r="X599" i="3"/>
  <c r="V599" i="3"/>
  <c r="X587" i="3"/>
  <c r="V587" i="3"/>
  <c r="X579" i="3"/>
  <c r="V579" i="3"/>
  <c r="X571" i="3"/>
  <c r="V571" i="3"/>
  <c r="X563" i="3"/>
  <c r="V563" i="3"/>
  <c r="X555" i="3"/>
  <c r="Z555" i="3" s="1"/>
  <c r="V555" i="3"/>
  <c r="X543" i="3"/>
  <c r="V543" i="3"/>
  <c r="X531" i="3"/>
  <c r="V531" i="3"/>
  <c r="X519" i="3"/>
  <c r="V519" i="3"/>
  <c r="X507" i="3"/>
  <c r="V507" i="3"/>
  <c r="X499" i="3"/>
  <c r="V499" i="3"/>
  <c r="X487" i="3"/>
  <c r="V487" i="3"/>
  <c r="X475" i="3"/>
  <c r="V475" i="3"/>
  <c r="X463" i="3"/>
  <c r="V463" i="3"/>
  <c r="X455" i="3"/>
  <c r="Z455" i="3" s="1"/>
  <c r="V455" i="3"/>
  <c r="X443" i="3"/>
  <c r="V443" i="3"/>
  <c r="X431" i="3"/>
  <c r="V431" i="3"/>
  <c r="X418" i="3"/>
  <c r="V418" i="3"/>
  <c r="X410" i="3"/>
  <c r="Z410" i="3" s="1"/>
  <c r="V410" i="3"/>
  <c r="X394" i="3"/>
  <c r="Z394" i="3" s="1"/>
  <c r="V394" i="3"/>
  <c r="X385" i="3"/>
  <c r="V385" i="3"/>
  <c r="X377" i="3"/>
  <c r="V377" i="3"/>
  <c r="X365" i="3"/>
  <c r="V365" i="3"/>
  <c r="X353" i="3"/>
  <c r="V353" i="3"/>
  <c r="X336" i="3"/>
  <c r="V336" i="3"/>
  <c r="X327" i="3"/>
  <c r="Z327" i="3" s="1"/>
  <c r="V327" i="3"/>
  <c r="X319" i="3"/>
  <c r="V319" i="3"/>
  <c r="X307" i="3"/>
  <c r="V307" i="3"/>
  <c r="X295" i="3"/>
  <c r="Z295" i="3" s="1"/>
  <c r="V295" i="3"/>
  <c r="X278" i="3"/>
  <c r="Z278" i="3" s="1"/>
  <c r="V278" i="3"/>
  <c r="X266" i="3"/>
  <c r="Z266" i="3" s="1"/>
  <c r="V266" i="3"/>
  <c r="X262" i="3"/>
  <c r="Z262" i="3" s="1"/>
  <c r="V262" i="3"/>
  <c r="X250" i="3"/>
  <c r="Z250" i="3" s="1"/>
  <c r="V250" i="3"/>
  <c r="X234" i="3"/>
  <c r="V234" i="3"/>
  <c r="X222" i="3"/>
  <c r="Z222" i="3" s="1"/>
  <c r="V222" i="3"/>
  <c r="X214" i="3"/>
  <c r="Z214" i="3" s="1"/>
  <c r="V214" i="3"/>
  <c r="X202" i="3"/>
  <c r="Z202" i="3" s="1"/>
  <c r="V202" i="3"/>
  <c r="X190" i="3"/>
  <c r="Z190" i="3" s="1"/>
  <c r="V190" i="3"/>
  <c r="X182" i="3"/>
  <c r="Z182" i="3" s="1"/>
  <c r="V182" i="3"/>
  <c r="X170" i="3"/>
  <c r="Z170" i="3" s="1"/>
  <c r="V170" i="3"/>
  <c r="X158" i="3"/>
  <c r="Z158" i="3" s="1"/>
  <c r="V158" i="3"/>
  <c r="X146" i="3"/>
  <c r="Z146" i="3" s="1"/>
  <c r="V146" i="3"/>
  <c r="X134" i="3"/>
  <c r="Z134" i="3" s="1"/>
  <c r="V134" i="3"/>
  <c r="X126" i="3"/>
  <c r="Z126" i="3" s="1"/>
  <c r="V126" i="3"/>
  <c r="X114" i="3"/>
  <c r="Z114" i="3" s="1"/>
  <c r="V114" i="3"/>
  <c r="X106" i="3"/>
  <c r="Z106" i="3" s="1"/>
  <c r="V106" i="3"/>
  <c r="X94" i="3"/>
  <c r="Z94" i="3" s="1"/>
  <c r="V94" i="3"/>
  <c r="X82" i="3"/>
  <c r="Z82" i="3" s="1"/>
  <c r="V82" i="3"/>
  <c r="X69" i="3"/>
  <c r="V69" i="3"/>
  <c r="X61" i="3"/>
  <c r="Z61" i="3" s="1"/>
  <c r="V61" i="3"/>
  <c r="X49" i="3"/>
  <c r="V49" i="3"/>
  <c r="X36" i="3"/>
  <c r="V36" i="3"/>
  <c r="X20" i="3"/>
  <c r="V20" i="3"/>
  <c r="X12" i="3"/>
  <c r="V12" i="3"/>
  <c r="X533" i="3"/>
  <c r="V533" i="3"/>
  <c r="X525" i="3"/>
  <c r="V525" i="3"/>
  <c r="X517" i="3"/>
  <c r="V517" i="3"/>
  <c r="X513" i="3"/>
  <c r="V513" i="3"/>
  <c r="X505" i="3"/>
  <c r="V505" i="3"/>
  <c r="X497" i="3"/>
  <c r="V497" i="3"/>
  <c r="X489" i="3"/>
  <c r="V489" i="3"/>
  <c r="X481" i="3"/>
  <c r="V481" i="3"/>
  <c r="X473" i="3"/>
  <c r="V473" i="3"/>
  <c r="X465" i="3"/>
  <c r="V465" i="3"/>
  <c r="X457" i="3"/>
  <c r="V457" i="3"/>
  <c r="X449" i="3"/>
  <c r="V449" i="3"/>
  <c r="X441" i="3"/>
  <c r="V441" i="3"/>
  <c r="X433" i="3"/>
  <c r="V433" i="3"/>
  <c r="X424" i="3"/>
  <c r="V424" i="3"/>
  <c r="X416" i="3"/>
  <c r="V416" i="3"/>
  <c r="X408" i="3"/>
  <c r="Z408" i="3" s="1"/>
  <c r="V408" i="3"/>
  <c r="X400" i="3"/>
  <c r="V400" i="3"/>
  <c r="X391" i="3"/>
  <c r="V391" i="3"/>
  <c r="X383" i="3"/>
  <c r="V383" i="3"/>
  <c r="X375" i="3"/>
  <c r="Z375" i="3" s="1"/>
  <c r="V375" i="3"/>
  <c r="X367" i="3"/>
  <c r="V367" i="3"/>
  <c r="X359" i="3"/>
  <c r="Z359" i="3" s="1"/>
  <c r="V359" i="3"/>
  <c r="X351" i="3"/>
  <c r="V351" i="3"/>
  <c r="X338" i="3"/>
  <c r="V338" i="3"/>
  <c r="X330" i="3"/>
  <c r="V330" i="3"/>
  <c r="X321" i="3"/>
  <c r="V321" i="3"/>
  <c r="X313" i="3"/>
  <c r="V313" i="3"/>
  <c r="X305" i="3"/>
  <c r="V305" i="3"/>
  <c r="X297" i="3"/>
  <c r="V297" i="3"/>
  <c r="X289" i="3"/>
  <c r="V289" i="3"/>
  <c r="X280" i="3"/>
  <c r="V280" i="3"/>
  <c r="X272" i="3"/>
  <c r="V272" i="3"/>
  <c r="X260" i="3"/>
  <c r="V260" i="3"/>
  <c r="X252" i="3"/>
  <c r="V252" i="3"/>
  <c r="X244" i="3"/>
  <c r="V244" i="3"/>
  <c r="X236" i="3"/>
  <c r="V236" i="3"/>
  <c r="X232" i="3"/>
  <c r="V232" i="3"/>
  <c r="X224" i="3"/>
  <c r="V224" i="3"/>
  <c r="X216" i="3"/>
  <c r="V216" i="3"/>
  <c r="X208" i="3"/>
  <c r="V208" i="3"/>
  <c r="X196" i="3"/>
  <c r="V196" i="3"/>
  <c r="X188" i="3"/>
  <c r="V188" i="3"/>
  <c r="X180" i="3"/>
  <c r="V180" i="3"/>
  <c r="X172" i="3"/>
  <c r="V172" i="3"/>
  <c r="X164" i="3"/>
  <c r="V164" i="3"/>
  <c r="X156" i="3"/>
  <c r="V156" i="3"/>
  <c r="X148" i="3"/>
  <c r="V148" i="3"/>
  <c r="X140" i="3"/>
  <c r="V140" i="3"/>
  <c r="X136" i="3"/>
  <c r="V136" i="3"/>
  <c r="X128" i="3"/>
  <c r="V128" i="3"/>
  <c r="X120" i="3"/>
  <c r="V120" i="3"/>
  <c r="X112" i="3"/>
  <c r="V112" i="3"/>
  <c r="X104" i="3"/>
  <c r="V104" i="3"/>
  <c r="X96" i="3"/>
  <c r="V96" i="3"/>
  <c r="X88" i="3"/>
  <c r="V88" i="3"/>
  <c r="X80" i="3"/>
  <c r="V80" i="3"/>
  <c r="X67" i="3"/>
  <c r="V67" i="3"/>
  <c r="X59" i="3"/>
  <c r="V59" i="3"/>
  <c r="X51" i="3"/>
  <c r="V51" i="3"/>
  <c r="X42" i="3"/>
  <c r="V42" i="3"/>
  <c r="X34" i="3"/>
  <c r="V34" i="3"/>
  <c r="X26" i="3"/>
  <c r="V26" i="3"/>
  <c r="X18" i="3"/>
  <c r="Z18" i="3" s="1"/>
  <c r="V18" i="3"/>
  <c r="X10" i="3"/>
  <c r="V10" i="3"/>
  <c r="X627" i="3"/>
  <c r="Z627" i="3" s="1"/>
  <c r="V627" i="3"/>
  <c r="X619" i="3"/>
  <c r="V619" i="3"/>
  <c r="X611" i="3"/>
  <c r="V611" i="3"/>
  <c r="X603" i="3"/>
  <c r="V603" i="3"/>
  <c r="X595" i="3"/>
  <c r="Z595" i="3" s="1"/>
  <c r="V595" i="3"/>
  <c r="X591" i="3"/>
  <c r="Z591" i="3" s="1"/>
  <c r="V591" i="3"/>
  <c r="X583" i="3"/>
  <c r="V583" i="3"/>
  <c r="X575" i="3"/>
  <c r="V575" i="3"/>
  <c r="X567" i="3"/>
  <c r="Z567" i="3" s="1"/>
  <c r="V567" i="3"/>
  <c r="X559" i="3"/>
  <c r="V559" i="3"/>
  <c r="X547" i="3"/>
  <c r="V547" i="3"/>
  <c r="X539" i="3"/>
  <c r="Z539" i="3" s="1"/>
  <c r="V539" i="3"/>
  <c r="X527" i="3"/>
  <c r="V527" i="3"/>
  <c r="X515" i="3"/>
  <c r="Z515" i="3" s="1"/>
  <c r="V515" i="3"/>
  <c r="X503" i="3"/>
  <c r="V503" i="3"/>
  <c r="X491" i="3"/>
  <c r="V491" i="3"/>
  <c r="X479" i="3"/>
  <c r="V479" i="3"/>
  <c r="X471" i="3"/>
  <c r="V471" i="3"/>
  <c r="X459" i="3"/>
  <c r="V459" i="3"/>
  <c r="X447" i="3"/>
  <c r="V447" i="3"/>
  <c r="X435" i="3"/>
  <c r="V435" i="3"/>
  <c r="X422" i="3"/>
  <c r="Z422" i="3" s="1"/>
  <c r="V422" i="3"/>
  <c r="X406" i="3"/>
  <c r="Z406" i="3" s="1"/>
  <c r="V406" i="3"/>
  <c r="X398" i="3"/>
  <c r="Z398" i="3" s="1"/>
  <c r="V398" i="3"/>
  <c r="X381" i="3"/>
  <c r="V381" i="3"/>
  <c r="X373" i="3"/>
  <c r="V373" i="3"/>
  <c r="X361" i="3"/>
  <c r="Z361" i="3" s="1"/>
  <c r="V361" i="3"/>
  <c r="X349" i="3"/>
  <c r="V349" i="3"/>
  <c r="X340" i="3"/>
  <c r="V340" i="3"/>
  <c r="X323" i="3"/>
  <c r="V323" i="3"/>
  <c r="X315" i="3"/>
  <c r="V315" i="3"/>
  <c r="X303" i="3"/>
  <c r="V303" i="3"/>
  <c r="X291" i="3"/>
  <c r="V291" i="3"/>
  <c r="X283" i="3"/>
  <c r="V283" i="3"/>
  <c r="X270" i="3"/>
  <c r="Z270" i="3" s="1"/>
  <c r="V270" i="3"/>
  <c r="X258" i="3"/>
  <c r="Z258" i="3" s="1"/>
  <c r="V258" i="3"/>
  <c r="X246" i="3"/>
  <c r="Z246" i="3" s="1"/>
  <c r="V246" i="3"/>
  <c r="X238" i="3"/>
  <c r="Z238" i="3" s="1"/>
  <c r="V238" i="3"/>
  <c r="X226" i="3"/>
  <c r="Z226" i="3" s="1"/>
  <c r="V226" i="3"/>
  <c r="X218" i="3"/>
  <c r="Z218" i="3" s="1"/>
  <c r="V218" i="3"/>
  <c r="X206" i="3"/>
  <c r="Z206" i="3" s="1"/>
  <c r="V206" i="3"/>
  <c r="X198" i="3"/>
  <c r="Z198" i="3" s="1"/>
  <c r="V198" i="3"/>
  <c r="X186" i="3"/>
  <c r="Z186" i="3" s="1"/>
  <c r="V186" i="3"/>
  <c r="X174" i="3"/>
  <c r="Z174" i="3" s="1"/>
  <c r="V174" i="3"/>
  <c r="X166" i="3"/>
  <c r="V166" i="3"/>
  <c r="X154" i="3"/>
  <c r="Z154" i="3" s="1"/>
  <c r="V154" i="3"/>
  <c r="X142" i="3"/>
  <c r="Z142" i="3" s="1"/>
  <c r="V142" i="3"/>
  <c r="X138" i="3"/>
  <c r="Z138" i="3" s="1"/>
  <c r="V138" i="3"/>
  <c r="X122" i="3"/>
  <c r="Z122" i="3" s="1"/>
  <c r="V122" i="3"/>
  <c r="X110" i="3"/>
  <c r="Z110" i="3" s="1"/>
  <c r="V110" i="3"/>
  <c r="X102" i="3"/>
  <c r="Z102" i="3" s="1"/>
  <c r="V102" i="3"/>
  <c r="X90" i="3"/>
  <c r="Z90" i="3" s="1"/>
  <c r="V90" i="3"/>
  <c r="X78" i="3"/>
  <c r="Z78" i="3" s="1"/>
  <c r="V78" i="3"/>
  <c r="X65" i="3"/>
  <c r="V65" i="3"/>
  <c r="X53" i="3"/>
  <c r="V53" i="3"/>
  <c r="X45" i="3"/>
  <c r="V45" i="3"/>
  <c r="X32" i="3"/>
  <c r="V32" i="3"/>
  <c r="X24" i="3"/>
  <c r="Z24" i="3" s="1"/>
  <c r="V24" i="3"/>
  <c r="X8" i="3"/>
  <c r="Z8" i="3" s="1"/>
  <c r="V8" i="3"/>
  <c r="X630" i="3"/>
  <c r="Z630" i="3" s="1"/>
  <c r="V630" i="3"/>
  <c r="X622" i="3"/>
  <c r="Z622" i="3" s="1"/>
  <c r="V622" i="3"/>
  <c r="X614" i="3"/>
  <c r="Z614" i="3" s="1"/>
  <c r="V614" i="3"/>
  <c r="X606" i="3"/>
  <c r="Z606" i="3" s="1"/>
  <c r="V606" i="3"/>
  <c r="X594" i="3"/>
  <c r="Z594" i="3" s="1"/>
  <c r="V594" i="3"/>
  <c r="X586" i="3"/>
  <c r="Z586" i="3" s="1"/>
  <c r="V586" i="3"/>
  <c r="X578" i="3"/>
  <c r="Z578" i="3" s="1"/>
  <c r="V578" i="3"/>
  <c r="X570" i="3"/>
  <c r="Z570" i="3" s="1"/>
  <c r="V570" i="3"/>
  <c r="X562" i="3"/>
  <c r="Z562" i="3" s="1"/>
  <c r="V562" i="3"/>
  <c r="X550" i="3"/>
  <c r="Z550" i="3" s="1"/>
  <c r="V550" i="3"/>
  <c r="X542" i="3"/>
  <c r="Z542" i="3" s="1"/>
  <c r="V542" i="3"/>
  <c r="X534" i="3"/>
  <c r="Z534" i="3" s="1"/>
  <c r="V534" i="3"/>
  <c r="X522" i="3"/>
  <c r="Z522" i="3" s="1"/>
  <c r="V522" i="3"/>
  <c r="X514" i="3"/>
  <c r="Z514" i="3" s="1"/>
  <c r="V514" i="3"/>
  <c r="X506" i="3"/>
  <c r="Z506" i="3" s="1"/>
  <c r="V506" i="3"/>
  <c r="X494" i="3"/>
  <c r="Z494" i="3" s="1"/>
  <c r="V494" i="3"/>
  <c r="X486" i="3"/>
  <c r="Z486" i="3" s="1"/>
  <c r="V486" i="3"/>
  <c r="X478" i="3"/>
  <c r="Z478" i="3" s="1"/>
  <c r="V478" i="3"/>
  <c r="X470" i="3"/>
  <c r="Z470" i="3" s="1"/>
  <c r="V470" i="3"/>
  <c r="X462" i="3"/>
  <c r="Z462" i="3" s="1"/>
  <c r="V462" i="3"/>
  <c r="X450" i="3"/>
  <c r="Z450" i="3" s="1"/>
  <c r="V450" i="3"/>
  <c r="X442" i="3"/>
  <c r="Z442" i="3" s="1"/>
  <c r="V442" i="3"/>
  <c r="X434" i="3"/>
  <c r="Z434" i="3" s="1"/>
  <c r="V434" i="3"/>
  <c r="X425" i="3"/>
  <c r="V425" i="3"/>
  <c r="X417" i="3"/>
  <c r="V417" i="3"/>
  <c r="X409" i="3"/>
  <c r="V409" i="3"/>
  <c r="X401" i="3"/>
  <c r="V401" i="3"/>
  <c r="X388" i="3"/>
  <c r="V388" i="3"/>
  <c r="X380" i="3"/>
  <c r="Z380" i="3" s="1"/>
  <c r="V380" i="3"/>
  <c r="X372" i="3"/>
  <c r="V372" i="3"/>
  <c r="X364" i="3"/>
  <c r="V364" i="3"/>
  <c r="X356" i="3"/>
  <c r="V356" i="3"/>
  <c r="X348" i="3"/>
  <c r="Z348" i="3" s="1"/>
  <c r="V348" i="3"/>
  <c r="X339" i="3"/>
  <c r="V339" i="3"/>
  <c r="X331" i="3"/>
  <c r="Z331" i="3" s="1"/>
  <c r="V331" i="3"/>
  <c r="X322" i="3"/>
  <c r="Z322" i="3" s="1"/>
  <c r="V322" i="3"/>
  <c r="X314" i="3"/>
  <c r="Z314" i="3" s="1"/>
  <c r="V314" i="3"/>
  <c r="X306" i="3"/>
  <c r="Z306" i="3" s="1"/>
  <c r="V306" i="3"/>
  <c r="X298" i="3"/>
  <c r="Z298" i="3" s="1"/>
  <c r="V298" i="3"/>
  <c r="X290" i="3"/>
  <c r="Z290" i="3" s="1"/>
  <c r="V290" i="3"/>
  <c r="X281" i="3"/>
  <c r="V281" i="3"/>
  <c r="X273" i="3"/>
  <c r="V273" i="3"/>
  <c r="X265" i="3"/>
  <c r="V265" i="3"/>
  <c r="X257" i="3"/>
  <c r="V257" i="3"/>
  <c r="X249" i="3"/>
  <c r="V249" i="3"/>
  <c r="X241" i="3"/>
  <c r="V241" i="3"/>
  <c r="X237" i="3"/>
  <c r="Z237" i="3" s="1"/>
  <c r="V237" i="3"/>
  <c r="X229" i="3"/>
  <c r="V229" i="3"/>
  <c r="X225" i="3"/>
  <c r="V225" i="3"/>
  <c r="X221" i="3"/>
  <c r="V221" i="3"/>
  <c r="X217" i="3"/>
  <c r="V217" i="3"/>
  <c r="X213" i="3"/>
  <c r="V213" i="3"/>
  <c r="X209" i="3"/>
  <c r="V209" i="3"/>
  <c r="X201" i="3"/>
  <c r="V201" i="3"/>
  <c r="X193" i="3"/>
  <c r="V193" i="3"/>
  <c r="X185" i="3"/>
  <c r="V185" i="3"/>
  <c r="X177" i="3"/>
  <c r="V177" i="3"/>
  <c r="X169" i="3"/>
  <c r="V169" i="3"/>
  <c r="X161" i="3"/>
  <c r="V161" i="3"/>
  <c r="X153" i="3"/>
  <c r="V153" i="3"/>
  <c r="X145" i="3"/>
  <c r="V145" i="3"/>
  <c r="X137" i="3"/>
  <c r="V137" i="3"/>
  <c r="X129" i="3"/>
  <c r="V129" i="3"/>
  <c r="X117" i="3"/>
  <c r="V117" i="3"/>
  <c r="X109" i="3"/>
  <c r="Z109" i="3" s="1"/>
  <c r="V109" i="3"/>
  <c r="X101" i="3"/>
  <c r="V101" i="3"/>
  <c r="X89" i="3"/>
  <c r="V89" i="3"/>
  <c r="X81" i="3"/>
  <c r="V81" i="3"/>
  <c r="X72" i="3"/>
  <c r="Z72" i="3" s="1"/>
  <c r="V72" i="3"/>
  <c r="X64" i="3"/>
  <c r="V64" i="3"/>
  <c r="X56" i="3"/>
  <c r="V56" i="3"/>
  <c r="X48" i="3"/>
  <c r="Z48" i="3" s="1"/>
  <c r="V48" i="3"/>
  <c r="X39" i="3"/>
  <c r="V39" i="3"/>
  <c r="X31" i="3"/>
  <c r="V31" i="3"/>
  <c r="X23" i="3"/>
  <c r="V23" i="3"/>
  <c r="X15" i="3"/>
  <c r="Z15" i="3" s="1"/>
  <c r="V15" i="3"/>
  <c r="X3" i="3"/>
  <c r="V3" i="3"/>
  <c r="X2" i="3"/>
  <c r="V2" i="3"/>
  <c r="X629" i="3"/>
  <c r="V629" i="3"/>
  <c r="X625" i="3"/>
  <c r="V625" i="3"/>
  <c r="X621" i="3"/>
  <c r="Z621" i="3" s="1"/>
  <c r="V621" i="3"/>
  <c r="X617" i="3"/>
  <c r="V617" i="3"/>
  <c r="X613" i="3"/>
  <c r="V613" i="3"/>
  <c r="X609" i="3"/>
  <c r="V609" i="3"/>
  <c r="X605" i="3"/>
  <c r="V605" i="3"/>
  <c r="X601" i="3"/>
  <c r="V601" i="3"/>
  <c r="X597" i="3"/>
  <c r="V597" i="3"/>
  <c r="X593" i="3"/>
  <c r="V593" i="3"/>
  <c r="X589" i="3"/>
  <c r="V589" i="3"/>
  <c r="X585" i="3"/>
  <c r="V585" i="3"/>
  <c r="X581" i="3"/>
  <c r="V581" i="3"/>
  <c r="X577" i="3"/>
  <c r="V577" i="3"/>
  <c r="X573" i="3"/>
  <c r="V573" i="3"/>
  <c r="X569" i="3"/>
  <c r="V569" i="3"/>
  <c r="X565" i="3"/>
  <c r="V565" i="3"/>
  <c r="X561" i="3"/>
  <c r="V561" i="3"/>
  <c r="X557" i="3"/>
  <c r="V557" i="3"/>
  <c r="X553" i="3"/>
  <c r="V553" i="3"/>
  <c r="X549" i="3"/>
  <c r="V549" i="3"/>
  <c r="X545" i="3"/>
  <c r="V545" i="3"/>
  <c r="X541" i="3"/>
  <c r="V541" i="3"/>
  <c r="X537" i="3"/>
  <c r="V537" i="3"/>
  <c r="X529" i="3"/>
  <c r="V529" i="3"/>
  <c r="X521" i="3"/>
  <c r="V521" i="3"/>
  <c r="X509" i="3"/>
  <c r="V509" i="3"/>
  <c r="X501" i="3"/>
  <c r="V501" i="3"/>
  <c r="X493" i="3"/>
  <c r="V493" i="3"/>
  <c r="X485" i="3"/>
  <c r="V485" i="3"/>
  <c r="X477" i="3"/>
  <c r="V477" i="3"/>
  <c r="X469" i="3"/>
  <c r="V469" i="3"/>
  <c r="X461" i="3"/>
  <c r="V461" i="3"/>
  <c r="X453" i="3"/>
  <c r="V453" i="3"/>
  <c r="X445" i="3"/>
  <c r="V445" i="3"/>
  <c r="X437" i="3"/>
  <c r="V437" i="3"/>
  <c r="X429" i="3"/>
  <c r="V429" i="3"/>
  <c r="X420" i="3"/>
  <c r="V420" i="3"/>
  <c r="X412" i="3"/>
  <c r="V412" i="3"/>
  <c r="X404" i="3"/>
  <c r="V404" i="3"/>
  <c r="X396" i="3"/>
  <c r="V396" i="3"/>
  <c r="X387" i="3"/>
  <c r="V387" i="3"/>
  <c r="X379" i="3"/>
  <c r="V379" i="3"/>
  <c r="X371" i="3"/>
  <c r="V371" i="3"/>
  <c r="X363" i="3"/>
  <c r="V363" i="3"/>
  <c r="X355" i="3"/>
  <c r="V355" i="3"/>
  <c r="X347" i="3"/>
  <c r="V347" i="3"/>
  <c r="X343" i="3"/>
  <c r="Z343" i="3" s="1"/>
  <c r="V343" i="3"/>
  <c r="X334" i="3"/>
  <c r="V334" i="3"/>
  <c r="X325" i="3"/>
  <c r="V325" i="3"/>
  <c r="X317" i="3"/>
  <c r="V317" i="3"/>
  <c r="X309" i="3"/>
  <c r="V309" i="3"/>
  <c r="X301" i="3"/>
  <c r="V301" i="3"/>
  <c r="X293" i="3"/>
  <c r="V293" i="3"/>
  <c r="X285" i="3"/>
  <c r="V285" i="3"/>
  <c r="X276" i="3"/>
  <c r="V276" i="3"/>
  <c r="X268" i="3"/>
  <c r="V268" i="3"/>
  <c r="X264" i="3"/>
  <c r="V264" i="3"/>
  <c r="X256" i="3"/>
  <c r="V256" i="3"/>
  <c r="X248" i="3"/>
  <c r="V248" i="3"/>
  <c r="X240" i="3"/>
  <c r="V240" i="3"/>
  <c r="X228" i="3"/>
  <c r="V228" i="3"/>
  <c r="X220" i="3"/>
  <c r="V220" i="3"/>
  <c r="X212" i="3"/>
  <c r="V212" i="3"/>
  <c r="X204" i="3"/>
  <c r="V204" i="3"/>
  <c r="X200" i="3"/>
  <c r="V200" i="3"/>
  <c r="X192" i="3"/>
  <c r="V192" i="3"/>
  <c r="X184" i="3"/>
  <c r="V184" i="3"/>
  <c r="X176" i="3"/>
  <c r="V176" i="3"/>
  <c r="X168" i="3"/>
  <c r="V168" i="3"/>
  <c r="X160" i="3"/>
  <c r="V160" i="3"/>
  <c r="X152" i="3"/>
  <c r="V152" i="3"/>
  <c r="X144" i="3"/>
  <c r="V144" i="3"/>
  <c r="X132" i="3"/>
  <c r="V132" i="3"/>
  <c r="X124" i="3"/>
  <c r="V124" i="3"/>
  <c r="X116" i="3"/>
  <c r="V116" i="3"/>
  <c r="X108" i="3"/>
  <c r="V108" i="3"/>
  <c r="X100" i="3"/>
  <c r="V100" i="3"/>
  <c r="X92" i="3"/>
  <c r="V92" i="3"/>
  <c r="X84" i="3"/>
  <c r="V84" i="3"/>
  <c r="X75" i="3"/>
  <c r="V75" i="3"/>
  <c r="X71" i="3"/>
  <c r="Z71" i="3" s="1"/>
  <c r="V71" i="3"/>
  <c r="X63" i="3"/>
  <c r="V63" i="3"/>
  <c r="X55" i="3"/>
  <c r="V55" i="3"/>
  <c r="X47" i="3"/>
  <c r="V47" i="3"/>
  <c r="X38" i="3"/>
  <c r="Z38" i="3" s="1"/>
  <c r="V38" i="3"/>
  <c r="X30" i="3"/>
  <c r="V30" i="3"/>
  <c r="X22" i="3"/>
  <c r="V22" i="3"/>
  <c r="X14" i="3"/>
  <c r="Z14" i="3" s="1"/>
  <c r="V14" i="3"/>
  <c r="X6" i="3"/>
  <c r="V6" i="3"/>
  <c r="X632" i="3"/>
  <c r="V632" i="3"/>
  <c r="X628" i="3"/>
  <c r="V628" i="3"/>
  <c r="X624" i="3"/>
  <c r="V624" i="3"/>
  <c r="X620" i="3"/>
  <c r="V620" i="3"/>
  <c r="X616" i="3"/>
  <c r="V616" i="3"/>
  <c r="X612" i="3"/>
  <c r="V612" i="3"/>
  <c r="X608" i="3"/>
  <c r="Z608" i="3" s="1"/>
  <c r="AK608" i="3" s="1"/>
  <c r="V608" i="3"/>
  <c r="X604" i="3"/>
  <c r="V604" i="3"/>
  <c r="X600" i="3"/>
  <c r="Z600" i="3" s="1"/>
  <c r="V600" i="3"/>
  <c r="X596" i="3"/>
  <c r="V596" i="3"/>
  <c r="X592" i="3"/>
  <c r="Z592" i="3" s="1"/>
  <c r="V592" i="3"/>
  <c r="X588" i="3"/>
  <c r="V588" i="3"/>
  <c r="X584" i="3"/>
  <c r="V584" i="3"/>
  <c r="X580" i="3"/>
  <c r="V580" i="3"/>
  <c r="X576" i="3"/>
  <c r="V576" i="3"/>
  <c r="X572" i="3"/>
  <c r="V572" i="3"/>
  <c r="X568" i="3"/>
  <c r="Z568" i="3" s="1"/>
  <c r="V568" i="3"/>
  <c r="X564" i="3"/>
  <c r="V564" i="3"/>
  <c r="X560" i="3"/>
  <c r="Z560" i="3" s="1"/>
  <c r="V560" i="3"/>
  <c r="X556" i="3"/>
  <c r="V556" i="3"/>
  <c r="X552" i="3"/>
  <c r="Z552" i="3" s="1"/>
  <c r="V552" i="3"/>
  <c r="X548" i="3"/>
  <c r="V548" i="3"/>
  <c r="X544" i="3"/>
  <c r="Z544" i="3" s="1"/>
  <c r="V544" i="3"/>
  <c r="X540" i="3"/>
  <c r="V540" i="3"/>
  <c r="X536" i="3"/>
  <c r="V536" i="3"/>
  <c r="X532" i="3"/>
  <c r="V532" i="3"/>
  <c r="X528" i="3"/>
  <c r="V528" i="3"/>
  <c r="X524" i="3"/>
  <c r="V524" i="3"/>
  <c r="X520" i="3"/>
  <c r="V520" i="3"/>
  <c r="X516" i="3"/>
  <c r="V516" i="3"/>
  <c r="X512" i="3"/>
  <c r="Z512" i="3" s="1"/>
  <c r="V512" i="3"/>
  <c r="X508" i="3"/>
  <c r="V508" i="3"/>
  <c r="X504" i="3"/>
  <c r="V504" i="3"/>
  <c r="X500" i="3"/>
  <c r="Z500" i="3" s="1"/>
  <c r="V500" i="3"/>
  <c r="X496" i="3"/>
  <c r="V496" i="3"/>
  <c r="X492" i="3"/>
  <c r="Z492" i="3" s="1"/>
  <c r="V492" i="3"/>
  <c r="X488" i="3"/>
  <c r="V488" i="3"/>
  <c r="X484" i="3"/>
  <c r="V484" i="3"/>
  <c r="X480" i="3"/>
  <c r="V480" i="3"/>
  <c r="X476" i="3"/>
  <c r="V476" i="3"/>
  <c r="X472" i="3"/>
  <c r="Z472" i="3" s="1"/>
  <c r="V472" i="3"/>
  <c r="X468" i="3"/>
  <c r="V468" i="3"/>
  <c r="X464" i="3"/>
  <c r="V464" i="3"/>
  <c r="X460" i="3"/>
  <c r="V460" i="3"/>
  <c r="X456" i="3"/>
  <c r="Z456" i="3" s="1"/>
  <c r="V456" i="3"/>
  <c r="X452" i="3"/>
  <c r="V452" i="3"/>
  <c r="X448" i="3"/>
  <c r="V448" i="3"/>
  <c r="X444" i="3"/>
  <c r="V444" i="3"/>
  <c r="X440" i="3"/>
  <c r="Z440" i="3" s="1"/>
  <c r="V440" i="3"/>
  <c r="X436" i="3"/>
  <c r="V436" i="3"/>
  <c r="X432" i="3"/>
  <c r="V432" i="3"/>
  <c r="X427" i="3"/>
  <c r="V427" i="3"/>
  <c r="X423" i="3"/>
  <c r="Z423" i="3" s="1"/>
  <c r="V423" i="3"/>
  <c r="X419" i="3"/>
  <c r="V419" i="3"/>
  <c r="X415" i="3"/>
  <c r="V415" i="3"/>
  <c r="X411" i="3"/>
  <c r="V411" i="3"/>
  <c r="X407" i="3"/>
  <c r="V407" i="3"/>
  <c r="X403" i="3"/>
  <c r="Z403" i="3" s="1"/>
  <c r="V403" i="3"/>
  <c r="X399" i="3"/>
  <c r="V399" i="3"/>
  <c r="X395" i="3"/>
  <c r="Z395" i="3" s="1"/>
  <c r="V395" i="3"/>
  <c r="X390" i="3"/>
  <c r="V390" i="3"/>
  <c r="X386" i="3"/>
  <c r="V386" i="3"/>
  <c r="X382" i="3"/>
  <c r="V382" i="3"/>
  <c r="X378" i="3"/>
  <c r="V378" i="3"/>
  <c r="X374" i="3"/>
  <c r="Z374" i="3" s="1"/>
  <c r="V374" i="3"/>
  <c r="X370" i="3"/>
  <c r="V370" i="3"/>
  <c r="X366" i="3"/>
  <c r="V366" i="3"/>
  <c r="X362" i="3"/>
  <c r="V362" i="3"/>
  <c r="X358" i="3"/>
  <c r="V358" i="3"/>
  <c r="X354" i="3"/>
  <c r="V354" i="3"/>
  <c r="X350" i="3"/>
  <c r="Z350" i="3" s="1"/>
  <c r="V350" i="3"/>
  <c r="X346" i="3"/>
  <c r="V346" i="3"/>
  <c r="X342" i="3"/>
  <c r="V342" i="3"/>
  <c r="X337" i="3"/>
  <c r="Z337" i="3" s="1"/>
  <c r="V337" i="3"/>
  <c r="X333" i="3"/>
  <c r="Z333" i="3" s="1"/>
  <c r="V333" i="3"/>
  <c r="X328" i="3"/>
  <c r="V328" i="3"/>
  <c r="X324" i="3"/>
  <c r="V324" i="3"/>
  <c r="X320" i="3"/>
  <c r="V320" i="3"/>
  <c r="X316" i="3"/>
  <c r="V316" i="3"/>
  <c r="X312" i="3"/>
  <c r="V312" i="3"/>
  <c r="X308" i="3"/>
  <c r="V308" i="3"/>
  <c r="X304" i="3"/>
  <c r="V304" i="3"/>
  <c r="X300" i="3"/>
  <c r="Z300" i="3" s="1"/>
  <c r="V300" i="3"/>
  <c r="X296" i="3"/>
  <c r="V296" i="3"/>
  <c r="X292" i="3"/>
  <c r="V292" i="3"/>
  <c r="X288" i="3"/>
  <c r="Z288" i="3" s="1"/>
  <c r="V288" i="3"/>
  <c r="X284" i="3"/>
  <c r="Z284" i="3" s="1"/>
  <c r="V284" i="3"/>
  <c r="X279" i="3"/>
  <c r="V279" i="3"/>
  <c r="X275" i="3"/>
  <c r="V275" i="3"/>
  <c r="X271" i="3"/>
  <c r="V271" i="3"/>
  <c r="X267" i="3"/>
  <c r="V267" i="3"/>
  <c r="X263" i="3"/>
  <c r="V263" i="3"/>
  <c r="X259" i="3"/>
  <c r="V259" i="3"/>
  <c r="X255" i="3"/>
  <c r="V255" i="3"/>
  <c r="X251" i="3"/>
  <c r="Z251" i="3" s="1"/>
  <c r="V251" i="3"/>
  <c r="X247" i="3"/>
  <c r="V247" i="3"/>
  <c r="X243" i="3"/>
  <c r="Z243" i="3" s="1"/>
  <c r="V243" i="3"/>
  <c r="X239" i="3"/>
  <c r="V239" i="3"/>
  <c r="X235" i="3"/>
  <c r="Z235" i="3" s="1"/>
  <c r="V235" i="3"/>
  <c r="X231" i="3"/>
  <c r="V231" i="3"/>
  <c r="X227" i="3"/>
  <c r="V227" i="3"/>
  <c r="X223" i="3"/>
  <c r="V223" i="3"/>
  <c r="X219" i="3"/>
  <c r="V219" i="3"/>
  <c r="X215" i="3"/>
  <c r="V215" i="3"/>
  <c r="X211" i="3"/>
  <c r="V211" i="3"/>
  <c r="X207" i="3"/>
  <c r="V207" i="3"/>
  <c r="X203" i="3"/>
  <c r="Z203" i="3" s="1"/>
  <c r="V203" i="3"/>
  <c r="X199" i="3"/>
  <c r="V199" i="3"/>
  <c r="X195" i="3"/>
  <c r="Z195" i="3" s="1"/>
  <c r="V195" i="3"/>
  <c r="X191" i="3"/>
  <c r="V191" i="3"/>
  <c r="X187" i="3"/>
  <c r="V187" i="3"/>
  <c r="X183" i="3"/>
  <c r="V183" i="3"/>
  <c r="X179" i="3"/>
  <c r="V179" i="3"/>
  <c r="X175" i="3"/>
  <c r="V175" i="3"/>
  <c r="X171" i="3"/>
  <c r="V171" i="3"/>
  <c r="X167" i="3"/>
  <c r="V167" i="3"/>
  <c r="X163" i="3"/>
  <c r="V163" i="3"/>
  <c r="X159" i="3"/>
  <c r="Z159" i="3" s="1"/>
  <c r="V159" i="3"/>
  <c r="X155" i="3"/>
  <c r="V155" i="3"/>
  <c r="X151" i="3"/>
  <c r="V151" i="3"/>
  <c r="X147" i="3"/>
  <c r="V147" i="3"/>
  <c r="X143" i="3"/>
  <c r="Z143" i="3" s="1"/>
  <c r="V143" i="3"/>
  <c r="X139" i="3"/>
  <c r="Z139" i="3" s="1"/>
  <c r="V139" i="3"/>
  <c r="X135" i="3"/>
  <c r="V135" i="3"/>
  <c r="X131" i="3"/>
  <c r="V131" i="3"/>
  <c r="X127" i="3"/>
  <c r="V127" i="3"/>
  <c r="X123" i="3"/>
  <c r="V123" i="3"/>
  <c r="X119" i="3"/>
  <c r="V119" i="3"/>
  <c r="X115" i="3"/>
  <c r="V115" i="3"/>
  <c r="X111" i="3"/>
  <c r="V111" i="3"/>
  <c r="X107" i="3"/>
  <c r="Z107" i="3" s="1"/>
  <c r="V107" i="3"/>
  <c r="X103" i="3"/>
  <c r="V103" i="3"/>
  <c r="X99" i="3"/>
  <c r="V99" i="3"/>
  <c r="X95" i="3"/>
  <c r="Z95" i="3" s="1"/>
  <c r="V95" i="3"/>
  <c r="X91" i="3"/>
  <c r="Z91" i="3" s="1"/>
  <c r="V91" i="3"/>
  <c r="X87" i="3"/>
  <c r="V87" i="3"/>
  <c r="X83" i="3"/>
  <c r="V83" i="3"/>
  <c r="X79" i="3"/>
  <c r="V79" i="3"/>
  <c r="X74" i="3"/>
  <c r="V74" i="3"/>
  <c r="X70" i="3"/>
  <c r="V70" i="3"/>
  <c r="X66" i="3"/>
  <c r="V66" i="3"/>
  <c r="X62" i="3"/>
  <c r="V62" i="3"/>
  <c r="X58" i="3"/>
  <c r="Z58" i="3" s="1"/>
  <c r="V58" i="3"/>
  <c r="X54" i="3"/>
  <c r="Z54" i="3" s="1"/>
  <c r="V54" i="3"/>
  <c r="X50" i="3"/>
  <c r="V50" i="3"/>
  <c r="X46" i="3"/>
  <c r="V46" i="3"/>
  <c r="X41" i="3"/>
  <c r="V41" i="3"/>
  <c r="X37" i="3"/>
  <c r="V37" i="3"/>
  <c r="X33" i="3"/>
  <c r="V33" i="3"/>
  <c r="X29" i="3"/>
  <c r="V29" i="3"/>
  <c r="X25" i="3"/>
  <c r="V25" i="3"/>
  <c r="X21" i="3"/>
  <c r="Z21" i="3" s="1"/>
  <c r="V21" i="3"/>
  <c r="X17" i="3"/>
  <c r="Z17" i="3" s="1"/>
  <c r="V17" i="3"/>
  <c r="X13" i="3"/>
  <c r="V13" i="3"/>
  <c r="X9" i="3"/>
  <c r="V9" i="3"/>
  <c r="X5" i="3"/>
  <c r="V5" i="3"/>
  <c r="Z349" i="3"/>
  <c r="AK349" i="3" s="1"/>
  <c r="Z504" i="3"/>
  <c r="Z523" i="3"/>
  <c r="Z443" i="3"/>
  <c r="Z418" i="3"/>
  <c r="Z234" i="3"/>
  <c r="Z166" i="3"/>
  <c r="Z98" i="3"/>
  <c r="Z86" i="3"/>
  <c r="Z526" i="3"/>
  <c r="Z438" i="3"/>
  <c r="Z610" i="3"/>
  <c r="Z405" i="3"/>
  <c r="Z201" i="3"/>
  <c r="Z101" i="3"/>
  <c r="Z424" i="3"/>
  <c r="Z342" i="3"/>
  <c r="Z411" i="3"/>
  <c r="Z111" i="3"/>
  <c r="Z389" i="3"/>
  <c r="Z624" i="3"/>
  <c r="Z604" i="3"/>
  <c r="Z392" i="3"/>
  <c r="Z364" i="3"/>
  <c r="Z360" i="3"/>
  <c r="Z31" i="3"/>
  <c r="U393" i="3"/>
  <c r="AB393" i="3" s="1"/>
  <c r="U341" i="3"/>
  <c r="AB341" i="3" s="1"/>
  <c r="U329" i="3"/>
  <c r="AB329" i="3" s="1"/>
  <c r="U428" i="3"/>
  <c r="AB428" i="3" s="1"/>
  <c r="U76" i="3"/>
  <c r="AB76" i="3" s="1"/>
  <c r="U44" i="3"/>
  <c r="AA364" i="3" l="1"/>
  <c r="AK364" i="3"/>
  <c r="AA86" i="3"/>
  <c r="AK86" i="3"/>
  <c r="AA31" i="3"/>
  <c r="AK31" i="3"/>
  <c r="AA424" i="3"/>
  <c r="AK424" i="3"/>
  <c r="AA98" i="3"/>
  <c r="AK98" i="3"/>
  <c r="AA443" i="3"/>
  <c r="AK443" i="3"/>
  <c r="AA568" i="3"/>
  <c r="AK568" i="3"/>
  <c r="AA101" i="3"/>
  <c r="AK101" i="3"/>
  <c r="AA166" i="3"/>
  <c r="AK166" i="3"/>
  <c r="AJ42" i="3"/>
  <c r="AJ170" i="3"/>
  <c r="AJ298" i="3"/>
  <c r="AJ372" i="3"/>
  <c r="AJ539" i="3"/>
  <c r="AJ571" i="3"/>
  <c r="AJ603" i="3"/>
  <c r="AJ376" i="3"/>
  <c r="AJ440" i="3"/>
  <c r="AJ321" i="3"/>
  <c r="AJ289" i="3"/>
  <c r="AJ257" i="3"/>
  <c r="AJ225" i="3"/>
  <c r="AJ193" i="3"/>
  <c r="AJ161" i="3"/>
  <c r="AJ129" i="3"/>
  <c r="AJ97" i="3"/>
  <c r="AJ65" i="3"/>
  <c r="AJ33" i="3"/>
  <c r="AJ630" i="3"/>
  <c r="AJ614" i="3"/>
  <c r="AJ598" i="3"/>
  <c r="AJ582" i="3"/>
  <c r="AJ566" i="3"/>
  <c r="AJ550" i="3"/>
  <c r="AJ534" i="3"/>
  <c r="AJ422" i="3"/>
  <c r="AJ406" i="3"/>
  <c r="AJ390" i="3"/>
  <c r="AJ374" i="3"/>
  <c r="AJ358" i="3"/>
  <c r="AJ342" i="3"/>
  <c r="AJ310" i="3"/>
  <c r="AJ278" i="3"/>
  <c r="AJ246" i="3"/>
  <c r="AJ214" i="3"/>
  <c r="AJ182" i="3"/>
  <c r="AJ150" i="3"/>
  <c r="AJ118" i="3"/>
  <c r="AJ86" i="3"/>
  <c r="AJ54" i="3"/>
  <c r="AJ22" i="3"/>
  <c r="AJ629" i="3"/>
  <c r="AJ613" i="3"/>
  <c r="AJ597" i="3"/>
  <c r="AJ581" i="3"/>
  <c r="AJ565" i="3"/>
  <c r="AJ549" i="3"/>
  <c r="AA405" i="3"/>
  <c r="AK405" i="3"/>
  <c r="AA392" i="3"/>
  <c r="AK392" i="3"/>
  <c r="AA72" i="3"/>
  <c r="AK72" i="3"/>
  <c r="AA111" i="3"/>
  <c r="AK111" i="3"/>
  <c r="AA438" i="3"/>
  <c r="AK438" i="3"/>
  <c r="AA523" i="3"/>
  <c r="AK523" i="3"/>
  <c r="AB44" i="3"/>
  <c r="A3" i="28" a="1"/>
  <c r="A3" i="28" s="1"/>
  <c r="AA360" i="3"/>
  <c r="AK360" i="3"/>
  <c r="AA604" i="3"/>
  <c r="AK604" i="3"/>
  <c r="AA411" i="3"/>
  <c r="AK411" i="3"/>
  <c r="AA201" i="3"/>
  <c r="AK201" i="3"/>
  <c r="AA526" i="3"/>
  <c r="AK526" i="3"/>
  <c r="AA234" i="3"/>
  <c r="AK234" i="3"/>
  <c r="AA21" i="3"/>
  <c r="AK21" i="3"/>
  <c r="AA54" i="3"/>
  <c r="AK54" i="3"/>
  <c r="AA95" i="3"/>
  <c r="AK95" i="3"/>
  <c r="AA143" i="3"/>
  <c r="AK143" i="3"/>
  <c r="AA159" i="3"/>
  <c r="AK159" i="3"/>
  <c r="AA288" i="3"/>
  <c r="AK288" i="3"/>
  <c r="AA337" i="3"/>
  <c r="AK337" i="3"/>
  <c r="AA395" i="3"/>
  <c r="AK395" i="3"/>
  <c r="AA403" i="3"/>
  <c r="AK403" i="3"/>
  <c r="AA492" i="3"/>
  <c r="AK492" i="3"/>
  <c r="AA500" i="3"/>
  <c r="AK500" i="3"/>
  <c r="AA38" i="3"/>
  <c r="AK38" i="3"/>
  <c r="AA71" i="3"/>
  <c r="AK71" i="3"/>
  <c r="AA343" i="3"/>
  <c r="AK343" i="3"/>
  <c r="AA15" i="3"/>
  <c r="AK15" i="3"/>
  <c r="AA48" i="3"/>
  <c r="AK48" i="3"/>
  <c r="AA290" i="3"/>
  <c r="AK290" i="3"/>
  <c r="AA306" i="3"/>
  <c r="AK306" i="3"/>
  <c r="AA322" i="3"/>
  <c r="AK322" i="3"/>
  <c r="AA442" i="3"/>
  <c r="AK442" i="3"/>
  <c r="AA462" i="3"/>
  <c r="AK462" i="3"/>
  <c r="AA478" i="3"/>
  <c r="AK478" i="3"/>
  <c r="AA494" i="3"/>
  <c r="AK494" i="3"/>
  <c r="AA514" i="3"/>
  <c r="AK514" i="3"/>
  <c r="AA534" i="3"/>
  <c r="AK534" i="3"/>
  <c r="AA550" i="3"/>
  <c r="AK550" i="3"/>
  <c r="AA570" i="3"/>
  <c r="AK570" i="3"/>
  <c r="AA586" i="3"/>
  <c r="AK586" i="3"/>
  <c r="AA606" i="3"/>
  <c r="AK606" i="3"/>
  <c r="AA622" i="3"/>
  <c r="AK622" i="3"/>
  <c r="AA8" i="3"/>
  <c r="AK8" i="3"/>
  <c r="AA78" i="3"/>
  <c r="AK78" i="3"/>
  <c r="AA102" i="3"/>
  <c r="AK102" i="3"/>
  <c r="AA122" i="3"/>
  <c r="AK122" i="3"/>
  <c r="AA142" i="3"/>
  <c r="AK142" i="3"/>
  <c r="AA186" i="3"/>
  <c r="AK186" i="3"/>
  <c r="AA206" i="3"/>
  <c r="AK206" i="3"/>
  <c r="AA226" i="3"/>
  <c r="AK226" i="3"/>
  <c r="AA246" i="3"/>
  <c r="AK246" i="3"/>
  <c r="AA270" i="3"/>
  <c r="AK270" i="3"/>
  <c r="AA361" i="3"/>
  <c r="AK361" i="3"/>
  <c r="AA406" i="3"/>
  <c r="AK406" i="3"/>
  <c r="AA567" i="3"/>
  <c r="AK567" i="3"/>
  <c r="AA595" i="3"/>
  <c r="AK595" i="3"/>
  <c r="AA627" i="3"/>
  <c r="AK627" i="3"/>
  <c r="AA18" i="3"/>
  <c r="AK18" i="3"/>
  <c r="AA61" i="3"/>
  <c r="AK61" i="3"/>
  <c r="AA82" i="3"/>
  <c r="AK82" i="3"/>
  <c r="AA106" i="3"/>
  <c r="AK106" i="3"/>
  <c r="AA126" i="3"/>
  <c r="AK126" i="3"/>
  <c r="AA146" i="3"/>
  <c r="AK146" i="3"/>
  <c r="AA170" i="3"/>
  <c r="AK170" i="3"/>
  <c r="AA190" i="3"/>
  <c r="AK190" i="3"/>
  <c r="AA214" i="3"/>
  <c r="AK214" i="3"/>
  <c r="AA262" i="3"/>
  <c r="AK262" i="3"/>
  <c r="AA278" i="3"/>
  <c r="AK278" i="3"/>
  <c r="AA327" i="3"/>
  <c r="AK327" i="3"/>
  <c r="AA394" i="3"/>
  <c r="AK394" i="3"/>
  <c r="AA555" i="3"/>
  <c r="AK555" i="3"/>
  <c r="AA141" i="3"/>
  <c r="AK141" i="3"/>
  <c r="AA157" i="3"/>
  <c r="AK157" i="3"/>
  <c r="AA173" i="3"/>
  <c r="AK173" i="3"/>
  <c r="AA189" i="3"/>
  <c r="AK189" i="3"/>
  <c r="AA205" i="3"/>
  <c r="AK205" i="3"/>
  <c r="AA294" i="3"/>
  <c r="AK294" i="3"/>
  <c r="AA310" i="3"/>
  <c r="AK310" i="3"/>
  <c r="AA326" i="3"/>
  <c r="AK326" i="3"/>
  <c r="AA454" i="3"/>
  <c r="AK454" i="3"/>
  <c r="AA466" i="3"/>
  <c r="AK466" i="3"/>
  <c r="AA482" i="3"/>
  <c r="AK482" i="3"/>
  <c r="AA498" i="3"/>
  <c r="AK498" i="3"/>
  <c r="AA510" i="3"/>
  <c r="AK510" i="3"/>
  <c r="AA538" i="3"/>
  <c r="AK538" i="3"/>
  <c r="AA554" i="3"/>
  <c r="AK554" i="3"/>
  <c r="AA566" i="3"/>
  <c r="AK566" i="3"/>
  <c r="AA582" i="3"/>
  <c r="AK582" i="3"/>
  <c r="AA598" i="3"/>
  <c r="AK598" i="3"/>
  <c r="AA626" i="3"/>
  <c r="AK626" i="3"/>
  <c r="AA118" i="3"/>
  <c r="AK118" i="3"/>
  <c r="AA178" i="3"/>
  <c r="AK178" i="3"/>
  <c r="AA210" i="3"/>
  <c r="AK210" i="3"/>
  <c r="AA242" i="3"/>
  <c r="AK242" i="3"/>
  <c r="AA274" i="3"/>
  <c r="AK274" i="3"/>
  <c r="AA414" i="3"/>
  <c r="AK414" i="3"/>
  <c r="AJ74" i="3"/>
  <c r="AJ202" i="3"/>
  <c r="AJ330" i="3"/>
  <c r="AJ464" i="3"/>
  <c r="AJ520" i="3"/>
  <c r="AJ552" i="3"/>
  <c r="AJ584" i="3"/>
  <c r="AJ616" i="3"/>
  <c r="AJ50" i="3"/>
  <c r="AJ178" i="3"/>
  <c r="AJ306" i="3"/>
  <c r="AJ388" i="3"/>
  <c r="AJ515" i="3"/>
  <c r="AJ392" i="3"/>
  <c r="AJ456" i="3"/>
  <c r="AJ491" i="3"/>
  <c r="AJ459" i="3"/>
  <c r="AJ427" i="3"/>
  <c r="AJ411" i="3"/>
  <c r="AJ379" i="3"/>
  <c r="AJ363" i="3"/>
  <c r="AJ347" i="3"/>
  <c r="AA624" i="3"/>
  <c r="AK624" i="3"/>
  <c r="AA418" i="3"/>
  <c r="AK418" i="3"/>
  <c r="AJ414" i="3"/>
  <c r="AJ398" i="3"/>
  <c r="AJ382" i="3"/>
  <c r="AJ366" i="3"/>
  <c r="AJ350" i="3"/>
  <c r="AA342" i="3"/>
  <c r="AK342" i="3"/>
  <c r="AA504" i="3"/>
  <c r="AK504" i="3"/>
  <c r="AA389" i="3"/>
  <c r="AK389" i="3"/>
  <c r="AA610" i="3"/>
  <c r="AK610" i="3"/>
  <c r="AA17" i="3"/>
  <c r="AK17" i="3"/>
  <c r="AA58" i="3"/>
  <c r="AK58" i="3"/>
  <c r="AA91" i="3"/>
  <c r="AK91" i="3"/>
  <c r="AA107" i="3"/>
  <c r="AK107" i="3"/>
  <c r="AA139" i="3"/>
  <c r="AK139" i="3"/>
  <c r="AA195" i="3"/>
  <c r="AK195" i="3"/>
  <c r="AA203" i="3"/>
  <c r="AK203" i="3"/>
  <c r="AA235" i="3"/>
  <c r="AK235" i="3"/>
  <c r="AA243" i="3"/>
  <c r="AK243" i="3"/>
  <c r="AA251" i="3"/>
  <c r="AK251" i="3"/>
  <c r="AA284" i="3"/>
  <c r="AK284" i="3"/>
  <c r="AA300" i="3"/>
  <c r="AK300" i="3"/>
  <c r="AA333" i="3"/>
  <c r="AK333" i="3"/>
  <c r="AA350" i="3"/>
  <c r="AK350" i="3"/>
  <c r="AA374" i="3"/>
  <c r="AK374" i="3"/>
  <c r="AA423" i="3"/>
  <c r="AK423" i="3"/>
  <c r="AA440" i="3"/>
  <c r="AK440" i="3"/>
  <c r="AA456" i="3"/>
  <c r="AK456" i="3"/>
  <c r="AA472" i="3"/>
  <c r="AK472" i="3"/>
  <c r="AA512" i="3"/>
  <c r="AK512" i="3"/>
  <c r="AA544" i="3"/>
  <c r="AK544" i="3"/>
  <c r="AA552" i="3"/>
  <c r="AK552" i="3"/>
  <c r="AA560" i="3"/>
  <c r="AK560" i="3"/>
  <c r="AA592" i="3"/>
  <c r="AK592" i="3"/>
  <c r="AA600" i="3"/>
  <c r="AK600" i="3"/>
  <c r="AA14" i="3"/>
  <c r="AK14" i="3"/>
  <c r="AA621" i="3"/>
  <c r="AK621" i="3"/>
  <c r="AA109" i="3"/>
  <c r="AK109" i="3"/>
  <c r="AA237" i="3"/>
  <c r="AK237" i="3"/>
  <c r="AA298" i="3"/>
  <c r="AK298" i="3"/>
  <c r="AA314" i="3"/>
  <c r="AK314" i="3"/>
  <c r="AA331" i="3"/>
  <c r="AK331" i="3"/>
  <c r="AA348" i="3"/>
  <c r="AK348" i="3"/>
  <c r="AA380" i="3"/>
  <c r="AK380" i="3"/>
  <c r="AA434" i="3"/>
  <c r="AK434" i="3"/>
  <c r="AA450" i="3"/>
  <c r="AK450" i="3"/>
  <c r="AA470" i="3"/>
  <c r="AK470" i="3"/>
  <c r="AA486" i="3"/>
  <c r="AK486" i="3"/>
  <c r="AA506" i="3"/>
  <c r="AK506" i="3"/>
  <c r="AA522" i="3"/>
  <c r="AK522" i="3"/>
  <c r="AA542" i="3"/>
  <c r="AK542" i="3"/>
  <c r="AA562" i="3"/>
  <c r="AK562" i="3"/>
  <c r="AA578" i="3"/>
  <c r="AK578" i="3"/>
  <c r="AA594" i="3"/>
  <c r="AK594" i="3"/>
  <c r="AA614" i="3"/>
  <c r="AK614" i="3"/>
  <c r="AA630" i="3"/>
  <c r="AK630" i="3"/>
  <c r="AA24" i="3"/>
  <c r="AK24" i="3"/>
  <c r="AA90" i="3"/>
  <c r="AK90" i="3"/>
  <c r="AA110" i="3"/>
  <c r="AK110" i="3"/>
  <c r="AA138" i="3"/>
  <c r="AK138" i="3"/>
  <c r="AA154" i="3"/>
  <c r="AK154" i="3"/>
  <c r="AA174" i="3"/>
  <c r="AK174" i="3"/>
  <c r="AA198" i="3"/>
  <c r="AK198" i="3"/>
  <c r="AA218" i="3"/>
  <c r="AK218" i="3"/>
  <c r="AA238" i="3"/>
  <c r="AK238" i="3"/>
  <c r="AA258" i="3"/>
  <c r="AK258" i="3"/>
  <c r="AA398" i="3"/>
  <c r="AK398" i="3"/>
  <c r="AA422" i="3"/>
  <c r="AK422" i="3"/>
  <c r="AA515" i="3"/>
  <c r="AK515" i="3"/>
  <c r="AA539" i="3"/>
  <c r="AK539" i="3"/>
  <c r="AA591" i="3"/>
  <c r="AK591" i="3"/>
  <c r="AA359" i="3"/>
  <c r="AK359" i="3"/>
  <c r="AA375" i="3"/>
  <c r="AK375" i="3"/>
  <c r="AA408" i="3"/>
  <c r="AK408" i="3"/>
  <c r="AA94" i="3"/>
  <c r="AK94" i="3"/>
  <c r="AA114" i="3"/>
  <c r="AK114" i="3"/>
  <c r="AA134" i="3"/>
  <c r="AK134" i="3"/>
  <c r="AA158" i="3"/>
  <c r="AK158" i="3"/>
  <c r="AA182" i="3"/>
  <c r="AK182" i="3"/>
  <c r="AA202" i="3"/>
  <c r="AK202" i="3"/>
  <c r="AA222" i="3"/>
  <c r="AK222" i="3"/>
  <c r="AA250" i="3"/>
  <c r="AK250" i="3"/>
  <c r="AA266" i="3"/>
  <c r="AK266" i="3"/>
  <c r="AA295" i="3"/>
  <c r="AK295" i="3"/>
  <c r="AA410" i="3"/>
  <c r="AK410" i="3"/>
  <c r="AA455" i="3"/>
  <c r="AK455" i="3"/>
  <c r="AA77" i="3"/>
  <c r="AK77" i="3"/>
  <c r="AA253" i="3"/>
  <c r="AK253" i="3"/>
  <c r="AA269" i="3"/>
  <c r="AK269" i="3"/>
  <c r="AA286" i="3"/>
  <c r="AK286" i="3"/>
  <c r="AA318" i="3"/>
  <c r="AK318" i="3"/>
  <c r="AA397" i="3"/>
  <c r="AK397" i="3"/>
  <c r="AA430" i="3"/>
  <c r="AK430" i="3"/>
  <c r="AA446" i="3"/>
  <c r="AK446" i="3"/>
  <c r="AA458" i="3"/>
  <c r="AK458" i="3"/>
  <c r="AA474" i="3"/>
  <c r="AK474" i="3"/>
  <c r="AA490" i="3"/>
  <c r="AK490" i="3"/>
  <c r="AA502" i="3"/>
  <c r="AK502" i="3"/>
  <c r="AA518" i="3"/>
  <c r="AK518" i="3"/>
  <c r="AA530" i="3"/>
  <c r="AK530" i="3"/>
  <c r="AA546" i="3"/>
  <c r="AK546" i="3"/>
  <c r="AA558" i="3"/>
  <c r="AK558" i="3"/>
  <c r="AA574" i="3"/>
  <c r="AK574" i="3"/>
  <c r="AA590" i="3"/>
  <c r="AK590" i="3"/>
  <c r="AA602" i="3"/>
  <c r="AK602" i="3"/>
  <c r="AA282" i="3"/>
  <c r="AK282" i="3"/>
  <c r="AA40" i="3"/>
  <c r="AK40" i="3"/>
  <c r="AA130" i="3"/>
  <c r="AK130" i="3"/>
  <c r="AA194" i="3"/>
  <c r="AK194" i="3"/>
  <c r="AA230" i="3"/>
  <c r="AK230" i="3"/>
  <c r="AA254" i="3"/>
  <c r="AK254" i="3"/>
  <c r="AA402" i="3"/>
  <c r="AK402" i="3"/>
  <c r="AA426" i="3"/>
  <c r="AK426" i="3"/>
  <c r="AA483" i="3"/>
  <c r="AK483" i="3"/>
  <c r="AA511" i="3"/>
  <c r="AK511" i="3"/>
  <c r="AJ368" i="3"/>
  <c r="AJ536" i="3"/>
  <c r="AJ568" i="3"/>
  <c r="AJ600" i="3"/>
  <c r="AJ632" i="3"/>
  <c r="AJ114" i="3"/>
  <c r="AJ242" i="3"/>
  <c r="AJ531" i="3"/>
  <c r="AJ595" i="3"/>
  <c r="AJ627" i="3"/>
  <c r="AJ488" i="3"/>
  <c r="AJ483" i="3"/>
  <c r="AJ451" i="3"/>
  <c r="AJ621" i="3"/>
  <c r="AJ605" i="3"/>
  <c r="AJ589" i="3"/>
  <c r="AJ573" i="3"/>
  <c r="AJ557" i="3"/>
  <c r="AJ541" i="3"/>
  <c r="AJ525" i="3"/>
  <c r="AJ509" i="3"/>
  <c r="AJ493" i="3"/>
  <c r="AJ477" i="3"/>
  <c r="AJ461" i="3"/>
  <c r="AJ445" i="3"/>
  <c r="AJ429" i="3"/>
  <c r="AJ328" i="3"/>
  <c r="AJ312" i="3"/>
  <c r="AJ200" i="3"/>
  <c r="AJ184" i="3"/>
  <c r="AJ72" i="3"/>
  <c r="AJ56" i="3"/>
  <c r="AJ543" i="3"/>
  <c r="AJ623" i="3"/>
  <c r="AJ504" i="3"/>
  <c r="AJ540" i="3"/>
  <c r="AJ572" i="3"/>
  <c r="AJ604" i="3"/>
  <c r="AJ511" i="3"/>
  <c r="AJ495" i="3"/>
  <c r="AJ479" i="3"/>
  <c r="AJ463" i="3"/>
  <c r="AJ447" i="3"/>
  <c r="AJ431" i="3"/>
  <c r="AJ415" i="3"/>
  <c r="AJ383" i="3"/>
  <c r="AJ351" i="3"/>
  <c r="AJ297" i="3"/>
  <c r="AJ265" i="3"/>
  <c r="AJ169" i="3"/>
  <c r="AJ137" i="3"/>
  <c r="AJ41" i="3"/>
  <c r="AJ9" i="3"/>
  <c r="AJ618" i="3"/>
  <c r="AJ602" i="3"/>
  <c r="AJ586" i="3"/>
  <c r="AJ570" i="3"/>
  <c r="AJ554" i="3"/>
  <c r="AJ538" i="3"/>
  <c r="AJ522" i="3"/>
  <c r="AJ426" i="3"/>
  <c r="AJ410" i="3"/>
  <c r="AJ394" i="3"/>
  <c r="AJ378" i="3"/>
  <c r="AJ362" i="3"/>
  <c r="AJ346" i="3"/>
  <c r="AJ254" i="3"/>
  <c r="AJ222" i="3"/>
  <c r="AJ126" i="3"/>
  <c r="AJ94" i="3"/>
  <c r="AJ285" i="3"/>
  <c r="AJ253" i="3"/>
  <c r="AJ157" i="3"/>
  <c r="AJ125" i="3"/>
  <c r="AF29" i="3"/>
  <c r="AJ29" i="3" s="1"/>
  <c r="AJ340" i="3"/>
  <c r="AJ324" i="3"/>
  <c r="AJ308" i="3"/>
  <c r="AJ292" i="3"/>
  <c r="AJ260" i="3"/>
  <c r="AJ212" i="3"/>
  <c r="AJ196" i="3"/>
  <c r="AJ180" i="3"/>
  <c r="AJ132" i="3"/>
  <c r="AJ100" i="3"/>
  <c r="AJ84" i="3"/>
  <c r="AJ68" i="3"/>
  <c r="AJ52" i="3"/>
  <c r="AJ36" i="3"/>
  <c r="AF4" i="3"/>
  <c r="AJ4" i="3" s="1"/>
  <c r="AF327" i="3"/>
  <c r="AJ327" i="3" s="1"/>
  <c r="AF311" i="3"/>
  <c r="AJ311" i="3" s="1"/>
  <c r="AF295" i="3"/>
  <c r="AJ295" i="3" s="1"/>
  <c r="AF279" i="3"/>
  <c r="AJ279" i="3" s="1"/>
  <c r="AF263" i="3"/>
  <c r="AJ263" i="3" s="1"/>
  <c r="AF247" i="3"/>
  <c r="AJ247" i="3" s="1"/>
  <c r="AF231" i="3"/>
  <c r="AJ231" i="3" s="1"/>
  <c r="AF215" i="3"/>
  <c r="AJ215" i="3" s="1"/>
  <c r="AF199" i="3"/>
  <c r="AJ199" i="3" s="1"/>
  <c r="AF183" i="3"/>
  <c r="AJ183" i="3" s="1"/>
  <c r="AF167" i="3"/>
  <c r="AJ167" i="3" s="1"/>
  <c r="AF151" i="3"/>
  <c r="AJ151" i="3" s="1"/>
  <c r="AF135" i="3"/>
  <c r="AJ135" i="3" s="1"/>
  <c r="AF119" i="3"/>
  <c r="AJ119" i="3" s="1"/>
  <c r="AF103" i="3"/>
  <c r="AJ103" i="3" s="1"/>
  <c r="AF87" i="3"/>
  <c r="AJ87" i="3" s="1"/>
  <c r="AF71" i="3"/>
  <c r="AJ71" i="3" s="1"/>
  <c r="AF55" i="3"/>
  <c r="AJ55" i="3" s="1"/>
  <c r="AF39" i="3"/>
  <c r="AJ39" i="3" s="1"/>
  <c r="AF23" i="3"/>
  <c r="AJ23" i="3" s="1"/>
  <c r="AF7" i="3"/>
  <c r="AJ7" i="3" s="1"/>
  <c r="AJ380" i="3"/>
  <c r="AF575" i="3"/>
  <c r="AJ575" i="3" s="1"/>
  <c r="AJ322" i="3"/>
  <c r="AF226" i="3"/>
  <c r="AJ226" i="3" s="1"/>
  <c r="AG3" i="3"/>
  <c r="AJ533" i="3"/>
  <c r="AJ517" i="3"/>
  <c r="AJ501" i="3"/>
  <c r="AJ485" i="3"/>
  <c r="AJ469" i="3"/>
  <c r="AJ453" i="3"/>
  <c r="AJ437" i="3"/>
  <c r="AJ405" i="3"/>
  <c r="AJ389" i="3"/>
  <c r="AJ373" i="3"/>
  <c r="AJ357" i="3"/>
  <c r="AJ309" i="3"/>
  <c r="AJ277" i="3"/>
  <c r="AJ245" i="3"/>
  <c r="AJ213" i="3"/>
  <c r="AJ181" i="3"/>
  <c r="AJ149" i="3"/>
  <c r="AJ117" i="3"/>
  <c r="AJ85" i="3"/>
  <c r="AJ53" i="3"/>
  <c r="AJ21" i="3"/>
  <c r="AJ320" i="3"/>
  <c r="AJ288" i="3"/>
  <c r="AJ256" i="3"/>
  <c r="AJ224" i="3"/>
  <c r="AJ192" i="3"/>
  <c r="AJ160" i="3"/>
  <c r="AJ128" i="3"/>
  <c r="AJ96" i="3"/>
  <c r="AJ64" i="3"/>
  <c r="AJ32" i="3"/>
  <c r="AJ607" i="3"/>
  <c r="AJ98" i="3"/>
  <c r="AJ106" i="3"/>
  <c r="AJ234" i="3"/>
  <c r="AJ352" i="3"/>
  <c r="AJ416" i="3"/>
  <c r="AJ404" i="3"/>
  <c r="AJ468" i="3"/>
  <c r="AJ523" i="3"/>
  <c r="AJ555" i="3"/>
  <c r="AJ619" i="3"/>
  <c r="AJ90" i="3"/>
  <c r="AJ218" i="3"/>
  <c r="AJ344" i="3"/>
  <c r="AJ408" i="3"/>
  <c r="AJ472" i="3"/>
  <c r="AJ503" i="3"/>
  <c r="AJ487" i="3"/>
  <c r="AJ471" i="3"/>
  <c r="AJ439" i="3"/>
  <c r="AJ423" i="3"/>
  <c r="AJ407" i="3"/>
  <c r="AJ375" i="3"/>
  <c r="AJ343" i="3"/>
  <c r="AJ281" i="3"/>
  <c r="AJ217" i="3"/>
  <c r="AJ185" i="3"/>
  <c r="AJ153" i="3"/>
  <c r="AJ121" i="3"/>
  <c r="AJ89" i="3"/>
  <c r="AJ57" i="3"/>
  <c r="AJ610" i="3"/>
  <c r="AJ578" i="3"/>
  <c r="AJ546" i="3"/>
  <c r="AJ514" i="3"/>
  <c r="AJ498" i="3"/>
  <c r="AJ482" i="3"/>
  <c r="AJ466" i="3"/>
  <c r="AJ450" i="3"/>
  <c r="AJ434" i="3"/>
  <c r="AJ418" i="3"/>
  <c r="AJ402" i="3"/>
  <c r="AJ386" i="3"/>
  <c r="AJ370" i="3"/>
  <c r="AJ354" i="3"/>
  <c r="AJ334" i="3"/>
  <c r="AJ302" i="3"/>
  <c r="AJ270" i="3"/>
  <c r="AJ238" i="3"/>
  <c r="AJ206" i="3"/>
  <c r="AJ174" i="3"/>
  <c r="AJ110" i="3"/>
  <c r="AJ46" i="3"/>
  <c r="AJ14" i="3"/>
  <c r="AJ417" i="3"/>
  <c r="AJ301" i="3"/>
  <c r="AF269" i="3"/>
  <c r="AJ269" i="3" s="1"/>
  <c r="AJ173" i="3"/>
  <c r="AF141" i="3"/>
  <c r="AJ141" i="3" s="1"/>
  <c r="AJ45" i="3"/>
  <c r="AF13" i="3"/>
  <c r="AJ13" i="3" s="1"/>
  <c r="AF332" i="3"/>
  <c r="AJ332" i="3" s="1"/>
  <c r="AJ316" i="3"/>
  <c r="AF268" i="3"/>
  <c r="AJ268" i="3" s="1"/>
  <c r="AJ252" i="3"/>
  <c r="AF204" i="3"/>
  <c r="AJ204" i="3" s="1"/>
  <c r="AJ188" i="3"/>
  <c r="AF140" i="3"/>
  <c r="AJ140" i="3" s="1"/>
  <c r="AJ124" i="3"/>
  <c r="AJ60" i="3"/>
  <c r="AF12" i="3"/>
  <c r="AJ12" i="3" s="1"/>
  <c r="AJ559" i="3"/>
  <c r="AJ591" i="3"/>
  <c r="AJ130" i="3"/>
  <c r="AJ631" i="3"/>
  <c r="AF348" i="3"/>
  <c r="AJ348" i="3" s="1"/>
  <c r="AH180" i="3"/>
  <c r="AI180" i="3" s="1"/>
  <c r="AH196" i="3"/>
  <c r="AI196" i="3" s="1"/>
  <c r="AH308" i="3"/>
  <c r="AI308" i="3" s="1"/>
  <c r="AH260" i="3"/>
  <c r="AI260" i="3" s="1"/>
  <c r="AC428" i="3"/>
  <c r="AF428" i="3" s="1"/>
  <c r="AH212" i="3"/>
  <c r="AI212" i="3" s="1"/>
  <c r="AF186" i="3"/>
  <c r="AJ186" i="3" s="1"/>
  <c r="AF314" i="3"/>
  <c r="AJ314" i="3" s="1"/>
  <c r="AF502" i="3"/>
  <c r="AJ502" i="3" s="1"/>
  <c r="AF454" i="3"/>
  <c r="AJ454" i="3" s="1"/>
  <c r="AF336" i="3"/>
  <c r="AJ336" i="3" s="1"/>
  <c r="AF208" i="3"/>
  <c r="AJ208" i="3" s="1"/>
  <c r="AF16" i="3"/>
  <c r="AJ16" i="3" s="1"/>
  <c r="AF307" i="3"/>
  <c r="AJ307" i="3" s="1"/>
  <c r="AF259" i="3"/>
  <c r="AJ259" i="3" s="1"/>
  <c r="AF211" i="3"/>
  <c r="AJ211" i="3" s="1"/>
  <c r="AF163" i="3"/>
  <c r="AJ163" i="3" s="1"/>
  <c r="AF115" i="3"/>
  <c r="AJ115" i="3" s="1"/>
  <c r="AF35" i="3"/>
  <c r="AJ35" i="3" s="1"/>
  <c r="AH151" i="3"/>
  <c r="AI151" i="3" s="1"/>
  <c r="AH292" i="3"/>
  <c r="AI292" i="3" s="1"/>
  <c r="AF58" i="3"/>
  <c r="AJ58" i="3" s="1"/>
  <c r="AF475" i="3"/>
  <c r="AJ475" i="3" s="1"/>
  <c r="AF518" i="3"/>
  <c r="AJ518" i="3" s="1"/>
  <c r="AF470" i="3"/>
  <c r="AJ470" i="3" s="1"/>
  <c r="AF272" i="3"/>
  <c r="AJ272" i="3" s="1"/>
  <c r="AF144" i="3"/>
  <c r="AJ144" i="3" s="1"/>
  <c r="AF323" i="3"/>
  <c r="AJ323" i="3" s="1"/>
  <c r="AF243" i="3"/>
  <c r="AJ243" i="3" s="1"/>
  <c r="AF195" i="3"/>
  <c r="AJ195" i="3" s="1"/>
  <c r="AF147" i="3"/>
  <c r="AJ147" i="3" s="1"/>
  <c r="AF99" i="3"/>
  <c r="AJ99" i="3" s="1"/>
  <c r="AF67" i="3"/>
  <c r="AJ67" i="3" s="1"/>
  <c r="AF3" i="3"/>
  <c r="AJ3" i="3" s="1"/>
  <c r="AF583" i="3"/>
  <c r="AJ583" i="3" s="1"/>
  <c r="AH324" i="3"/>
  <c r="AI324" i="3" s="1"/>
  <c r="AH340" i="3"/>
  <c r="AI340" i="3" s="1"/>
  <c r="AF400" i="3"/>
  <c r="AJ400" i="3" s="1"/>
  <c r="AF547" i="3"/>
  <c r="AJ547" i="3" s="1"/>
  <c r="AF486" i="3"/>
  <c r="AJ486" i="3" s="1"/>
  <c r="AF438" i="3"/>
  <c r="AJ438" i="3" s="1"/>
  <c r="AF80" i="3"/>
  <c r="AJ80" i="3" s="1"/>
  <c r="AF339" i="3"/>
  <c r="AJ339" i="3" s="1"/>
  <c r="AF291" i="3"/>
  <c r="AJ291" i="3" s="1"/>
  <c r="AF275" i="3"/>
  <c r="AJ275" i="3" s="1"/>
  <c r="AF227" i="3"/>
  <c r="AJ227" i="3" s="1"/>
  <c r="AF179" i="3"/>
  <c r="AJ179" i="3" s="1"/>
  <c r="AF131" i="3"/>
  <c r="AJ131" i="3" s="1"/>
  <c r="AF83" i="3"/>
  <c r="AJ83" i="3" s="1"/>
  <c r="AF51" i="3"/>
  <c r="AJ51" i="3" s="1"/>
  <c r="AF19" i="3"/>
  <c r="AJ19" i="3" s="1"/>
  <c r="AF444" i="3"/>
  <c r="AH444" i="3" s="1"/>
  <c r="AI444" i="3" s="1"/>
  <c r="AF476" i="3"/>
  <c r="AJ476" i="3" s="1"/>
  <c r="AH100" i="3"/>
  <c r="AI100" i="3" s="1"/>
  <c r="AH132" i="3"/>
  <c r="AI132" i="3" s="1"/>
  <c r="AH84" i="3"/>
  <c r="AI84" i="3" s="1"/>
  <c r="AF551" i="3"/>
  <c r="AJ551" i="3" s="1"/>
  <c r="AF82" i="3"/>
  <c r="AJ82" i="3" s="1"/>
  <c r="AF210" i="3"/>
  <c r="AJ210" i="3" s="1"/>
  <c r="AF338" i="3"/>
  <c r="AJ338" i="3" s="1"/>
  <c r="AF587" i="3"/>
  <c r="AJ587" i="3" s="1"/>
  <c r="AF524" i="3"/>
  <c r="AJ524" i="3" s="1"/>
  <c r="AF556" i="3"/>
  <c r="AJ556" i="3" s="1"/>
  <c r="AF588" i="3"/>
  <c r="AJ588" i="3" s="1"/>
  <c r="AF620" i="3"/>
  <c r="AJ620" i="3" s="1"/>
  <c r="AF455" i="3"/>
  <c r="AJ455" i="3" s="1"/>
  <c r="AF391" i="3"/>
  <c r="AJ391" i="3" s="1"/>
  <c r="AF359" i="3"/>
  <c r="AJ359" i="3" s="1"/>
  <c r="AF313" i="3"/>
  <c r="AJ313" i="3" s="1"/>
  <c r="AF249" i="3"/>
  <c r="AJ249" i="3" s="1"/>
  <c r="AF25" i="3"/>
  <c r="AJ25" i="3" s="1"/>
  <c r="AF626" i="3"/>
  <c r="AJ626" i="3" s="1"/>
  <c r="AF594" i="3"/>
  <c r="AJ594" i="3" s="1"/>
  <c r="AF562" i="3"/>
  <c r="AJ562" i="3" s="1"/>
  <c r="AF530" i="3"/>
  <c r="AJ530" i="3" s="1"/>
  <c r="AF142" i="3"/>
  <c r="AJ142" i="3" s="1"/>
  <c r="AF78" i="3"/>
  <c r="AJ78" i="3" s="1"/>
  <c r="AF625" i="3"/>
  <c r="AJ625" i="3" s="1"/>
  <c r="AF609" i="3"/>
  <c r="AJ609" i="3" s="1"/>
  <c r="AF593" i="3"/>
  <c r="AJ593" i="3" s="1"/>
  <c r="AF577" i="3"/>
  <c r="AJ577" i="3" s="1"/>
  <c r="AF561" i="3"/>
  <c r="AJ561" i="3" s="1"/>
  <c r="AF545" i="3"/>
  <c r="AJ545" i="3" s="1"/>
  <c r="AF529" i="3"/>
  <c r="AJ529" i="3" s="1"/>
  <c r="AF513" i="3"/>
  <c r="AJ513" i="3" s="1"/>
  <c r="AF497" i="3"/>
  <c r="AJ497" i="3" s="1"/>
  <c r="AF481" i="3"/>
  <c r="AJ481" i="3" s="1"/>
  <c r="AF465" i="3"/>
  <c r="AJ465" i="3" s="1"/>
  <c r="AF449" i="3"/>
  <c r="AJ449" i="3" s="1"/>
  <c r="AF433" i="3"/>
  <c r="AJ433" i="3" s="1"/>
  <c r="AF401" i="3"/>
  <c r="AJ401" i="3" s="1"/>
  <c r="AF385" i="3"/>
  <c r="AJ385" i="3" s="1"/>
  <c r="AF369" i="3"/>
  <c r="AJ369" i="3" s="1"/>
  <c r="AF353" i="3"/>
  <c r="AJ353" i="3" s="1"/>
  <c r="AF237" i="3"/>
  <c r="AJ237" i="3" s="1"/>
  <c r="AF109" i="3"/>
  <c r="AJ109" i="3" s="1"/>
  <c r="AF284" i="3"/>
  <c r="AJ284" i="3" s="1"/>
  <c r="AF220" i="3"/>
  <c r="AJ220" i="3" s="1"/>
  <c r="AF156" i="3"/>
  <c r="AJ156" i="3" s="1"/>
  <c r="AF92" i="3"/>
  <c r="AJ92" i="3" s="1"/>
  <c r="AF28" i="3"/>
  <c r="AJ28" i="3" s="1"/>
  <c r="AF508" i="3"/>
  <c r="AJ508" i="3" s="1"/>
  <c r="AF66" i="3"/>
  <c r="AJ66" i="3" s="1"/>
  <c r="AF460" i="3"/>
  <c r="AJ460" i="3" s="1"/>
  <c r="AF615" i="3"/>
  <c r="AJ615" i="3" s="1"/>
  <c r="AE634" i="3"/>
  <c r="AF492" i="3"/>
  <c r="AJ492" i="3" s="1"/>
  <c r="AF420" i="3"/>
  <c r="AJ420" i="3" s="1"/>
  <c r="AF563" i="3"/>
  <c r="AJ563" i="3" s="1"/>
  <c r="AF122" i="3"/>
  <c r="AJ122" i="3" s="1"/>
  <c r="AF250" i="3"/>
  <c r="AJ250" i="3" s="1"/>
  <c r="AF360" i="3"/>
  <c r="AJ360" i="3" s="1"/>
  <c r="AF499" i="3"/>
  <c r="AJ499" i="3" s="1"/>
  <c r="AF435" i="3"/>
  <c r="AJ435" i="3" s="1"/>
  <c r="AF403" i="3"/>
  <c r="AJ403" i="3" s="1"/>
  <c r="AF371" i="3"/>
  <c r="AJ371" i="3" s="1"/>
  <c r="AF305" i="3"/>
  <c r="AJ305" i="3" s="1"/>
  <c r="AF241" i="3"/>
  <c r="AJ241" i="3" s="1"/>
  <c r="AF177" i="3"/>
  <c r="AJ177" i="3" s="1"/>
  <c r="AF113" i="3"/>
  <c r="AJ113" i="3" s="1"/>
  <c r="AF49" i="3"/>
  <c r="AJ49" i="3" s="1"/>
  <c r="AF606" i="3"/>
  <c r="AJ606" i="3" s="1"/>
  <c r="AF574" i="3"/>
  <c r="AJ574" i="3" s="1"/>
  <c r="AF542" i="3"/>
  <c r="AJ542" i="3" s="1"/>
  <c r="AF326" i="3"/>
  <c r="AJ326" i="3" s="1"/>
  <c r="AF262" i="3"/>
  <c r="AJ262" i="3" s="1"/>
  <c r="AF198" i="3"/>
  <c r="AJ198" i="3" s="1"/>
  <c r="AF134" i="3"/>
  <c r="AJ134" i="3" s="1"/>
  <c r="AF70" i="3"/>
  <c r="AJ70" i="3" s="1"/>
  <c r="AF6" i="3"/>
  <c r="AJ6" i="3" s="1"/>
  <c r="AF293" i="3"/>
  <c r="AJ293" i="3" s="1"/>
  <c r="AF229" i="3"/>
  <c r="AJ229" i="3" s="1"/>
  <c r="AF165" i="3"/>
  <c r="AJ165" i="3" s="1"/>
  <c r="AF101" i="3"/>
  <c r="AJ101" i="3" s="1"/>
  <c r="AF37" i="3"/>
  <c r="AJ37" i="3" s="1"/>
  <c r="AF296" i="3"/>
  <c r="AJ296" i="3" s="1"/>
  <c r="AF280" i="3"/>
  <c r="AJ280" i="3" s="1"/>
  <c r="AF168" i="3"/>
  <c r="AJ168" i="3" s="1"/>
  <c r="AF152" i="3"/>
  <c r="AJ152" i="3" s="1"/>
  <c r="AF40" i="3"/>
  <c r="AJ40" i="3" s="1"/>
  <c r="AF24" i="3"/>
  <c r="AJ24" i="3" s="1"/>
  <c r="AF194" i="3"/>
  <c r="AJ194" i="3" s="1"/>
  <c r="AF519" i="3"/>
  <c r="AJ519" i="3" s="1"/>
  <c r="AF412" i="3"/>
  <c r="AJ412" i="3" s="1"/>
  <c r="AF535" i="3"/>
  <c r="AJ535" i="3" s="1"/>
  <c r="AF452" i="3"/>
  <c r="AJ452" i="3" s="1"/>
  <c r="AF516" i="3"/>
  <c r="AJ516" i="3" s="1"/>
  <c r="AF548" i="3"/>
  <c r="AJ548" i="3" s="1"/>
  <c r="AF580" i="3"/>
  <c r="AJ580" i="3" s="1"/>
  <c r="AF612" i="3"/>
  <c r="AJ612" i="3" s="1"/>
  <c r="AF507" i="3"/>
  <c r="AJ507" i="3" s="1"/>
  <c r="AF443" i="3"/>
  <c r="AJ443" i="3" s="1"/>
  <c r="AF484" i="3"/>
  <c r="AJ484" i="3" s="1"/>
  <c r="AF424" i="3"/>
  <c r="AJ424" i="3" s="1"/>
  <c r="AF532" i="3"/>
  <c r="AJ532" i="3" s="1"/>
  <c r="AF564" i="3"/>
  <c r="AJ564" i="3" s="1"/>
  <c r="AF596" i="3"/>
  <c r="AJ596" i="3" s="1"/>
  <c r="AF628" i="3"/>
  <c r="AJ628" i="3" s="1"/>
  <c r="AF467" i="3"/>
  <c r="AJ467" i="3" s="1"/>
  <c r="AF387" i="3"/>
  <c r="AJ387" i="3" s="1"/>
  <c r="AF355" i="3"/>
  <c r="AJ355" i="3" s="1"/>
  <c r="AF337" i="3"/>
  <c r="AJ337" i="3" s="1"/>
  <c r="AF273" i="3"/>
  <c r="AJ273" i="3" s="1"/>
  <c r="AF209" i="3"/>
  <c r="AJ209" i="3" s="1"/>
  <c r="AF145" i="3"/>
  <c r="AJ145" i="3" s="1"/>
  <c r="AF81" i="3"/>
  <c r="AJ81" i="3" s="1"/>
  <c r="AF17" i="3"/>
  <c r="AJ17" i="3" s="1"/>
  <c r="AF622" i="3"/>
  <c r="AJ622" i="3" s="1"/>
  <c r="AF590" i="3"/>
  <c r="AJ590" i="3" s="1"/>
  <c r="AF558" i="3"/>
  <c r="AJ558" i="3" s="1"/>
  <c r="AF526" i="3"/>
  <c r="AJ526" i="3" s="1"/>
  <c r="AF510" i="3"/>
  <c r="AJ510" i="3" s="1"/>
  <c r="AF494" i="3"/>
  <c r="AJ494" i="3" s="1"/>
  <c r="AF478" i="3"/>
  <c r="AJ478" i="3" s="1"/>
  <c r="AF462" i="3"/>
  <c r="AJ462" i="3" s="1"/>
  <c r="AF446" i="3"/>
  <c r="AJ446" i="3" s="1"/>
  <c r="AF430" i="3"/>
  <c r="AJ430" i="3" s="1"/>
  <c r="AF294" i="3"/>
  <c r="AJ294" i="3" s="1"/>
  <c r="AF230" i="3"/>
  <c r="AJ230" i="3" s="1"/>
  <c r="AF166" i="3"/>
  <c r="AJ166" i="3" s="1"/>
  <c r="AF102" i="3"/>
  <c r="AJ102" i="3" s="1"/>
  <c r="AF38" i="3"/>
  <c r="AJ38" i="3" s="1"/>
  <c r="AF325" i="3"/>
  <c r="AJ325" i="3" s="1"/>
  <c r="AF261" i="3"/>
  <c r="AJ261" i="3" s="1"/>
  <c r="AF197" i="3"/>
  <c r="AJ197" i="3" s="1"/>
  <c r="AF133" i="3"/>
  <c r="AJ133" i="3" s="1"/>
  <c r="AF69" i="3"/>
  <c r="AJ69" i="3" s="1"/>
  <c r="AF5" i="3"/>
  <c r="AJ5" i="3" s="1"/>
  <c r="AF232" i="3"/>
  <c r="AJ232" i="3" s="1"/>
  <c r="AF216" i="3"/>
  <c r="AJ216" i="3" s="1"/>
  <c r="AF104" i="3"/>
  <c r="AJ104" i="3" s="1"/>
  <c r="AF88" i="3"/>
  <c r="AJ88" i="3" s="1"/>
  <c r="AF331" i="3"/>
  <c r="AJ331" i="3" s="1"/>
  <c r="AF315" i="3"/>
  <c r="AJ315" i="3" s="1"/>
  <c r="AF299" i="3"/>
  <c r="AJ299" i="3" s="1"/>
  <c r="AF283" i="3"/>
  <c r="AJ283" i="3" s="1"/>
  <c r="AF267" i="3"/>
  <c r="AJ267" i="3" s="1"/>
  <c r="AF251" i="3"/>
  <c r="AJ251" i="3" s="1"/>
  <c r="AF235" i="3"/>
  <c r="AJ235" i="3" s="1"/>
  <c r="AF219" i="3"/>
  <c r="AJ219" i="3" s="1"/>
  <c r="AF203" i="3"/>
  <c r="AJ203" i="3" s="1"/>
  <c r="AF187" i="3"/>
  <c r="AJ187" i="3" s="1"/>
  <c r="AF171" i="3"/>
  <c r="AJ171" i="3" s="1"/>
  <c r="AF155" i="3"/>
  <c r="AJ155" i="3" s="1"/>
  <c r="AF139" i="3"/>
  <c r="AJ139" i="3" s="1"/>
  <c r="AF123" i="3"/>
  <c r="AJ123" i="3" s="1"/>
  <c r="AF107" i="3"/>
  <c r="AJ107" i="3" s="1"/>
  <c r="AF91" i="3"/>
  <c r="AJ91" i="3" s="1"/>
  <c r="AF75" i="3"/>
  <c r="AJ75" i="3" s="1"/>
  <c r="AF59" i="3"/>
  <c r="AJ59" i="3" s="1"/>
  <c r="AF43" i="3"/>
  <c r="AJ43" i="3" s="1"/>
  <c r="AF27" i="3"/>
  <c r="AJ27" i="3" s="1"/>
  <c r="AF11" i="3"/>
  <c r="AJ11" i="3" s="1"/>
  <c r="AF258" i="3"/>
  <c r="AJ258" i="3" s="1"/>
  <c r="AF364" i="3"/>
  <c r="AJ364" i="3" s="1"/>
  <c r="AF384" i="3"/>
  <c r="AJ384" i="3" s="1"/>
  <c r="AF18" i="3"/>
  <c r="AJ18" i="3" s="1"/>
  <c r="AF146" i="3"/>
  <c r="AJ146" i="3" s="1"/>
  <c r="AF274" i="3"/>
  <c r="AJ274" i="3" s="1"/>
  <c r="AF436" i="3"/>
  <c r="AJ436" i="3" s="1"/>
  <c r="AF500" i="3"/>
  <c r="AJ500" i="3" s="1"/>
  <c r="AF26" i="3"/>
  <c r="AJ26" i="3" s="1"/>
  <c r="AF154" i="3"/>
  <c r="AJ154" i="3" s="1"/>
  <c r="AF282" i="3"/>
  <c r="AJ282" i="3" s="1"/>
  <c r="AF201" i="3"/>
  <c r="AJ201" i="3" s="1"/>
  <c r="AF73" i="3"/>
  <c r="AJ73" i="3" s="1"/>
  <c r="AF286" i="3"/>
  <c r="AJ286" i="3" s="1"/>
  <c r="AF158" i="3"/>
  <c r="AJ158" i="3" s="1"/>
  <c r="AF30" i="3"/>
  <c r="AJ30" i="3" s="1"/>
  <c r="AF2" i="3"/>
  <c r="AJ2" i="3" s="1"/>
  <c r="AF617" i="3"/>
  <c r="AJ617" i="3" s="1"/>
  <c r="AF601" i="3"/>
  <c r="AJ601" i="3" s="1"/>
  <c r="AF585" i="3"/>
  <c r="AJ585" i="3" s="1"/>
  <c r="AF569" i="3"/>
  <c r="AJ569" i="3" s="1"/>
  <c r="AF553" i="3"/>
  <c r="AJ553" i="3" s="1"/>
  <c r="AF537" i="3"/>
  <c r="AJ537" i="3" s="1"/>
  <c r="AF521" i="3"/>
  <c r="AJ521" i="3" s="1"/>
  <c r="AF505" i="3"/>
  <c r="AJ505" i="3" s="1"/>
  <c r="AF489" i="3"/>
  <c r="AJ489" i="3" s="1"/>
  <c r="AF473" i="3"/>
  <c r="AJ473" i="3" s="1"/>
  <c r="AF457" i="3"/>
  <c r="AJ457" i="3" s="1"/>
  <c r="AF441" i="3"/>
  <c r="AJ441" i="3" s="1"/>
  <c r="AF409" i="3"/>
  <c r="AJ409" i="3" s="1"/>
  <c r="AF377" i="3"/>
  <c r="AJ377" i="3" s="1"/>
  <c r="AF361" i="3"/>
  <c r="AJ361" i="3" s="1"/>
  <c r="AF345" i="3"/>
  <c r="AJ345" i="3" s="1"/>
  <c r="AF317" i="3"/>
  <c r="AJ317" i="3" s="1"/>
  <c r="AF189" i="3"/>
  <c r="AJ189" i="3" s="1"/>
  <c r="AF61" i="3"/>
  <c r="AJ61" i="3" s="1"/>
  <c r="AF244" i="3"/>
  <c r="AJ244" i="3" s="1"/>
  <c r="AF228" i="3"/>
  <c r="AJ228" i="3" s="1"/>
  <c r="AF164" i="3"/>
  <c r="AJ164" i="3" s="1"/>
  <c r="AF116" i="3"/>
  <c r="AJ116" i="3" s="1"/>
  <c r="AF421" i="3"/>
  <c r="AJ421" i="3" s="1"/>
  <c r="AF304" i="3"/>
  <c r="AJ304" i="3" s="1"/>
  <c r="AF240" i="3"/>
  <c r="AJ240" i="3" s="1"/>
  <c r="AF176" i="3"/>
  <c r="AJ176" i="3" s="1"/>
  <c r="AF112" i="3"/>
  <c r="AJ112" i="3" s="1"/>
  <c r="AF48" i="3"/>
  <c r="AJ48" i="3" s="1"/>
  <c r="AF396" i="3"/>
  <c r="AJ396" i="3" s="1"/>
  <c r="AF599" i="3"/>
  <c r="AJ599" i="3" s="1"/>
  <c r="AF567" i="3"/>
  <c r="AH567" i="3" s="1"/>
  <c r="AI567" i="3" s="1"/>
  <c r="AL567" i="3" s="1"/>
  <c r="AF34" i="3"/>
  <c r="AJ34" i="3" s="1"/>
  <c r="AF480" i="3"/>
  <c r="AJ480" i="3" s="1"/>
  <c r="AF528" i="3"/>
  <c r="AJ528" i="3" s="1"/>
  <c r="AF560" i="3"/>
  <c r="AJ560" i="3" s="1"/>
  <c r="AF592" i="3"/>
  <c r="AJ592" i="3" s="1"/>
  <c r="AF624" i="3"/>
  <c r="AJ624" i="3" s="1"/>
  <c r="AF333" i="3"/>
  <c r="AJ333" i="3" s="1"/>
  <c r="AF205" i="3"/>
  <c r="AJ205" i="3" s="1"/>
  <c r="AF77" i="3"/>
  <c r="AJ77" i="3" s="1"/>
  <c r="AF300" i="3"/>
  <c r="AJ300" i="3" s="1"/>
  <c r="AF236" i="3"/>
  <c r="AJ236" i="3" s="1"/>
  <c r="AF172" i="3"/>
  <c r="AJ172" i="3" s="1"/>
  <c r="AF108" i="3"/>
  <c r="AJ108" i="3" s="1"/>
  <c r="AF335" i="3"/>
  <c r="AJ335" i="3" s="1"/>
  <c r="AF319" i="3"/>
  <c r="AJ319" i="3" s="1"/>
  <c r="AF303" i="3"/>
  <c r="AJ303" i="3" s="1"/>
  <c r="AF287" i="3"/>
  <c r="AJ287" i="3" s="1"/>
  <c r="AF271" i="3"/>
  <c r="AJ271" i="3" s="1"/>
  <c r="AF255" i="3"/>
  <c r="AJ255" i="3" s="1"/>
  <c r="AF239" i="3"/>
  <c r="AJ239" i="3" s="1"/>
  <c r="AF223" i="3"/>
  <c r="AJ223" i="3" s="1"/>
  <c r="AF207" i="3"/>
  <c r="AJ207" i="3" s="1"/>
  <c r="AF191" i="3"/>
  <c r="AJ191" i="3" s="1"/>
  <c r="AF175" i="3"/>
  <c r="AJ175" i="3" s="1"/>
  <c r="AF159" i="3"/>
  <c r="AJ159" i="3" s="1"/>
  <c r="AF143" i="3"/>
  <c r="AJ143" i="3" s="1"/>
  <c r="AF127" i="3"/>
  <c r="AJ127" i="3" s="1"/>
  <c r="AF111" i="3"/>
  <c r="AJ111" i="3" s="1"/>
  <c r="AF95" i="3"/>
  <c r="AJ95" i="3" s="1"/>
  <c r="AF79" i="3"/>
  <c r="AJ79" i="3" s="1"/>
  <c r="AF63" i="3"/>
  <c r="AJ63" i="3" s="1"/>
  <c r="AF47" i="3"/>
  <c r="AJ47" i="3" s="1"/>
  <c r="AF31" i="3"/>
  <c r="AJ31" i="3" s="1"/>
  <c r="AF15" i="3"/>
  <c r="AJ15" i="3" s="1"/>
  <c r="AF162" i="3"/>
  <c r="AJ162" i="3" s="1"/>
  <c r="AF290" i="3"/>
  <c r="AJ290" i="3" s="1"/>
  <c r="AF10" i="3"/>
  <c r="AJ10" i="3" s="1"/>
  <c r="AF138" i="3"/>
  <c r="AJ138" i="3" s="1"/>
  <c r="AF266" i="3"/>
  <c r="AJ266" i="3" s="1"/>
  <c r="AF432" i="3"/>
  <c r="AJ432" i="3" s="1"/>
  <c r="AF496" i="3"/>
  <c r="AJ496" i="3" s="1"/>
  <c r="AF356" i="3"/>
  <c r="AJ356" i="3" s="1"/>
  <c r="AF419" i="3"/>
  <c r="AJ419" i="3" s="1"/>
  <c r="AF413" i="3"/>
  <c r="AJ413" i="3" s="1"/>
  <c r="AF397" i="3"/>
  <c r="AJ397" i="3" s="1"/>
  <c r="AF381" i="3"/>
  <c r="AJ381" i="3" s="1"/>
  <c r="AF365" i="3"/>
  <c r="AJ365" i="3" s="1"/>
  <c r="AF349" i="3"/>
  <c r="AJ349" i="3" s="1"/>
  <c r="AF264" i="3"/>
  <c r="AJ264" i="3" s="1"/>
  <c r="AF248" i="3"/>
  <c r="AJ248" i="3" s="1"/>
  <c r="AF136" i="3"/>
  <c r="AJ136" i="3" s="1"/>
  <c r="AF120" i="3"/>
  <c r="AJ120" i="3" s="1"/>
  <c r="AF8" i="3"/>
  <c r="AJ8" i="3" s="1"/>
  <c r="AF448" i="3"/>
  <c r="AJ448" i="3" s="1"/>
  <c r="AF512" i="3"/>
  <c r="AJ512" i="3" s="1"/>
  <c r="AF544" i="3"/>
  <c r="AJ544" i="3" s="1"/>
  <c r="AF576" i="3"/>
  <c r="AJ576" i="3" s="1"/>
  <c r="AF608" i="3"/>
  <c r="AJ608" i="3" s="1"/>
  <c r="AF399" i="3"/>
  <c r="AJ399" i="3" s="1"/>
  <c r="AF367" i="3"/>
  <c r="AJ367" i="3" s="1"/>
  <c r="AF233" i="3"/>
  <c r="AJ233" i="3" s="1"/>
  <c r="AF105" i="3"/>
  <c r="AJ105" i="3" s="1"/>
  <c r="AF506" i="3"/>
  <c r="AJ506" i="3" s="1"/>
  <c r="AF490" i="3"/>
  <c r="AJ490" i="3" s="1"/>
  <c r="AF474" i="3"/>
  <c r="AJ474" i="3" s="1"/>
  <c r="AF458" i="3"/>
  <c r="AJ458" i="3" s="1"/>
  <c r="AF442" i="3"/>
  <c r="AJ442" i="3" s="1"/>
  <c r="AF318" i="3"/>
  <c r="AJ318" i="3" s="1"/>
  <c r="AF190" i="3"/>
  <c r="AJ190" i="3" s="1"/>
  <c r="AF62" i="3"/>
  <c r="AJ62" i="3" s="1"/>
  <c r="AF425" i="3"/>
  <c r="AJ425" i="3" s="1"/>
  <c r="AF221" i="3"/>
  <c r="AJ221" i="3" s="1"/>
  <c r="AF93" i="3"/>
  <c r="AJ93" i="3" s="1"/>
  <c r="AF276" i="3"/>
  <c r="AJ276" i="3" s="1"/>
  <c r="AF148" i="3"/>
  <c r="AJ148" i="3" s="1"/>
  <c r="AF20" i="3"/>
  <c r="AJ20" i="3" s="1"/>
  <c r="AH579" i="3"/>
  <c r="AI579" i="3" s="1"/>
  <c r="AJ579" i="3"/>
  <c r="AH527" i="3"/>
  <c r="AI527" i="3" s="1"/>
  <c r="AJ527" i="3"/>
  <c r="AH611" i="3"/>
  <c r="AI611" i="3" s="1"/>
  <c r="AJ611" i="3"/>
  <c r="AH395" i="3"/>
  <c r="AI395" i="3" s="1"/>
  <c r="AL395" i="3" s="1"/>
  <c r="AJ395" i="3"/>
  <c r="AH476" i="3"/>
  <c r="AI476" i="3" s="1"/>
  <c r="AH591" i="3"/>
  <c r="AI591" i="3" s="1"/>
  <c r="AL591" i="3" s="1"/>
  <c r="AH631" i="3"/>
  <c r="AI631" i="3" s="1"/>
  <c r="AH540" i="3"/>
  <c r="AI540" i="3" s="1"/>
  <c r="AH572" i="3"/>
  <c r="AI572" i="3" s="1"/>
  <c r="AH604" i="3"/>
  <c r="AI604" i="3" s="1"/>
  <c r="AL604" i="3" s="1"/>
  <c r="AH511" i="3"/>
  <c r="AI511" i="3" s="1"/>
  <c r="AL511" i="3" s="1"/>
  <c r="AH495" i="3"/>
  <c r="AI495" i="3" s="1"/>
  <c r="AH479" i="3"/>
  <c r="AI479" i="3" s="1"/>
  <c r="AH463" i="3"/>
  <c r="AI463" i="3" s="1"/>
  <c r="AH447" i="3"/>
  <c r="AI447" i="3" s="1"/>
  <c r="AH431" i="3"/>
  <c r="AI431" i="3" s="1"/>
  <c r="AH415" i="3"/>
  <c r="AI415" i="3" s="1"/>
  <c r="AH7" i="3"/>
  <c r="AI7" i="3" s="1"/>
  <c r="AH39" i="3"/>
  <c r="AI39" i="3" s="1"/>
  <c r="AH4" i="3"/>
  <c r="AI4" i="3" s="1"/>
  <c r="AH285" i="3"/>
  <c r="AI285" i="3" s="1"/>
  <c r="AC393" i="3"/>
  <c r="AF393" i="3" s="1"/>
  <c r="AH316" i="3"/>
  <c r="AI316" i="3" s="1"/>
  <c r="AH89" i="3"/>
  <c r="AI89" i="3" s="1"/>
  <c r="AH121" i="3"/>
  <c r="AI121" i="3" s="1"/>
  <c r="AH185" i="3"/>
  <c r="AI185" i="3" s="1"/>
  <c r="AH217" i="3"/>
  <c r="AI217" i="3" s="1"/>
  <c r="AH281" i="3"/>
  <c r="AI281" i="3" s="1"/>
  <c r="AH555" i="3"/>
  <c r="AI555" i="3" s="1"/>
  <c r="AL555" i="3" s="1"/>
  <c r="AH523" i="3"/>
  <c r="AI523" i="3" s="1"/>
  <c r="AL523" i="3" s="1"/>
  <c r="AC44" i="3"/>
  <c r="AF44" i="3" s="1"/>
  <c r="AH301" i="3"/>
  <c r="AI301" i="3" s="1"/>
  <c r="AH621" i="3"/>
  <c r="AI621" i="3" s="1"/>
  <c r="AL621" i="3" s="1"/>
  <c r="AH343" i="3"/>
  <c r="AI343" i="3" s="1"/>
  <c r="AL343" i="3" s="1"/>
  <c r="AH439" i="3"/>
  <c r="AI439" i="3" s="1"/>
  <c r="AC76" i="3"/>
  <c r="AF76" i="3" s="1"/>
  <c r="AH97" i="3"/>
  <c r="AI97" i="3" s="1"/>
  <c r="AH129" i="3"/>
  <c r="AI129" i="3" s="1"/>
  <c r="AH161" i="3"/>
  <c r="AI161" i="3" s="1"/>
  <c r="AH193" i="3"/>
  <c r="AI193" i="3" s="1"/>
  <c r="AH225" i="3"/>
  <c r="AI225" i="3" s="1"/>
  <c r="AH257" i="3"/>
  <c r="AI257" i="3" s="1"/>
  <c r="AH289" i="3"/>
  <c r="AI289" i="3" s="1"/>
  <c r="AH321" i="3"/>
  <c r="AI321" i="3" s="1"/>
  <c r="AH68" i="3"/>
  <c r="AI68" i="3" s="1"/>
  <c r="AH52" i="3"/>
  <c r="AI52" i="3" s="1"/>
  <c r="AC341" i="3"/>
  <c r="AF341" i="3" s="1"/>
  <c r="AH459" i="3"/>
  <c r="AI459" i="3" s="1"/>
  <c r="AH491" i="3"/>
  <c r="AI491" i="3" s="1"/>
  <c r="AH149" i="3"/>
  <c r="AI149" i="3" s="1"/>
  <c r="AH213" i="3"/>
  <c r="AI213" i="3" s="1"/>
  <c r="AH277" i="3"/>
  <c r="AI277" i="3" s="1"/>
  <c r="AH309" i="3"/>
  <c r="AI309" i="3" s="1"/>
  <c r="AH357" i="3"/>
  <c r="AI357" i="3" s="1"/>
  <c r="AH373" i="3"/>
  <c r="AI373" i="3" s="1"/>
  <c r="AH405" i="3"/>
  <c r="AI405" i="3" s="1"/>
  <c r="AL405" i="3" s="1"/>
  <c r="AH437" i="3"/>
  <c r="AI437" i="3" s="1"/>
  <c r="AH453" i="3"/>
  <c r="AI453" i="3" s="1"/>
  <c r="AH469" i="3"/>
  <c r="AI469" i="3" s="1"/>
  <c r="AH485" i="3"/>
  <c r="AI485" i="3" s="1"/>
  <c r="AH501" i="3"/>
  <c r="AI501" i="3" s="1"/>
  <c r="AH517" i="3"/>
  <c r="AI517" i="3" s="1"/>
  <c r="AH533" i="3"/>
  <c r="AI533" i="3" s="1"/>
  <c r="AH549" i="3"/>
  <c r="AI549" i="3" s="1"/>
  <c r="AH565" i="3"/>
  <c r="AI565" i="3" s="1"/>
  <c r="AH581" i="3"/>
  <c r="AI581" i="3" s="1"/>
  <c r="AH597" i="3"/>
  <c r="AI597" i="3" s="1"/>
  <c r="AH629" i="3"/>
  <c r="AI629" i="3" s="1"/>
  <c r="AH334" i="3"/>
  <c r="AI334" i="3" s="1"/>
  <c r="AH483" i="3"/>
  <c r="AI483" i="3" s="1"/>
  <c r="AL483" i="3" s="1"/>
  <c r="AH137" i="3"/>
  <c r="AI137" i="3" s="1"/>
  <c r="AH169" i="3"/>
  <c r="AI169" i="3" s="1"/>
  <c r="AH503" i="3"/>
  <c r="AI503" i="3" s="1"/>
  <c r="AH531" i="3"/>
  <c r="AI531" i="3" s="1"/>
  <c r="AH472" i="3"/>
  <c r="AI472" i="3" s="1"/>
  <c r="AL472" i="3" s="1"/>
  <c r="AH33" i="3"/>
  <c r="AI33" i="3" s="1"/>
  <c r="AH417" i="3"/>
  <c r="AI417" i="3" s="1"/>
  <c r="AH21" i="3"/>
  <c r="AI21" i="3" s="1"/>
  <c r="AL21" i="3" s="1"/>
  <c r="AH85" i="3"/>
  <c r="AI85" i="3" s="1"/>
  <c r="AH389" i="3"/>
  <c r="AI389" i="3" s="1"/>
  <c r="AL389" i="3" s="1"/>
  <c r="AC329" i="3"/>
  <c r="AF329" i="3" s="1"/>
  <c r="AH363" i="3"/>
  <c r="AI363" i="3" s="1"/>
  <c r="AH379" i="3"/>
  <c r="AI379" i="3" s="1"/>
  <c r="AH153" i="3"/>
  <c r="AI153" i="3" s="1"/>
  <c r="AH243" i="3"/>
  <c r="AI243" i="3" s="1"/>
  <c r="AL243" i="3" s="1"/>
  <c r="AH471" i="3"/>
  <c r="AI471" i="3" s="1"/>
  <c r="AH487" i="3"/>
  <c r="AI487" i="3" s="1"/>
  <c r="AH456" i="3"/>
  <c r="AI456" i="3" s="1"/>
  <c r="AL456" i="3" s="1"/>
  <c r="AH36" i="3"/>
  <c r="AI36" i="3" s="1"/>
  <c r="AH372" i="3"/>
  <c r="AI372" i="3" s="1"/>
  <c r="AH388" i="3"/>
  <c r="AI388" i="3" s="1"/>
  <c r="AH539" i="3"/>
  <c r="AI539" i="3" s="1"/>
  <c r="AL539" i="3" s="1"/>
  <c r="AH563" i="3"/>
  <c r="AI563" i="3" s="1"/>
  <c r="AH595" i="3"/>
  <c r="AI595" i="3" s="1"/>
  <c r="AL595" i="3" s="1"/>
  <c r="AH184" i="3"/>
  <c r="AI184" i="3" s="1"/>
  <c r="AH200" i="3"/>
  <c r="AI200" i="3" s="1"/>
  <c r="AH312" i="3"/>
  <c r="AI312" i="3" s="1"/>
  <c r="AH328" i="3"/>
  <c r="AI328" i="3" s="1"/>
  <c r="AH451" i="3"/>
  <c r="AI451" i="3" s="1"/>
  <c r="AH571" i="3"/>
  <c r="AI571" i="3" s="1"/>
  <c r="AH603" i="3"/>
  <c r="AI603" i="3" s="1"/>
  <c r="AH117" i="3"/>
  <c r="AI117" i="3" s="1"/>
  <c r="AH245" i="3"/>
  <c r="AI245" i="3" s="1"/>
  <c r="AH613" i="3"/>
  <c r="AI613" i="3" s="1"/>
  <c r="AH56" i="3"/>
  <c r="AI56" i="3" s="1"/>
  <c r="AH72" i="3"/>
  <c r="AI72" i="3" s="1"/>
  <c r="AL72" i="3" s="1"/>
  <c r="AH232" i="3"/>
  <c r="AI232" i="3" s="1"/>
  <c r="AH311" i="3"/>
  <c r="AI311" i="3" s="1"/>
  <c r="AH327" i="3"/>
  <c r="AI327" i="3" s="1"/>
  <c r="AL327" i="3" s="1"/>
  <c r="AH295" i="3"/>
  <c r="AI295" i="3" s="1"/>
  <c r="AL295" i="3" s="1"/>
  <c r="AH57" i="3"/>
  <c r="AI57" i="3" s="1"/>
  <c r="AH265" i="3"/>
  <c r="AI265" i="3" s="1"/>
  <c r="AH297" i="3"/>
  <c r="AI297" i="3" s="1"/>
  <c r="AH457" i="3"/>
  <c r="AI457" i="3" s="1"/>
  <c r="AH50" i="3"/>
  <c r="AI50" i="3" s="1"/>
  <c r="AH330" i="3"/>
  <c r="AI330" i="3" s="1"/>
  <c r="AH375" i="3"/>
  <c r="AI375" i="3" s="1"/>
  <c r="AL375" i="3" s="1"/>
  <c r="AH181" i="3"/>
  <c r="AI181" i="3" s="1"/>
  <c r="AH13" i="3"/>
  <c r="AI13" i="3" s="1"/>
  <c r="AH29" i="3"/>
  <c r="AI29" i="3" s="1"/>
  <c r="AH429" i="3"/>
  <c r="AI429" i="3" s="1"/>
  <c r="AH445" i="3"/>
  <c r="AI445" i="3" s="1"/>
  <c r="AH461" i="3"/>
  <c r="AI461" i="3" s="1"/>
  <c r="AH477" i="3"/>
  <c r="AI477" i="3" s="1"/>
  <c r="AH493" i="3"/>
  <c r="AI493" i="3" s="1"/>
  <c r="AH509" i="3"/>
  <c r="AI509" i="3" s="1"/>
  <c r="AH525" i="3"/>
  <c r="AI525" i="3" s="1"/>
  <c r="AH541" i="3"/>
  <c r="AI541" i="3" s="1"/>
  <c r="AH557" i="3"/>
  <c r="AI557" i="3" s="1"/>
  <c r="AH573" i="3"/>
  <c r="AI573" i="3" s="1"/>
  <c r="AH589" i="3"/>
  <c r="AI589" i="3" s="1"/>
  <c r="AH605" i="3"/>
  <c r="AI605" i="3" s="1"/>
  <c r="AH124" i="3"/>
  <c r="AI124" i="3" s="1"/>
  <c r="AH140" i="3"/>
  <c r="AI140" i="3" s="1"/>
  <c r="AH188" i="3"/>
  <c r="AI188" i="3" s="1"/>
  <c r="AH204" i="3"/>
  <c r="AI204" i="3" s="1"/>
  <c r="AH252" i="3"/>
  <c r="AI252" i="3" s="1"/>
  <c r="AH268" i="3"/>
  <c r="AI268" i="3" s="1"/>
  <c r="AH559" i="3"/>
  <c r="AI559" i="3" s="1"/>
  <c r="AH416" i="3"/>
  <c r="AI416" i="3" s="1"/>
  <c r="AH464" i="3"/>
  <c r="AI464" i="3" s="1"/>
  <c r="AH96" i="3"/>
  <c r="AI96" i="3" s="1"/>
  <c r="AH128" i="3"/>
  <c r="AI128" i="3" s="1"/>
  <c r="AH160" i="3"/>
  <c r="AI160" i="3" s="1"/>
  <c r="AH192" i="3"/>
  <c r="AI192" i="3" s="1"/>
  <c r="AH224" i="3"/>
  <c r="AI224" i="3" s="1"/>
  <c r="AH256" i="3"/>
  <c r="AI256" i="3" s="1"/>
  <c r="AH288" i="3"/>
  <c r="AI288" i="3" s="1"/>
  <c r="AL288" i="3" s="1"/>
  <c r="AH320" i="3"/>
  <c r="AI320" i="3" s="1"/>
  <c r="AH352" i="3"/>
  <c r="AI352" i="3" s="1"/>
  <c r="AH368" i="3"/>
  <c r="AI368" i="3" s="1"/>
  <c r="AH515" i="3"/>
  <c r="AI515" i="3" s="1"/>
  <c r="AL515" i="3" s="1"/>
  <c r="AH575" i="3"/>
  <c r="AI575" i="3" s="1"/>
  <c r="AH607" i="3"/>
  <c r="AI607" i="3" s="1"/>
  <c r="AH404" i="3"/>
  <c r="AI404" i="3" s="1"/>
  <c r="AH468" i="3"/>
  <c r="AI468" i="3" s="1"/>
  <c r="AH500" i="3"/>
  <c r="AI500" i="3" s="1"/>
  <c r="AL500" i="3" s="1"/>
  <c r="AH408" i="3"/>
  <c r="AI408" i="3" s="1"/>
  <c r="AL408" i="3" s="1"/>
  <c r="AH440" i="3"/>
  <c r="AI440" i="3" s="1"/>
  <c r="AL440" i="3" s="1"/>
  <c r="AH488" i="3"/>
  <c r="AI488" i="3" s="1"/>
  <c r="AH504" i="3"/>
  <c r="AI504" i="3" s="1"/>
  <c r="AL504" i="3" s="1"/>
  <c r="AH520" i="3"/>
  <c r="AI520" i="3" s="1"/>
  <c r="AH536" i="3"/>
  <c r="AI536" i="3" s="1"/>
  <c r="AH552" i="3"/>
  <c r="AI552" i="3" s="1"/>
  <c r="AL552" i="3" s="1"/>
  <c r="AH568" i="3"/>
  <c r="AI568" i="3" s="1"/>
  <c r="AL568" i="3" s="1"/>
  <c r="AH584" i="3"/>
  <c r="AI584" i="3" s="1"/>
  <c r="AH600" i="3"/>
  <c r="AI600" i="3" s="1"/>
  <c r="AL600" i="3" s="1"/>
  <c r="AH616" i="3"/>
  <c r="AI616" i="3" s="1"/>
  <c r="AH199" i="3"/>
  <c r="AI199" i="3" s="1"/>
  <c r="AH383" i="3"/>
  <c r="AI383" i="3" s="1"/>
  <c r="AH125" i="3"/>
  <c r="AI125" i="3" s="1"/>
  <c r="AH141" i="3"/>
  <c r="AI141" i="3" s="1"/>
  <c r="AL141" i="3" s="1"/>
  <c r="AH157" i="3"/>
  <c r="AI157" i="3" s="1"/>
  <c r="AL157" i="3" s="1"/>
  <c r="AH173" i="3"/>
  <c r="AI173" i="3" s="1"/>
  <c r="AL173" i="3" s="1"/>
  <c r="AH253" i="3"/>
  <c r="AI253" i="3" s="1"/>
  <c r="AL253" i="3" s="1"/>
  <c r="AH269" i="3"/>
  <c r="AI269" i="3" s="1"/>
  <c r="AL269" i="3" s="1"/>
  <c r="AH619" i="3"/>
  <c r="AI619" i="3" s="1"/>
  <c r="AH632" i="3"/>
  <c r="AI632" i="3" s="1"/>
  <c r="AH615" i="3"/>
  <c r="AI615" i="3" s="1"/>
  <c r="AH390" i="3"/>
  <c r="AI390" i="3" s="1"/>
  <c r="AH623" i="3"/>
  <c r="AI623" i="3" s="1"/>
  <c r="AH627" i="3"/>
  <c r="AI627" i="3" s="1"/>
  <c r="AL627" i="3" s="1"/>
  <c r="AH374" i="3"/>
  <c r="AI374" i="3" s="1"/>
  <c r="AL374" i="3" s="1"/>
  <c r="AH360" i="3"/>
  <c r="AI360" i="3" s="1"/>
  <c r="AL360" i="3" s="1"/>
  <c r="AH376" i="3"/>
  <c r="AI376" i="3" s="1"/>
  <c r="AH23" i="3"/>
  <c r="AI23" i="3" s="1"/>
  <c r="AH394" i="3"/>
  <c r="AI394" i="3" s="1"/>
  <c r="AL394" i="3" s="1"/>
  <c r="AH410" i="3"/>
  <c r="AI410" i="3" s="1"/>
  <c r="AL410" i="3" s="1"/>
  <c r="AH426" i="3"/>
  <c r="AI426" i="3" s="1"/>
  <c r="AL426" i="3" s="1"/>
  <c r="AH12" i="3"/>
  <c r="AI12" i="3" s="1"/>
  <c r="AH60" i="3"/>
  <c r="AI60" i="3" s="1"/>
  <c r="AH332" i="3"/>
  <c r="AI332" i="3" s="1"/>
  <c r="AH380" i="3"/>
  <c r="AI380" i="3" s="1"/>
  <c r="AL380" i="3" s="1"/>
  <c r="AH358" i="3"/>
  <c r="AI358" i="3" s="1"/>
  <c r="AH344" i="3"/>
  <c r="AI344" i="3" s="1"/>
  <c r="AH392" i="3"/>
  <c r="AI392" i="3" s="1"/>
  <c r="AL392" i="3" s="1"/>
  <c r="AH9" i="3"/>
  <c r="AI9" i="3" s="1"/>
  <c r="AH41" i="3"/>
  <c r="AI41" i="3" s="1"/>
  <c r="AH16" i="3"/>
  <c r="AI16" i="3" s="1"/>
  <c r="AH32" i="3"/>
  <c r="AI32" i="3" s="1"/>
  <c r="AH64" i="3"/>
  <c r="AI64" i="3" s="1"/>
  <c r="AH51" i="3"/>
  <c r="AI51" i="3" s="1"/>
  <c r="AH67" i="3"/>
  <c r="AI67" i="3" s="1"/>
  <c r="AH351" i="3"/>
  <c r="AI351" i="3" s="1"/>
  <c r="AH53" i="3"/>
  <c r="AI53" i="3" s="1"/>
  <c r="AH87" i="3"/>
  <c r="AI87" i="3" s="1"/>
  <c r="AH215" i="3"/>
  <c r="AI215" i="3" s="1"/>
  <c r="AH370" i="3"/>
  <c r="AI370" i="3" s="1"/>
  <c r="AH275" i="3"/>
  <c r="AI275" i="3" s="1"/>
  <c r="AH407" i="3"/>
  <c r="AI407" i="3" s="1"/>
  <c r="AH423" i="3"/>
  <c r="AI423" i="3" s="1"/>
  <c r="AL423" i="3" s="1"/>
  <c r="AH45" i="3"/>
  <c r="AI45" i="3" s="1"/>
  <c r="AH61" i="3"/>
  <c r="AI61" i="3" s="1"/>
  <c r="AL61" i="3" s="1"/>
  <c r="AH22" i="3"/>
  <c r="AI22" i="3" s="1"/>
  <c r="AH54" i="3"/>
  <c r="AI54" i="3" s="1"/>
  <c r="AL54" i="3" s="1"/>
  <c r="AH342" i="3"/>
  <c r="AI342" i="3" s="1"/>
  <c r="AL342" i="3" s="1"/>
  <c r="AH398" i="3"/>
  <c r="AI398" i="3" s="1"/>
  <c r="AL398" i="3" s="1"/>
  <c r="AH414" i="3"/>
  <c r="AI414" i="3" s="1"/>
  <c r="AL414" i="3" s="1"/>
  <c r="AH55" i="3"/>
  <c r="AI55" i="3" s="1"/>
  <c r="AH71" i="3"/>
  <c r="AI71" i="3" s="1"/>
  <c r="AL71" i="3" s="1"/>
  <c r="AH103" i="3"/>
  <c r="AI103" i="3" s="1"/>
  <c r="AH119" i="3"/>
  <c r="AI119" i="3" s="1"/>
  <c r="AH135" i="3"/>
  <c r="AI135" i="3" s="1"/>
  <c r="AH183" i="3"/>
  <c r="AI183" i="3" s="1"/>
  <c r="AH231" i="3"/>
  <c r="AI231" i="3" s="1"/>
  <c r="AH247" i="3"/>
  <c r="AI247" i="3" s="1"/>
  <c r="AH263" i="3"/>
  <c r="AI263" i="3" s="1"/>
  <c r="AH279" i="3"/>
  <c r="AI279" i="3" s="1"/>
  <c r="AH411" i="3"/>
  <c r="AI411" i="3" s="1"/>
  <c r="AL411" i="3" s="1"/>
  <c r="AH427" i="3"/>
  <c r="AI427" i="3" s="1"/>
  <c r="AH65" i="3"/>
  <c r="AI65" i="3" s="1"/>
  <c r="AH74" i="3"/>
  <c r="AI74" i="3" s="1"/>
  <c r="AH354" i="3"/>
  <c r="AI354" i="3" s="1"/>
  <c r="AH386" i="3"/>
  <c r="AI386" i="3" s="1"/>
  <c r="AH167" i="3"/>
  <c r="AI167" i="3" s="1"/>
  <c r="AH83" i="3"/>
  <c r="AI83" i="3" s="1"/>
  <c r="AH163" i="3"/>
  <c r="AI163" i="3" s="1"/>
  <c r="AH251" i="3"/>
  <c r="AI251" i="3" s="1"/>
  <c r="AL251" i="3" s="1"/>
  <c r="AH347" i="3"/>
  <c r="AI347" i="3" s="1"/>
  <c r="AG634" i="3"/>
  <c r="AH438" i="3"/>
  <c r="AI438" i="3" s="1"/>
  <c r="AL438" i="3" s="1"/>
  <c r="AH534" i="3"/>
  <c r="AI534" i="3" s="1"/>
  <c r="AL534" i="3" s="1"/>
  <c r="AH566" i="3"/>
  <c r="AI566" i="3" s="1"/>
  <c r="AL566" i="3" s="1"/>
  <c r="AH598" i="3"/>
  <c r="AI598" i="3" s="1"/>
  <c r="AL598" i="3" s="1"/>
  <c r="AH42" i="3"/>
  <c r="AI42" i="3" s="1"/>
  <c r="AH346" i="3"/>
  <c r="AI346" i="3" s="1"/>
  <c r="AH362" i="3"/>
  <c r="AI362" i="3" s="1"/>
  <c r="AH378" i="3"/>
  <c r="AI378" i="3" s="1"/>
  <c r="AH522" i="3"/>
  <c r="AI522" i="3" s="1"/>
  <c r="AL522" i="3" s="1"/>
  <c r="AH538" i="3"/>
  <c r="AI538" i="3" s="1"/>
  <c r="AL538" i="3" s="1"/>
  <c r="AH554" i="3"/>
  <c r="AI554" i="3" s="1"/>
  <c r="AL554" i="3" s="1"/>
  <c r="AH570" i="3"/>
  <c r="AI570" i="3" s="1"/>
  <c r="AL570" i="3" s="1"/>
  <c r="AH586" i="3"/>
  <c r="AI586" i="3" s="1"/>
  <c r="AL586" i="3" s="1"/>
  <c r="AH602" i="3"/>
  <c r="AI602" i="3" s="1"/>
  <c r="AL602" i="3" s="1"/>
  <c r="AH618" i="3"/>
  <c r="AI618" i="3" s="1"/>
  <c r="AH310" i="3"/>
  <c r="AI310" i="3" s="1"/>
  <c r="AL310" i="3" s="1"/>
  <c r="AH470" i="3"/>
  <c r="AI470" i="3" s="1"/>
  <c r="AL470" i="3" s="1"/>
  <c r="AH502" i="3"/>
  <c r="AI502" i="3" s="1"/>
  <c r="AL502" i="3" s="1"/>
  <c r="AH550" i="3"/>
  <c r="AI550" i="3" s="1"/>
  <c r="AL550" i="3" s="1"/>
  <c r="AH582" i="3"/>
  <c r="AI582" i="3" s="1"/>
  <c r="AL582" i="3" s="1"/>
  <c r="AH614" i="3"/>
  <c r="AI614" i="3" s="1"/>
  <c r="AL614" i="3" s="1"/>
  <c r="AH630" i="3"/>
  <c r="AI630" i="3" s="1"/>
  <c r="AL630" i="3" s="1"/>
  <c r="AB634" i="3"/>
  <c r="AH14" i="3"/>
  <c r="AI14" i="3" s="1"/>
  <c r="AL14" i="3" s="1"/>
  <c r="AH30" i="3"/>
  <c r="AI30" i="3" s="1"/>
  <c r="AH46" i="3"/>
  <c r="AI46" i="3" s="1"/>
  <c r="AH350" i="3"/>
  <c r="AI350" i="3" s="1"/>
  <c r="AL350" i="3" s="1"/>
  <c r="AH366" i="3"/>
  <c r="AI366" i="3" s="1"/>
  <c r="AH382" i="3"/>
  <c r="AI382" i="3" s="1"/>
  <c r="Z271" i="3"/>
  <c r="Z571" i="3"/>
  <c r="Z508" i="3"/>
  <c r="Z32" i="3"/>
  <c r="Z625" i="3"/>
  <c r="Z221" i="3"/>
  <c r="Z623" i="3"/>
  <c r="Z564" i="3"/>
  <c r="Z35" i="3"/>
  <c r="Z376" i="3"/>
  <c r="Z495" i="3"/>
  <c r="Z378" i="3"/>
  <c r="Z383" i="3"/>
  <c r="Z241" i="3"/>
  <c r="Z315" i="3"/>
  <c r="AH78" i="3"/>
  <c r="AI78" i="3" s="1"/>
  <c r="AL78" i="3" s="1"/>
  <c r="AH94" i="3"/>
  <c r="AI94" i="3" s="1"/>
  <c r="AL94" i="3" s="1"/>
  <c r="AH110" i="3"/>
  <c r="AI110" i="3" s="1"/>
  <c r="AL110" i="3" s="1"/>
  <c r="AH126" i="3"/>
  <c r="AI126" i="3" s="1"/>
  <c r="AL126" i="3" s="1"/>
  <c r="AH174" i="3"/>
  <c r="AI174" i="3" s="1"/>
  <c r="AL174" i="3" s="1"/>
  <c r="AH206" i="3"/>
  <c r="AI206" i="3" s="1"/>
  <c r="AL206" i="3" s="1"/>
  <c r="AH222" i="3"/>
  <c r="AI222" i="3" s="1"/>
  <c r="AL222" i="3" s="1"/>
  <c r="AH238" i="3"/>
  <c r="AI238" i="3" s="1"/>
  <c r="AL238" i="3" s="1"/>
  <c r="AH254" i="3"/>
  <c r="AI254" i="3" s="1"/>
  <c r="AL254" i="3" s="1"/>
  <c r="AH270" i="3"/>
  <c r="AI270" i="3" s="1"/>
  <c r="AL270" i="3" s="1"/>
  <c r="Z299" i="3"/>
  <c r="Z125" i="3"/>
  <c r="Z583" i="3"/>
  <c r="Z320" i="3"/>
  <c r="Z353" i="3"/>
  <c r="Z332" i="3"/>
  <c r="Z57" i="3"/>
  <c r="Z344" i="3"/>
  <c r="Z386" i="3"/>
  <c r="Z580" i="3"/>
  <c r="Z503" i="3"/>
  <c r="Z365" i="3"/>
  <c r="Z63" i="3"/>
  <c r="Z391" i="3"/>
  <c r="Z34" i="3"/>
  <c r="Z85" i="3"/>
  <c r="Z185" i="3"/>
  <c r="Z261" i="3"/>
  <c r="Z55" i="3"/>
  <c r="Z439" i="3"/>
  <c r="Z479" i="3"/>
  <c r="Z247" i="3"/>
  <c r="AH466" i="3"/>
  <c r="AI466" i="3" s="1"/>
  <c r="AL466" i="3" s="1"/>
  <c r="Z69" i="3"/>
  <c r="Z41" i="3"/>
  <c r="Z66" i="3"/>
  <c r="Z83" i="3"/>
  <c r="Z99" i="3"/>
  <c r="Z115" i="3"/>
  <c r="Z131" i="3"/>
  <c r="Z155" i="3"/>
  <c r="Z179" i="3"/>
  <c r="Z259" i="3"/>
  <c r="Z324" i="3"/>
  <c r="Z358" i="3"/>
  <c r="Z366" i="3"/>
  <c r="Z390" i="3"/>
  <c r="Z407" i="3"/>
  <c r="Z520" i="3"/>
  <c r="Z47" i="3"/>
  <c r="Z347" i="3"/>
  <c r="Z379" i="3"/>
  <c r="Z3" i="3"/>
  <c r="Z89" i="3"/>
  <c r="Z161" i="3"/>
  <c r="Z249" i="3"/>
  <c r="Z265" i="3"/>
  <c r="Z417" i="3"/>
  <c r="Z26" i="3"/>
  <c r="Z59" i="3"/>
  <c r="Z336" i="3"/>
  <c r="Z385" i="3"/>
  <c r="Z543" i="3"/>
  <c r="Z599" i="3"/>
  <c r="Z11" i="3"/>
  <c r="Z105" i="3"/>
  <c r="Z165" i="3"/>
  <c r="Z233" i="3"/>
  <c r="Z335" i="3"/>
  <c r="Z369" i="3"/>
  <c r="Z432" i="3"/>
  <c r="Z93" i="3"/>
  <c r="Z217" i="3"/>
  <c r="Z311" i="3"/>
  <c r="Z535" i="3"/>
  <c r="Z475" i="3"/>
  <c r="Z559" i="3"/>
  <c r="Z187" i="3"/>
  <c r="Z9" i="3"/>
  <c r="Z25" i="3"/>
  <c r="Z74" i="3"/>
  <c r="Z123" i="3"/>
  <c r="Z147" i="3"/>
  <c r="Z171" i="3"/>
  <c r="Z219" i="3"/>
  <c r="Z227" i="3"/>
  <c r="Z267" i="3"/>
  <c r="Z316" i="3"/>
  <c r="Z399" i="3"/>
  <c r="Z415" i="3"/>
  <c r="Z488" i="3"/>
  <c r="Z528" i="3"/>
  <c r="Z576" i="3"/>
  <c r="Z616" i="3"/>
  <c r="Z632" i="3"/>
  <c r="Z30" i="3"/>
  <c r="Z75" i="3"/>
  <c r="Z363" i="3"/>
  <c r="Z412" i="3"/>
  <c r="Z629" i="3"/>
  <c r="Z39" i="3"/>
  <c r="Z209" i="3"/>
  <c r="Z225" i="3"/>
  <c r="Z45" i="3"/>
  <c r="Z323" i="3"/>
  <c r="Z471" i="3"/>
  <c r="Z619" i="3"/>
  <c r="Z42" i="3"/>
  <c r="Z338" i="3"/>
  <c r="Z519" i="3"/>
  <c r="Z631" i="3"/>
  <c r="Z149" i="3"/>
  <c r="Z197" i="3"/>
  <c r="Z352" i="3"/>
  <c r="Z368" i="3"/>
  <c r="Z73" i="3"/>
  <c r="Z287" i="3"/>
  <c r="Z345" i="3"/>
  <c r="Z384" i="3"/>
  <c r="Z496" i="3"/>
  <c r="Z129" i="3"/>
  <c r="Z603" i="3"/>
  <c r="Z50" i="3"/>
  <c r="Z49" i="3"/>
  <c r="Z480" i="3"/>
  <c r="Z5" i="3"/>
  <c r="Z13" i="3"/>
  <c r="Z29" i="3"/>
  <c r="Z37" i="3"/>
  <c r="Z46" i="3"/>
  <c r="Z62" i="3"/>
  <c r="Z70" i="3"/>
  <c r="Z79" i="3"/>
  <c r="Z87" i="3"/>
  <c r="Z103" i="3"/>
  <c r="Z119" i="3"/>
  <c r="Z127" i="3"/>
  <c r="Z135" i="3"/>
  <c r="Z151" i="3"/>
  <c r="Z167" i="3"/>
  <c r="Z175" i="3"/>
  <c r="Z183" i="3"/>
  <c r="Z191" i="3"/>
  <c r="Z199" i="3"/>
  <c r="Z207" i="3"/>
  <c r="Z215" i="3"/>
  <c r="Z223" i="3"/>
  <c r="Z231" i="3"/>
  <c r="Z239" i="3"/>
  <c r="Z255" i="3"/>
  <c r="Z263" i="3"/>
  <c r="Z279" i="3"/>
  <c r="Z296" i="3"/>
  <c r="Z304" i="3"/>
  <c r="Z312" i="3"/>
  <c r="Z328" i="3"/>
  <c r="Z346" i="3"/>
  <c r="Z354" i="3"/>
  <c r="Z362" i="3"/>
  <c r="Z370" i="3"/>
  <c r="Z419" i="3"/>
  <c r="Z427" i="3"/>
  <c r="Z436" i="3"/>
  <c r="Z444" i="3"/>
  <c r="Z452" i="3"/>
  <c r="Z460" i="3"/>
  <c r="Z468" i="3"/>
  <c r="Z476" i="3"/>
  <c r="Z484" i="3"/>
  <c r="Z516" i="3"/>
  <c r="Z524" i="3"/>
  <c r="Z532" i="3"/>
  <c r="Z540" i="3"/>
  <c r="Z548" i="3"/>
  <c r="Z556" i="3"/>
  <c r="Z572" i="3"/>
  <c r="Z588" i="3"/>
  <c r="Z596" i="3"/>
  <c r="Z612" i="3"/>
  <c r="Z620" i="3"/>
  <c r="Z628" i="3"/>
  <c r="Z6" i="3"/>
  <c r="Z22" i="3"/>
  <c r="Z355" i="3"/>
  <c r="Z371" i="3"/>
  <c r="Z387" i="3"/>
  <c r="Z404" i="3"/>
  <c r="Z420" i="3"/>
  <c r="Z64" i="3"/>
  <c r="Z117" i="3"/>
  <c r="Z153" i="3"/>
  <c r="Z169" i="3"/>
  <c r="Z213" i="3"/>
  <c r="Z229" i="3"/>
  <c r="Z257" i="3"/>
  <c r="Z273" i="3"/>
  <c r="Z339" i="3"/>
  <c r="Z356" i="3"/>
  <c r="Z372" i="3"/>
  <c r="Z388" i="3"/>
  <c r="Z409" i="3"/>
  <c r="Z425" i="3"/>
  <c r="Z53" i="3"/>
  <c r="Z291" i="3"/>
  <c r="Z340" i="3"/>
  <c r="Z381" i="3"/>
  <c r="Z435" i="3"/>
  <c r="Z459" i="3"/>
  <c r="Z527" i="3"/>
  <c r="Z547" i="3"/>
  <c r="Z611" i="3"/>
  <c r="Z51" i="3"/>
  <c r="Z67" i="3"/>
  <c r="Z330" i="3"/>
  <c r="Z351" i="3"/>
  <c r="Z367" i="3"/>
  <c r="Z400" i="3"/>
  <c r="Z416" i="3"/>
  <c r="Z12" i="3"/>
  <c r="Z36" i="3"/>
  <c r="Z307" i="3"/>
  <c r="Z377" i="3"/>
  <c r="Z463" i="3"/>
  <c r="Z487" i="3"/>
  <c r="Z507" i="3"/>
  <c r="Z531" i="3"/>
  <c r="Z587" i="3"/>
  <c r="Z607" i="3"/>
  <c r="Z7" i="3"/>
  <c r="Z19" i="3"/>
  <c r="Z52" i="3"/>
  <c r="Z68" i="3"/>
  <c r="Z97" i="3"/>
  <c r="Z245" i="3"/>
  <c r="Z277" i="3"/>
  <c r="Z421" i="3"/>
  <c r="Z4" i="3"/>
  <c r="Z28" i="3"/>
  <c r="Z357" i="3"/>
  <c r="Z467" i="3"/>
  <c r="Z551" i="3"/>
  <c r="AH434" i="3"/>
  <c r="AI434" i="3" s="1"/>
  <c r="AL434" i="3" s="1"/>
  <c r="Z33" i="3"/>
  <c r="Z163" i="3"/>
  <c r="Z211" i="3"/>
  <c r="Z275" i="3"/>
  <c r="Z308" i="3"/>
  <c r="Z382" i="3"/>
  <c r="Z448" i="3"/>
  <c r="Z464" i="3"/>
  <c r="Z536" i="3"/>
  <c r="Z584" i="3"/>
  <c r="Z23" i="3"/>
  <c r="Z281" i="3"/>
  <c r="Z401" i="3"/>
  <c r="Z65" i="3"/>
  <c r="Z303" i="3"/>
  <c r="Z373" i="3"/>
  <c r="Z447" i="3"/>
  <c r="Z491" i="3"/>
  <c r="Z575" i="3"/>
  <c r="Z10" i="3"/>
  <c r="Z20" i="3"/>
  <c r="Z319" i="3"/>
  <c r="Z431" i="3"/>
  <c r="Z499" i="3"/>
  <c r="Z563" i="3"/>
  <c r="Z27" i="3"/>
  <c r="Z43" i="3"/>
  <c r="Z133" i="3"/>
  <c r="Z181" i="3"/>
  <c r="Z16" i="3"/>
  <c r="Z451" i="3"/>
  <c r="Z283" i="3"/>
  <c r="Z396" i="3"/>
  <c r="Z56" i="3"/>
  <c r="Z121" i="3"/>
  <c r="Z193" i="3"/>
  <c r="AK193" i="3" s="1"/>
  <c r="Z579" i="3"/>
  <c r="Z615" i="3"/>
  <c r="Z292" i="3"/>
  <c r="AH406" i="3"/>
  <c r="AI406" i="3" s="1"/>
  <c r="AL406" i="3" s="1"/>
  <c r="AH422" i="3"/>
  <c r="AI422" i="3" s="1"/>
  <c r="AL422" i="3" s="1"/>
  <c r="AH86" i="3"/>
  <c r="AI86" i="3" s="1"/>
  <c r="AL86" i="3" s="1"/>
  <c r="AH118" i="3"/>
  <c r="AI118" i="3" s="1"/>
  <c r="AL118" i="3" s="1"/>
  <c r="AH134" i="3"/>
  <c r="AI134" i="3" s="1"/>
  <c r="AL134" i="3" s="1"/>
  <c r="AH150" i="3"/>
  <c r="AI150" i="3" s="1"/>
  <c r="AH182" i="3"/>
  <c r="AI182" i="3" s="1"/>
  <c r="AL182" i="3" s="1"/>
  <c r="AH214" i="3"/>
  <c r="AI214" i="3" s="1"/>
  <c r="AL214" i="3" s="1"/>
  <c r="AH246" i="3"/>
  <c r="AI246" i="3" s="1"/>
  <c r="AL246" i="3" s="1"/>
  <c r="AH278" i="3"/>
  <c r="AI278" i="3" s="1"/>
  <c r="AL278" i="3" s="1"/>
  <c r="AA349" i="3"/>
  <c r="AH90" i="3"/>
  <c r="AI90" i="3" s="1"/>
  <c r="AL90" i="3" s="1"/>
  <c r="AH106" i="3"/>
  <c r="AI106" i="3" s="1"/>
  <c r="AL106" i="3" s="1"/>
  <c r="AH170" i="3"/>
  <c r="AI170" i="3" s="1"/>
  <c r="AL170" i="3" s="1"/>
  <c r="AH202" i="3"/>
  <c r="AI202" i="3" s="1"/>
  <c r="AL202" i="3" s="1"/>
  <c r="AH218" i="3"/>
  <c r="AI218" i="3" s="1"/>
  <c r="AL218" i="3" s="1"/>
  <c r="AH234" i="3"/>
  <c r="AI234" i="3" s="1"/>
  <c r="AL234" i="3" s="1"/>
  <c r="AH298" i="3"/>
  <c r="AI298" i="3" s="1"/>
  <c r="AL298" i="3" s="1"/>
  <c r="AH314" i="3"/>
  <c r="AI314" i="3" s="1"/>
  <c r="AL314" i="3" s="1"/>
  <c r="AH302" i="3"/>
  <c r="AI302" i="3" s="1"/>
  <c r="AH450" i="3"/>
  <c r="AI450" i="3" s="1"/>
  <c r="AL450" i="3" s="1"/>
  <c r="AH482" i="3"/>
  <c r="AI482" i="3" s="1"/>
  <c r="AL482" i="3" s="1"/>
  <c r="AH498" i="3"/>
  <c r="AI498" i="3" s="1"/>
  <c r="AL498" i="3" s="1"/>
  <c r="AH514" i="3"/>
  <c r="AI514" i="3" s="1"/>
  <c r="AL514" i="3" s="1"/>
  <c r="AH546" i="3"/>
  <c r="AI546" i="3" s="1"/>
  <c r="AL546" i="3" s="1"/>
  <c r="AH578" i="3"/>
  <c r="AI578" i="3" s="1"/>
  <c r="AL578" i="3" s="1"/>
  <c r="AH594" i="3"/>
  <c r="AI594" i="3" s="1"/>
  <c r="AL594" i="3" s="1"/>
  <c r="AH610" i="3"/>
  <c r="AI610" i="3" s="1"/>
  <c r="AL610" i="3" s="1"/>
  <c r="AH626" i="3"/>
  <c r="AI626" i="3" s="1"/>
  <c r="AL626" i="3" s="1"/>
  <c r="AH430" i="3"/>
  <c r="AI430" i="3" s="1"/>
  <c r="AL430" i="3" s="1"/>
  <c r="AH402" i="3"/>
  <c r="AI402" i="3" s="1"/>
  <c r="AL402" i="3" s="1"/>
  <c r="AH418" i="3"/>
  <c r="AI418" i="3" s="1"/>
  <c r="AL418" i="3" s="1"/>
  <c r="AH98" i="3"/>
  <c r="AI98" i="3" s="1"/>
  <c r="AL98" i="3" s="1"/>
  <c r="AH114" i="3"/>
  <c r="AI114" i="3" s="1"/>
  <c r="AL114" i="3" s="1"/>
  <c r="AH130" i="3"/>
  <c r="AI130" i="3" s="1"/>
  <c r="AL130" i="3" s="1"/>
  <c r="AH146" i="3"/>
  <c r="AI146" i="3" s="1"/>
  <c r="AL146" i="3" s="1"/>
  <c r="AH178" i="3"/>
  <c r="AI178" i="3" s="1"/>
  <c r="AL178" i="3" s="1"/>
  <c r="AH226" i="3"/>
  <c r="AI226" i="3" s="1"/>
  <c r="AL226" i="3" s="1"/>
  <c r="AH242" i="3"/>
  <c r="AI242" i="3" s="1"/>
  <c r="AL242" i="3" s="1"/>
  <c r="AH306" i="3"/>
  <c r="AI306" i="3" s="1"/>
  <c r="AL306" i="3" s="1"/>
  <c r="AH322" i="3"/>
  <c r="AI322" i="3" s="1"/>
  <c r="AL322" i="3" s="1"/>
  <c r="X329" i="3"/>
  <c r="Z329" i="3" s="1"/>
  <c r="V329" i="3"/>
  <c r="X428" i="3"/>
  <c r="V428" i="3"/>
  <c r="X44" i="3"/>
  <c r="V44" i="3"/>
  <c r="X341" i="3"/>
  <c r="V341" i="3"/>
  <c r="X76" i="3"/>
  <c r="V76" i="3"/>
  <c r="X393" i="3"/>
  <c r="V393" i="3"/>
  <c r="AA608" i="3"/>
  <c r="AA193" i="3"/>
  <c r="AA162" i="3"/>
  <c r="Z137" i="3"/>
  <c r="AA413" i="3"/>
  <c r="AA150" i="3"/>
  <c r="AA302" i="3"/>
  <c r="Z81" i="3"/>
  <c r="Z113" i="3"/>
  <c r="Z145" i="3"/>
  <c r="Z177" i="3"/>
  <c r="Z341" i="3"/>
  <c r="Z76" i="3"/>
  <c r="Z116" i="3"/>
  <c r="Z164" i="3"/>
  <c r="Z196" i="3"/>
  <c r="Z244" i="3"/>
  <c r="Z428" i="3"/>
  <c r="Z293" i="3"/>
  <c r="Z325" i="3"/>
  <c r="Z465" i="3"/>
  <c r="Z513" i="3"/>
  <c r="Z545" i="3"/>
  <c r="Z593" i="3"/>
  <c r="Z60" i="3"/>
  <c r="Z2" i="3"/>
  <c r="Z88" i="3"/>
  <c r="Z104" i="3"/>
  <c r="Z120" i="3"/>
  <c r="Z136" i="3"/>
  <c r="Z152" i="3"/>
  <c r="Z168" i="3"/>
  <c r="Z184" i="3"/>
  <c r="Z200" i="3"/>
  <c r="Z216" i="3"/>
  <c r="Z232" i="3"/>
  <c r="Z248" i="3"/>
  <c r="Z264" i="3"/>
  <c r="Z280" i="3"/>
  <c r="Z297" i="3"/>
  <c r="Z313" i="3"/>
  <c r="Z437" i="3"/>
  <c r="Z453" i="3"/>
  <c r="Z469" i="3"/>
  <c r="Z485" i="3"/>
  <c r="Z501" i="3"/>
  <c r="Z517" i="3"/>
  <c r="Z533" i="3"/>
  <c r="Z549" i="3"/>
  <c r="Z565" i="3"/>
  <c r="Z581" i="3"/>
  <c r="Z597" i="3"/>
  <c r="Z613" i="3"/>
  <c r="Z334" i="3"/>
  <c r="Z84" i="3"/>
  <c r="Z148" i="3"/>
  <c r="Z212" i="3"/>
  <c r="Z260" i="3"/>
  <c r="Z449" i="3"/>
  <c r="Z497" i="3"/>
  <c r="Z577" i="3"/>
  <c r="Z618" i="3"/>
  <c r="Z108" i="3"/>
  <c r="Z156" i="3"/>
  <c r="Z188" i="3"/>
  <c r="Z220" i="3"/>
  <c r="Z252" i="3"/>
  <c r="Z285" i="3"/>
  <c r="Z301" i="3"/>
  <c r="Z317" i="3"/>
  <c r="Z441" i="3"/>
  <c r="Z457" i="3"/>
  <c r="Z473" i="3"/>
  <c r="Z489" i="3"/>
  <c r="Z505" i="3"/>
  <c r="Z521" i="3"/>
  <c r="Z537" i="3"/>
  <c r="Z553" i="3"/>
  <c r="Z569" i="3"/>
  <c r="Z585" i="3"/>
  <c r="Z601" i="3"/>
  <c r="Z617" i="3"/>
  <c r="Z100" i="3"/>
  <c r="Z132" i="3"/>
  <c r="Z180" i="3"/>
  <c r="Z228" i="3"/>
  <c r="Z276" i="3"/>
  <c r="Z309" i="3"/>
  <c r="Z433" i="3"/>
  <c r="Z481" i="3"/>
  <c r="Z529" i="3"/>
  <c r="Z561" i="3"/>
  <c r="Z609" i="3"/>
  <c r="Z92" i="3"/>
  <c r="Z124" i="3"/>
  <c r="Z140" i="3"/>
  <c r="Z172" i="3"/>
  <c r="Z204" i="3"/>
  <c r="Z236" i="3"/>
  <c r="Z268" i="3"/>
  <c r="Z80" i="3"/>
  <c r="Z96" i="3"/>
  <c r="Z112" i="3"/>
  <c r="Z128" i="3"/>
  <c r="Z144" i="3"/>
  <c r="Z160" i="3"/>
  <c r="Z176" i="3"/>
  <c r="Z192" i="3"/>
  <c r="Z208" i="3"/>
  <c r="Z224" i="3"/>
  <c r="Z240" i="3"/>
  <c r="Z256" i="3"/>
  <c r="Z272" i="3"/>
  <c r="Z289" i="3"/>
  <c r="Z305" i="3"/>
  <c r="Z321" i="3"/>
  <c r="Z429" i="3"/>
  <c r="Z445" i="3"/>
  <c r="Z461" i="3"/>
  <c r="Z477" i="3"/>
  <c r="Z493" i="3"/>
  <c r="Z509" i="3"/>
  <c r="Z525" i="3"/>
  <c r="Z541" i="3"/>
  <c r="Z557" i="3"/>
  <c r="Z573" i="3"/>
  <c r="Z589" i="3"/>
  <c r="Z605" i="3"/>
  <c r="X635" i="3" l="1"/>
  <c r="AA541" i="3"/>
  <c r="AK541" i="3"/>
  <c r="AA321" i="3"/>
  <c r="AK321" i="3"/>
  <c r="AA192" i="3"/>
  <c r="AK192" i="3"/>
  <c r="AA268" i="3"/>
  <c r="AK268" i="3"/>
  <c r="AA561" i="3"/>
  <c r="AK561" i="3"/>
  <c r="AA132" i="3"/>
  <c r="AK132" i="3"/>
  <c r="AA521" i="3"/>
  <c r="AK521" i="3"/>
  <c r="AA285" i="3"/>
  <c r="AK285" i="3"/>
  <c r="AA497" i="3"/>
  <c r="AK497" i="3"/>
  <c r="AA597" i="3"/>
  <c r="AK597" i="3"/>
  <c r="AA469" i="3"/>
  <c r="AK469" i="3"/>
  <c r="AA232" i="3"/>
  <c r="AK232" i="3"/>
  <c r="AA104" i="3"/>
  <c r="AK104" i="3"/>
  <c r="AA325" i="3"/>
  <c r="AK325" i="3"/>
  <c r="AA341" i="3"/>
  <c r="AK341" i="3"/>
  <c r="AA133" i="3"/>
  <c r="AK133" i="3"/>
  <c r="AA10" i="3"/>
  <c r="AK10" i="3"/>
  <c r="AA281" i="3"/>
  <c r="AK281" i="3"/>
  <c r="AA464" i="3"/>
  <c r="AK464" i="3"/>
  <c r="AA275" i="3"/>
  <c r="AK275" i="3"/>
  <c r="AA28" i="3"/>
  <c r="AK28" i="3"/>
  <c r="AA19" i="3"/>
  <c r="AK19" i="3"/>
  <c r="AA377" i="3"/>
  <c r="AK377" i="3"/>
  <c r="AA330" i="3"/>
  <c r="AK330" i="3"/>
  <c r="AA381" i="3"/>
  <c r="AK381" i="3"/>
  <c r="AA356" i="3"/>
  <c r="AK356" i="3"/>
  <c r="AA117" i="3"/>
  <c r="AL117" i="3" s="1"/>
  <c r="AK117" i="3"/>
  <c r="AA6" i="3"/>
  <c r="AK6" i="3"/>
  <c r="AA548" i="3"/>
  <c r="AK548" i="3"/>
  <c r="AA460" i="3"/>
  <c r="AK460" i="3"/>
  <c r="AA354" i="3"/>
  <c r="AK354" i="3"/>
  <c r="AA255" i="3"/>
  <c r="AK255" i="3"/>
  <c r="AA183" i="3"/>
  <c r="AK183" i="3"/>
  <c r="AA87" i="3"/>
  <c r="AK87" i="3"/>
  <c r="AA5" i="3"/>
  <c r="AK5" i="3"/>
  <c r="AA345" i="3"/>
  <c r="AK345" i="3"/>
  <c r="AA519" i="3"/>
  <c r="AK519" i="3"/>
  <c r="AA209" i="3"/>
  <c r="AK209" i="3"/>
  <c r="AA616" i="3"/>
  <c r="AK616" i="3"/>
  <c r="AA227" i="3"/>
  <c r="AK227" i="3"/>
  <c r="AA187" i="3"/>
  <c r="AK187" i="3"/>
  <c r="AA369" i="3"/>
  <c r="AK369" i="3"/>
  <c r="AA385" i="3"/>
  <c r="AK385" i="3"/>
  <c r="AA89" i="3"/>
  <c r="AK89" i="3"/>
  <c r="AA366" i="3"/>
  <c r="AK366" i="3"/>
  <c r="AA99" i="3"/>
  <c r="AK99" i="3"/>
  <c r="AA69" i="3"/>
  <c r="AK69" i="3"/>
  <c r="AA85" i="3"/>
  <c r="AK85" i="3"/>
  <c r="AA365" i="3"/>
  <c r="AK365" i="3"/>
  <c r="AA344" i="3"/>
  <c r="AK344" i="3"/>
  <c r="AA320" i="3"/>
  <c r="AK320" i="3"/>
  <c r="AA383" i="3"/>
  <c r="AL383" i="3" s="1"/>
  <c r="AK383" i="3"/>
  <c r="AA35" i="3"/>
  <c r="AK35" i="3"/>
  <c r="AA625" i="3"/>
  <c r="AK625" i="3"/>
  <c r="AA271" i="3"/>
  <c r="AK271" i="3"/>
  <c r="AL87" i="3"/>
  <c r="AL268" i="3"/>
  <c r="AL457" i="3"/>
  <c r="AA477" i="3"/>
  <c r="AK477" i="3"/>
  <c r="AA256" i="3"/>
  <c r="AK256" i="3"/>
  <c r="AA128" i="3"/>
  <c r="AK128" i="3"/>
  <c r="AA140" i="3"/>
  <c r="AL140" i="3" s="1"/>
  <c r="AK140" i="3"/>
  <c r="AA309" i="3"/>
  <c r="AK309" i="3"/>
  <c r="AA585" i="3"/>
  <c r="AK585" i="3"/>
  <c r="AA457" i="3"/>
  <c r="AK457" i="3"/>
  <c r="AA156" i="3"/>
  <c r="AK156" i="3"/>
  <c r="AA148" i="3"/>
  <c r="AK148" i="3"/>
  <c r="AA533" i="3"/>
  <c r="AK533" i="3"/>
  <c r="AA297" i="3"/>
  <c r="AK297" i="3"/>
  <c r="AA168" i="3"/>
  <c r="AK168" i="3"/>
  <c r="AA593" i="3"/>
  <c r="AK593" i="3"/>
  <c r="AA196" i="3"/>
  <c r="AK196" i="3"/>
  <c r="AA81" i="3"/>
  <c r="AK81" i="3"/>
  <c r="AA137" i="3"/>
  <c r="AK137" i="3"/>
  <c r="AA283" i="3"/>
  <c r="AK283" i="3"/>
  <c r="AA499" i="3"/>
  <c r="AK499" i="3"/>
  <c r="AA373" i="3"/>
  <c r="AK373" i="3"/>
  <c r="AA245" i="3"/>
  <c r="AK245" i="3"/>
  <c r="AA531" i="3"/>
  <c r="AL531" i="3" s="1"/>
  <c r="AK531" i="3"/>
  <c r="AA416" i="3"/>
  <c r="AK416" i="3"/>
  <c r="AA547" i="3"/>
  <c r="AK547" i="3"/>
  <c r="AA425" i="3"/>
  <c r="AK425" i="3"/>
  <c r="AA229" i="3"/>
  <c r="AK229" i="3"/>
  <c r="AA387" i="3"/>
  <c r="AK387" i="3"/>
  <c r="AA596" i="3"/>
  <c r="AK596" i="3"/>
  <c r="AA516" i="3"/>
  <c r="AK516" i="3"/>
  <c r="AA427" i="3"/>
  <c r="AL427" i="3" s="1"/>
  <c r="AK427" i="3"/>
  <c r="AA304" i="3"/>
  <c r="AK304" i="3"/>
  <c r="AA215" i="3"/>
  <c r="AK215" i="3"/>
  <c r="AA135" i="3"/>
  <c r="AK135" i="3"/>
  <c r="AA46" i="3"/>
  <c r="AL46" i="3" s="1"/>
  <c r="AK46" i="3"/>
  <c r="AA603" i="3"/>
  <c r="AK603" i="3"/>
  <c r="AA352" i="3"/>
  <c r="AL352" i="3" s="1"/>
  <c r="AK352" i="3"/>
  <c r="AA471" i="3"/>
  <c r="AL471" i="3" s="1"/>
  <c r="AK471" i="3"/>
  <c r="AA363" i="3"/>
  <c r="AL363" i="3" s="1"/>
  <c r="AK363" i="3"/>
  <c r="AA415" i="3"/>
  <c r="AK415" i="3"/>
  <c r="AA123" i="3"/>
  <c r="AK123" i="3"/>
  <c r="AA311" i="3"/>
  <c r="AK311" i="3"/>
  <c r="AA105" i="3"/>
  <c r="AK105" i="3"/>
  <c r="AA417" i="3"/>
  <c r="AL417" i="3" s="1"/>
  <c r="AK417" i="3"/>
  <c r="AA47" i="3"/>
  <c r="AK47" i="3"/>
  <c r="AA179" i="3"/>
  <c r="AK179" i="3"/>
  <c r="AA439" i="3"/>
  <c r="AK439" i="3"/>
  <c r="AA589" i="3"/>
  <c r="AK589" i="3"/>
  <c r="AA525" i="3"/>
  <c r="AK525" i="3"/>
  <c r="AA461" i="3"/>
  <c r="AK461" i="3"/>
  <c r="AA305" i="3"/>
  <c r="AK305" i="3"/>
  <c r="AA240" i="3"/>
  <c r="AK240" i="3"/>
  <c r="AA176" i="3"/>
  <c r="AK176" i="3"/>
  <c r="AA112" i="3"/>
  <c r="AK112" i="3"/>
  <c r="AA236" i="3"/>
  <c r="AK236" i="3"/>
  <c r="AA124" i="3"/>
  <c r="AL124" i="3" s="1"/>
  <c r="AK124" i="3"/>
  <c r="AA529" i="3"/>
  <c r="AK529" i="3"/>
  <c r="AA276" i="3"/>
  <c r="AK276" i="3"/>
  <c r="AA100" i="3"/>
  <c r="AK100" i="3"/>
  <c r="AA569" i="3"/>
  <c r="AK569" i="3"/>
  <c r="AA505" i="3"/>
  <c r="AK505" i="3"/>
  <c r="AA441" i="3"/>
  <c r="AK441" i="3"/>
  <c r="AA252" i="3"/>
  <c r="AK252" i="3"/>
  <c r="AA108" i="3"/>
  <c r="AK108" i="3"/>
  <c r="AA449" i="3"/>
  <c r="AK449" i="3"/>
  <c r="AA84" i="3"/>
  <c r="AL84" i="3" s="1"/>
  <c r="AK84" i="3"/>
  <c r="AA581" i="3"/>
  <c r="AL581" i="3" s="1"/>
  <c r="AK581" i="3"/>
  <c r="AA517" i="3"/>
  <c r="AL517" i="3" s="1"/>
  <c r="AK517" i="3"/>
  <c r="AA453" i="3"/>
  <c r="AL453" i="3" s="1"/>
  <c r="AK453" i="3"/>
  <c r="AA280" i="3"/>
  <c r="AK280" i="3"/>
  <c r="AA216" i="3"/>
  <c r="AK216" i="3"/>
  <c r="AA152" i="3"/>
  <c r="AK152" i="3"/>
  <c r="AA88" i="3"/>
  <c r="AK88" i="3"/>
  <c r="AA545" i="3"/>
  <c r="AK545" i="3"/>
  <c r="AA293" i="3"/>
  <c r="AK293" i="3"/>
  <c r="AA164" i="3"/>
  <c r="AK164" i="3"/>
  <c r="AA177" i="3"/>
  <c r="AK177" i="3"/>
  <c r="AL302" i="3"/>
  <c r="AA292" i="3"/>
  <c r="AK292" i="3"/>
  <c r="AA121" i="3"/>
  <c r="AL121" i="3" s="1"/>
  <c r="AK121" i="3"/>
  <c r="AA451" i="3"/>
  <c r="AK451" i="3"/>
  <c r="AA43" i="3"/>
  <c r="AK43" i="3"/>
  <c r="AA431" i="3"/>
  <c r="AK431" i="3"/>
  <c r="AA575" i="3"/>
  <c r="AK575" i="3"/>
  <c r="AA303" i="3"/>
  <c r="AK303" i="3"/>
  <c r="AA23" i="3"/>
  <c r="AL23" i="3" s="1"/>
  <c r="AK23" i="3"/>
  <c r="AA448" i="3"/>
  <c r="AK448" i="3"/>
  <c r="AA211" i="3"/>
  <c r="AK211" i="3"/>
  <c r="AA551" i="3"/>
  <c r="AK551" i="3"/>
  <c r="AA4" i="3"/>
  <c r="AK4" i="3"/>
  <c r="AA97" i="3"/>
  <c r="AK97" i="3"/>
  <c r="AA7" i="3"/>
  <c r="AL7" i="3" s="1"/>
  <c r="AK7" i="3"/>
  <c r="AA507" i="3"/>
  <c r="AK507" i="3"/>
  <c r="AA307" i="3"/>
  <c r="AK307" i="3"/>
  <c r="AA400" i="3"/>
  <c r="AK400" i="3"/>
  <c r="AA67" i="3"/>
  <c r="AK67" i="3"/>
  <c r="AA527" i="3"/>
  <c r="AK527" i="3"/>
  <c r="AA340" i="3"/>
  <c r="AK340" i="3"/>
  <c r="AA409" i="3"/>
  <c r="AK409" i="3"/>
  <c r="AA339" i="3"/>
  <c r="AK339" i="3"/>
  <c r="AA213" i="3"/>
  <c r="AK213" i="3"/>
  <c r="AA64" i="3"/>
  <c r="AK64" i="3"/>
  <c r="AA371" i="3"/>
  <c r="AK371" i="3"/>
  <c r="AA628" i="3"/>
  <c r="AK628" i="3"/>
  <c r="AA588" i="3"/>
  <c r="AK588" i="3"/>
  <c r="AA540" i="3"/>
  <c r="AK540" i="3"/>
  <c r="AA484" i="3"/>
  <c r="AK484" i="3"/>
  <c r="AA452" i="3"/>
  <c r="AK452" i="3"/>
  <c r="AA419" i="3"/>
  <c r="AK419" i="3"/>
  <c r="AA346" i="3"/>
  <c r="AL346" i="3" s="1"/>
  <c r="AK346" i="3"/>
  <c r="AA296" i="3"/>
  <c r="AK296" i="3"/>
  <c r="AA239" i="3"/>
  <c r="AK239" i="3"/>
  <c r="AA207" i="3"/>
  <c r="AK207" i="3"/>
  <c r="AA175" i="3"/>
  <c r="AK175" i="3"/>
  <c r="AA127" i="3"/>
  <c r="AK127" i="3"/>
  <c r="AA79" i="3"/>
  <c r="AK79" i="3"/>
  <c r="AA37" i="3"/>
  <c r="AK37" i="3"/>
  <c r="AA480" i="3"/>
  <c r="AK480" i="3"/>
  <c r="AA129" i="3"/>
  <c r="AL129" i="3" s="1"/>
  <c r="AK129" i="3"/>
  <c r="AA287" i="3"/>
  <c r="AK287" i="3"/>
  <c r="AA197" i="3"/>
  <c r="AK197" i="3"/>
  <c r="AA338" i="3"/>
  <c r="AK338" i="3"/>
  <c r="AA323" i="3"/>
  <c r="AK323" i="3"/>
  <c r="AA39" i="3"/>
  <c r="AK39" i="3"/>
  <c r="AA75" i="3"/>
  <c r="AK75" i="3"/>
  <c r="AA576" i="3"/>
  <c r="AK576" i="3"/>
  <c r="AA399" i="3"/>
  <c r="AK399" i="3"/>
  <c r="AA219" i="3"/>
  <c r="AK219" i="3"/>
  <c r="AA74" i="3"/>
  <c r="AK74" i="3"/>
  <c r="AA559" i="3"/>
  <c r="AK559" i="3"/>
  <c r="AA217" i="3"/>
  <c r="AK217" i="3"/>
  <c r="AA335" i="3"/>
  <c r="AK335" i="3"/>
  <c r="AA11" i="3"/>
  <c r="AK11" i="3"/>
  <c r="AA336" i="3"/>
  <c r="AK336" i="3"/>
  <c r="AA265" i="3"/>
  <c r="AK265" i="3"/>
  <c r="AA3" i="3"/>
  <c r="AK3" i="3"/>
  <c r="AA520" i="3"/>
  <c r="AL520" i="3" s="1"/>
  <c r="AK520" i="3"/>
  <c r="AA358" i="3"/>
  <c r="AL358" i="3" s="1"/>
  <c r="AK358" i="3"/>
  <c r="AA155" i="3"/>
  <c r="AK155" i="3"/>
  <c r="AA83" i="3"/>
  <c r="AL83" i="3" s="1"/>
  <c r="AK83" i="3"/>
  <c r="AA55" i="3"/>
  <c r="AK55" i="3"/>
  <c r="AA34" i="3"/>
  <c r="AK34" i="3"/>
  <c r="AA503" i="3"/>
  <c r="AK503" i="3"/>
  <c r="AA57" i="3"/>
  <c r="AK57" i="3"/>
  <c r="AA583" i="3"/>
  <c r="AK583" i="3"/>
  <c r="AA378" i="3"/>
  <c r="AK378" i="3"/>
  <c r="AA564" i="3"/>
  <c r="AK564" i="3"/>
  <c r="AA32" i="3"/>
  <c r="AK32" i="3"/>
  <c r="AL354" i="3"/>
  <c r="AL275" i="3"/>
  <c r="AL64" i="3"/>
  <c r="AL575" i="3"/>
  <c r="AL320" i="3"/>
  <c r="AL192" i="3"/>
  <c r="AL464" i="3"/>
  <c r="AL252" i="3"/>
  <c r="AL297" i="3"/>
  <c r="AL603" i="3"/>
  <c r="AJ329" i="3"/>
  <c r="AL503" i="3"/>
  <c r="AL565" i="3"/>
  <c r="AL309" i="3"/>
  <c r="AL97" i="3"/>
  <c r="AL285" i="3"/>
  <c r="AL415" i="3"/>
  <c r="AL132" i="3"/>
  <c r="B16" i="22"/>
  <c r="AA573" i="3"/>
  <c r="AL573" i="3" s="1"/>
  <c r="AK573" i="3"/>
  <c r="AA509" i="3"/>
  <c r="AL509" i="3" s="1"/>
  <c r="AK509" i="3"/>
  <c r="AA445" i="3"/>
  <c r="AL445" i="3" s="1"/>
  <c r="AK445" i="3"/>
  <c r="AA289" i="3"/>
  <c r="AK289" i="3"/>
  <c r="AA224" i="3"/>
  <c r="AL224" i="3" s="1"/>
  <c r="AK224" i="3"/>
  <c r="AA160" i="3"/>
  <c r="AK160" i="3"/>
  <c r="AA96" i="3"/>
  <c r="AL96" i="3" s="1"/>
  <c r="AK96" i="3"/>
  <c r="AA204" i="3"/>
  <c r="AK204" i="3"/>
  <c r="AA92" i="3"/>
  <c r="AK92" i="3"/>
  <c r="AA481" i="3"/>
  <c r="AK481" i="3"/>
  <c r="AA228" i="3"/>
  <c r="AK228" i="3"/>
  <c r="AA617" i="3"/>
  <c r="AK617" i="3"/>
  <c r="AA553" i="3"/>
  <c r="AK553" i="3"/>
  <c r="AA489" i="3"/>
  <c r="AK489" i="3"/>
  <c r="AA317" i="3"/>
  <c r="AK317" i="3"/>
  <c r="AA220" i="3"/>
  <c r="AK220" i="3"/>
  <c r="AA618" i="3"/>
  <c r="AK618" i="3"/>
  <c r="AA260" i="3"/>
  <c r="AL260" i="3" s="1"/>
  <c r="AK260" i="3"/>
  <c r="AA334" i="3"/>
  <c r="AL334" i="3" s="1"/>
  <c r="AK334" i="3"/>
  <c r="AA565" i="3"/>
  <c r="AK565" i="3"/>
  <c r="AA501" i="3"/>
  <c r="AL501" i="3" s="1"/>
  <c r="AK501" i="3"/>
  <c r="AA437" i="3"/>
  <c r="AL437" i="3" s="1"/>
  <c r="AK437" i="3"/>
  <c r="AA264" i="3"/>
  <c r="AK264" i="3"/>
  <c r="AA200" i="3"/>
  <c r="AK200" i="3"/>
  <c r="AA136" i="3"/>
  <c r="AK136" i="3"/>
  <c r="AA2" i="3"/>
  <c r="AK2" i="3"/>
  <c r="AA513" i="3"/>
  <c r="AK513" i="3"/>
  <c r="AA428" i="3"/>
  <c r="AK428" i="3"/>
  <c r="AA116" i="3"/>
  <c r="AK116" i="3"/>
  <c r="AA145" i="3"/>
  <c r="AK145" i="3"/>
  <c r="AA615" i="3"/>
  <c r="AK615" i="3"/>
  <c r="AA56" i="3"/>
  <c r="AL56" i="3" s="1"/>
  <c r="AK56" i="3"/>
  <c r="AA16" i="3"/>
  <c r="AK16" i="3"/>
  <c r="AA27" i="3"/>
  <c r="AK27" i="3"/>
  <c r="AA319" i="3"/>
  <c r="AK319" i="3"/>
  <c r="AA491" i="3"/>
  <c r="AL491" i="3" s="1"/>
  <c r="AK491" i="3"/>
  <c r="AA65" i="3"/>
  <c r="AK65" i="3"/>
  <c r="AA584" i="3"/>
  <c r="AL584" i="3" s="1"/>
  <c r="AK584" i="3"/>
  <c r="AA382" i="3"/>
  <c r="AL382" i="3" s="1"/>
  <c r="AK382" i="3"/>
  <c r="AA163" i="3"/>
  <c r="AL163" i="3" s="1"/>
  <c r="AK163" i="3"/>
  <c r="AA467" i="3"/>
  <c r="AK467" i="3"/>
  <c r="AA421" i="3"/>
  <c r="AK421" i="3"/>
  <c r="AA68" i="3"/>
  <c r="AL68" i="3" s="1"/>
  <c r="AK68" i="3"/>
  <c r="AA607" i="3"/>
  <c r="AL607" i="3" s="1"/>
  <c r="AK607" i="3"/>
  <c r="AA487" i="3"/>
  <c r="AK487" i="3"/>
  <c r="AA36" i="3"/>
  <c r="AL36" i="3" s="1"/>
  <c r="AK36" i="3"/>
  <c r="AA367" i="3"/>
  <c r="AK367" i="3"/>
  <c r="AA51" i="3"/>
  <c r="AL51" i="3" s="1"/>
  <c r="AK51" i="3"/>
  <c r="AA459" i="3"/>
  <c r="AK459" i="3"/>
  <c r="AA291" i="3"/>
  <c r="AK291" i="3"/>
  <c r="AA388" i="3"/>
  <c r="AK388" i="3"/>
  <c r="AA273" i="3"/>
  <c r="AK273" i="3"/>
  <c r="AA169" i="3"/>
  <c r="AL169" i="3" s="1"/>
  <c r="AK169" i="3"/>
  <c r="AA420" i="3"/>
  <c r="AK420" i="3"/>
  <c r="AA355" i="3"/>
  <c r="AK355" i="3"/>
  <c r="AA620" i="3"/>
  <c r="AK620" i="3"/>
  <c r="AA572" i="3"/>
  <c r="AL572" i="3" s="1"/>
  <c r="AK572" i="3"/>
  <c r="AA532" i="3"/>
  <c r="AK532" i="3"/>
  <c r="AA476" i="3"/>
  <c r="AL476" i="3" s="1"/>
  <c r="AK476" i="3"/>
  <c r="AA444" i="3"/>
  <c r="AL444" i="3" s="1"/>
  <c r="AK444" i="3"/>
  <c r="AA370" i="3"/>
  <c r="AL370" i="3" s="1"/>
  <c r="AK370" i="3"/>
  <c r="AA328" i="3"/>
  <c r="AL328" i="3" s="1"/>
  <c r="AK328" i="3"/>
  <c r="AA279" i="3"/>
  <c r="AK279" i="3"/>
  <c r="AA231" i="3"/>
  <c r="AL231" i="3" s="1"/>
  <c r="AK231" i="3"/>
  <c r="AA199" i="3"/>
  <c r="AL199" i="3" s="1"/>
  <c r="AK199" i="3"/>
  <c r="AA167" i="3"/>
  <c r="AK167" i="3"/>
  <c r="AA119" i="3"/>
  <c r="AL119" i="3" s="1"/>
  <c r="AK119" i="3"/>
  <c r="AA70" i="3"/>
  <c r="AK70" i="3"/>
  <c r="AA29" i="3"/>
  <c r="AK29" i="3"/>
  <c r="AA49" i="3"/>
  <c r="AK49" i="3"/>
  <c r="AA496" i="3"/>
  <c r="AK496" i="3"/>
  <c r="AA73" i="3"/>
  <c r="AK73" i="3"/>
  <c r="AA149" i="3"/>
  <c r="AL149" i="3" s="1"/>
  <c r="AK149" i="3"/>
  <c r="AA42" i="3"/>
  <c r="AL42" i="3" s="1"/>
  <c r="AK42" i="3"/>
  <c r="AA45" i="3"/>
  <c r="AL45" i="3" s="1"/>
  <c r="AK45" i="3"/>
  <c r="AA629" i="3"/>
  <c r="AK629" i="3"/>
  <c r="AA30" i="3"/>
  <c r="AL30" i="3" s="1"/>
  <c r="AK30" i="3"/>
  <c r="AA528" i="3"/>
  <c r="AK528" i="3"/>
  <c r="AA316" i="3"/>
  <c r="AK316" i="3"/>
  <c r="AA171" i="3"/>
  <c r="AK171" i="3"/>
  <c r="AA25" i="3"/>
  <c r="AK25" i="3"/>
  <c r="AA475" i="3"/>
  <c r="AK475" i="3"/>
  <c r="AA93" i="3"/>
  <c r="AK93" i="3"/>
  <c r="AA233" i="3"/>
  <c r="AK233" i="3"/>
  <c r="AA599" i="3"/>
  <c r="AK599" i="3"/>
  <c r="AA59" i="3"/>
  <c r="AK59" i="3"/>
  <c r="AA249" i="3"/>
  <c r="AK249" i="3"/>
  <c r="AA379" i="3"/>
  <c r="AK379" i="3"/>
  <c r="AA407" i="3"/>
  <c r="AL407" i="3" s="1"/>
  <c r="AK407" i="3"/>
  <c r="AA324" i="3"/>
  <c r="AL324" i="3" s="1"/>
  <c r="AK324" i="3"/>
  <c r="AA131" i="3"/>
  <c r="AK131" i="3"/>
  <c r="AA66" i="3"/>
  <c r="AK66" i="3"/>
  <c r="AA247" i="3"/>
  <c r="AL247" i="3" s="1"/>
  <c r="AK247" i="3"/>
  <c r="AA261" i="3"/>
  <c r="AK261" i="3"/>
  <c r="AA391" i="3"/>
  <c r="AK391" i="3"/>
  <c r="AA580" i="3"/>
  <c r="AK580" i="3"/>
  <c r="AA332" i="3"/>
  <c r="AL332" i="3" s="1"/>
  <c r="AK332" i="3"/>
  <c r="AA125" i="3"/>
  <c r="AK125" i="3"/>
  <c r="AA315" i="3"/>
  <c r="AK315" i="3"/>
  <c r="AA495" i="3"/>
  <c r="AL495" i="3" s="1"/>
  <c r="AK495" i="3"/>
  <c r="AA623" i="3"/>
  <c r="AL623" i="3" s="1"/>
  <c r="AK623" i="3"/>
  <c r="AA508" i="3"/>
  <c r="AK508" i="3"/>
  <c r="AL366" i="3"/>
  <c r="AL378" i="3"/>
  <c r="AL74" i="3"/>
  <c r="AL279" i="3"/>
  <c r="AL183" i="3"/>
  <c r="AL32" i="3"/>
  <c r="AL616" i="3"/>
  <c r="AL160" i="3"/>
  <c r="AL416" i="3"/>
  <c r="AL204" i="3"/>
  <c r="AL541" i="3"/>
  <c r="AL477" i="3"/>
  <c r="AL29" i="3"/>
  <c r="AL330" i="3"/>
  <c r="AL265" i="3"/>
  <c r="AL311" i="3"/>
  <c r="AL613" i="3"/>
  <c r="AL200" i="3"/>
  <c r="AL629" i="3"/>
  <c r="AL485" i="3"/>
  <c r="AL459" i="3"/>
  <c r="AL321" i="3"/>
  <c r="AL193" i="3"/>
  <c r="AJ76" i="3"/>
  <c r="AL281" i="3"/>
  <c r="AL89" i="3"/>
  <c r="AL4" i="3"/>
  <c r="AL431" i="3"/>
  <c r="AL540" i="3"/>
  <c r="AL100" i="3"/>
  <c r="AL196" i="3"/>
  <c r="X634" i="3"/>
  <c r="AA605" i="3"/>
  <c r="AL605" i="3" s="1"/>
  <c r="AK605" i="3"/>
  <c r="AA557" i="3"/>
  <c r="AL557" i="3" s="1"/>
  <c r="AK557" i="3"/>
  <c r="AA493" i="3"/>
  <c r="AL493" i="3" s="1"/>
  <c r="AK493" i="3"/>
  <c r="AA429" i="3"/>
  <c r="AL429" i="3" s="1"/>
  <c r="AK429" i="3"/>
  <c r="AA272" i="3"/>
  <c r="AK272" i="3"/>
  <c r="AA208" i="3"/>
  <c r="AK208" i="3"/>
  <c r="AA144" i="3"/>
  <c r="AK144" i="3"/>
  <c r="AA80" i="3"/>
  <c r="AK80" i="3"/>
  <c r="AA172" i="3"/>
  <c r="AK172" i="3"/>
  <c r="AA609" i="3"/>
  <c r="AK609" i="3"/>
  <c r="AA433" i="3"/>
  <c r="AK433" i="3"/>
  <c r="AA180" i="3"/>
  <c r="AK180" i="3"/>
  <c r="AA601" i="3"/>
  <c r="AK601" i="3"/>
  <c r="AA537" i="3"/>
  <c r="AK537" i="3"/>
  <c r="AA473" i="3"/>
  <c r="AK473" i="3"/>
  <c r="AA301" i="3"/>
  <c r="AL301" i="3" s="1"/>
  <c r="AK301" i="3"/>
  <c r="AA188" i="3"/>
  <c r="AK188" i="3"/>
  <c r="AA577" i="3"/>
  <c r="AK577" i="3"/>
  <c r="AA212" i="3"/>
  <c r="AL212" i="3" s="1"/>
  <c r="AK212" i="3"/>
  <c r="AA613" i="3"/>
  <c r="AK613" i="3"/>
  <c r="AA549" i="3"/>
  <c r="AL549" i="3" s="1"/>
  <c r="AK549" i="3"/>
  <c r="AA485" i="3"/>
  <c r="AK485" i="3"/>
  <c r="AA313" i="3"/>
  <c r="AK313" i="3"/>
  <c r="AA248" i="3"/>
  <c r="AK248" i="3"/>
  <c r="AA184" i="3"/>
  <c r="AK184" i="3"/>
  <c r="AA120" i="3"/>
  <c r="AK120" i="3"/>
  <c r="AA60" i="3"/>
  <c r="AK60" i="3"/>
  <c r="AA465" i="3"/>
  <c r="AK465" i="3"/>
  <c r="AA244" i="3"/>
  <c r="AK244" i="3"/>
  <c r="AA76" i="3"/>
  <c r="AK76" i="3"/>
  <c r="AA113" i="3"/>
  <c r="AK113" i="3"/>
  <c r="AA329" i="3"/>
  <c r="AK329" i="3"/>
  <c r="AL150" i="3"/>
  <c r="AA579" i="3"/>
  <c r="AL579" i="3" s="1"/>
  <c r="AK579" i="3"/>
  <c r="AA396" i="3"/>
  <c r="AK396" i="3"/>
  <c r="AA181" i="3"/>
  <c r="AL181" i="3" s="1"/>
  <c r="AK181" i="3"/>
  <c r="AA563" i="3"/>
  <c r="AL563" i="3" s="1"/>
  <c r="AK563" i="3"/>
  <c r="AA20" i="3"/>
  <c r="AK20" i="3"/>
  <c r="AA447" i="3"/>
  <c r="AL447" i="3" s="1"/>
  <c r="AK447" i="3"/>
  <c r="AA401" i="3"/>
  <c r="AK401" i="3"/>
  <c r="AA536" i="3"/>
  <c r="AL536" i="3" s="1"/>
  <c r="AK536" i="3"/>
  <c r="AA308" i="3"/>
  <c r="AL308" i="3" s="1"/>
  <c r="AK308" i="3"/>
  <c r="AA33" i="3"/>
  <c r="AL33" i="3" s="1"/>
  <c r="AK33" i="3"/>
  <c r="AA357" i="3"/>
  <c r="AL357" i="3" s="1"/>
  <c r="AK357" i="3"/>
  <c r="AA277" i="3"/>
  <c r="AL277" i="3" s="1"/>
  <c r="AK277" i="3"/>
  <c r="AA52" i="3"/>
  <c r="AL52" i="3" s="1"/>
  <c r="AK52" i="3"/>
  <c r="AA587" i="3"/>
  <c r="AK587" i="3"/>
  <c r="AA463" i="3"/>
  <c r="AL463" i="3" s="1"/>
  <c r="AK463" i="3"/>
  <c r="AA12" i="3"/>
  <c r="AL12" i="3" s="1"/>
  <c r="AK12" i="3"/>
  <c r="AA351" i="3"/>
  <c r="AL351" i="3" s="1"/>
  <c r="AK351" i="3"/>
  <c r="AA611" i="3"/>
  <c r="AL611" i="3" s="1"/>
  <c r="AK611" i="3"/>
  <c r="AA435" i="3"/>
  <c r="AK435" i="3"/>
  <c r="AA53" i="3"/>
  <c r="AL53" i="3" s="1"/>
  <c r="AK53" i="3"/>
  <c r="AA372" i="3"/>
  <c r="AL372" i="3" s="1"/>
  <c r="AK372" i="3"/>
  <c r="AA257" i="3"/>
  <c r="AL257" i="3" s="1"/>
  <c r="AK257" i="3"/>
  <c r="AA153" i="3"/>
  <c r="AL153" i="3" s="1"/>
  <c r="AK153" i="3"/>
  <c r="AA404" i="3"/>
  <c r="AL404" i="3" s="1"/>
  <c r="AK404" i="3"/>
  <c r="AA22" i="3"/>
  <c r="AL22" i="3" s="1"/>
  <c r="AK22" i="3"/>
  <c r="AA612" i="3"/>
  <c r="AK612" i="3"/>
  <c r="AA556" i="3"/>
  <c r="AK556" i="3"/>
  <c r="AA524" i="3"/>
  <c r="AK524" i="3"/>
  <c r="AA468" i="3"/>
  <c r="AL468" i="3" s="1"/>
  <c r="AK468" i="3"/>
  <c r="AA436" i="3"/>
  <c r="AK436" i="3"/>
  <c r="AA362" i="3"/>
  <c r="AK362" i="3"/>
  <c r="AA312" i="3"/>
  <c r="AL312" i="3" s="1"/>
  <c r="AK312" i="3"/>
  <c r="AA263" i="3"/>
  <c r="AK263" i="3"/>
  <c r="AA223" i="3"/>
  <c r="AK223" i="3"/>
  <c r="AA191" i="3"/>
  <c r="AK191" i="3"/>
  <c r="AA151" i="3"/>
  <c r="AL151" i="3" s="1"/>
  <c r="AK151" i="3"/>
  <c r="AA103" i="3"/>
  <c r="AL103" i="3" s="1"/>
  <c r="AK103" i="3"/>
  <c r="AA62" i="3"/>
  <c r="AK62" i="3"/>
  <c r="AA13" i="3"/>
  <c r="AK13" i="3"/>
  <c r="AA50" i="3"/>
  <c r="AL50" i="3" s="1"/>
  <c r="AK50" i="3"/>
  <c r="AA384" i="3"/>
  <c r="AK384" i="3"/>
  <c r="AA368" i="3"/>
  <c r="AL368" i="3" s="1"/>
  <c r="AK368" i="3"/>
  <c r="AA631" i="3"/>
  <c r="AK631" i="3"/>
  <c r="AA619" i="3"/>
  <c r="AL619" i="3" s="1"/>
  <c r="AK619" i="3"/>
  <c r="AA225" i="3"/>
  <c r="AL225" i="3" s="1"/>
  <c r="AK225" i="3"/>
  <c r="AA412" i="3"/>
  <c r="AK412" i="3"/>
  <c r="AA632" i="3"/>
  <c r="AL632" i="3" s="1"/>
  <c r="AK632" i="3"/>
  <c r="AA488" i="3"/>
  <c r="AL488" i="3" s="1"/>
  <c r="AK488" i="3"/>
  <c r="AA267" i="3"/>
  <c r="AK267" i="3"/>
  <c r="AA147" i="3"/>
  <c r="AK147" i="3"/>
  <c r="AA9" i="3"/>
  <c r="AL9" i="3" s="1"/>
  <c r="AK9" i="3"/>
  <c r="AA535" i="3"/>
  <c r="AK535" i="3"/>
  <c r="AA432" i="3"/>
  <c r="AK432" i="3"/>
  <c r="AA165" i="3"/>
  <c r="AK165" i="3"/>
  <c r="AA543" i="3"/>
  <c r="AL543" i="3" s="1"/>
  <c r="AK543" i="3"/>
  <c r="AA26" i="3"/>
  <c r="AK26" i="3"/>
  <c r="AA161" i="3"/>
  <c r="AK161" i="3"/>
  <c r="AA347" i="3"/>
  <c r="AK347" i="3"/>
  <c r="AA390" i="3"/>
  <c r="AL390" i="3" s="1"/>
  <c r="AK390" i="3"/>
  <c r="AA259" i="3"/>
  <c r="AK259" i="3"/>
  <c r="AA115" i="3"/>
  <c r="AK115" i="3"/>
  <c r="AA41" i="3"/>
  <c r="AL41" i="3" s="1"/>
  <c r="AK41" i="3"/>
  <c r="AA479" i="3"/>
  <c r="AL479" i="3" s="1"/>
  <c r="AK479" i="3"/>
  <c r="AA185" i="3"/>
  <c r="AL185" i="3" s="1"/>
  <c r="AK185" i="3"/>
  <c r="AA63" i="3"/>
  <c r="AK63" i="3"/>
  <c r="AA386" i="3"/>
  <c r="AL386" i="3" s="1"/>
  <c r="AK386" i="3"/>
  <c r="AA353" i="3"/>
  <c r="AK353" i="3"/>
  <c r="AA299" i="3"/>
  <c r="AK299" i="3"/>
  <c r="AA241" i="3"/>
  <c r="AK241" i="3"/>
  <c r="AA376" i="3"/>
  <c r="AL376" i="3" s="1"/>
  <c r="AK376" i="3"/>
  <c r="AA221" i="3"/>
  <c r="AK221" i="3"/>
  <c r="AA571" i="3"/>
  <c r="AL571" i="3" s="1"/>
  <c r="AK571" i="3"/>
  <c r="AL618" i="3"/>
  <c r="AL362" i="3"/>
  <c r="AL347" i="3"/>
  <c r="AL167" i="3"/>
  <c r="AL65" i="3"/>
  <c r="AL263" i="3"/>
  <c r="AL135" i="3"/>
  <c r="AL55" i="3"/>
  <c r="AL215" i="3"/>
  <c r="AL67" i="3"/>
  <c r="AL16" i="3"/>
  <c r="AL344" i="3"/>
  <c r="AL60" i="3"/>
  <c r="AL615" i="3"/>
  <c r="AL125" i="3"/>
  <c r="AL256" i="3"/>
  <c r="AL128" i="3"/>
  <c r="AL559" i="3"/>
  <c r="AL188" i="3"/>
  <c r="AL589" i="3"/>
  <c r="AL525" i="3"/>
  <c r="AL461" i="3"/>
  <c r="AL13" i="3"/>
  <c r="AL57" i="3"/>
  <c r="AL232" i="3"/>
  <c r="AL245" i="3"/>
  <c r="AL451" i="3"/>
  <c r="AL184" i="3"/>
  <c r="AL388" i="3"/>
  <c r="AL487" i="3"/>
  <c r="AL379" i="3"/>
  <c r="AL85" i="3"/>
  <c r="AL137" i="3"/>
  <c r="AL597" i="3"/>
  <c r="AL533" i="3"/>
  <c r="AL469" i="3"/>
  <c r="AL373" i="3"/>
  <c r="AL213" i="3"/>
  <c r="AL289" i="3"/>
  <c r="AL161" i="3"/>
  <c r="AL439" i="3"/>
  <c r="AJ44" i="3"/>
  <c r="AL217" i="3"/>
  <c r="AL316" i="3"/>
  <c r="AL39" i="3"/>
  <c r="AL631" i="3"/>
  <c r="AL527" i="3"/>
  <c r="AL340" i="3"/>
  <c r="AL292" i="3"/>
  <c r="AJ428" i="3"/>
  <c r="AL180" i="3"/>
  <c r="AH329" i="3"/>
  <c r="AI329" i="3" s="1"/>
  <c r="AL329" i="3" s="1"/>
  <c r="AH284" i="3"/>
  <c r="AI284" i="3" s="1"/>
  <c r="AL284" i="3" s="1"/>
  <c r="AH131" i="3"/>
  <c r="AI131" i="3" s="1"/>
  <c r="AL131" i="3" s="1"/>
  <c r="AH338" i="3"/>
  <c r="AI338" i="3" s="1"/>
  <c r="AL338" i="3" s="1"/>
  <c r="AH296" i="3"/>
  <c r="AI296" i="3" s="1"/>
  <c r="AL296" i="3" s="1"/>
  <c r="AH465" i="3"/>
  <c r="AI465" i="3" s="1"/>
  <c r="AL465" i="3" s="1"/>
  <c r="AH542" i="3"/>
  <c r="AI542" i="3" s="1"/>
  <c r="AL542" i="3" s="1"/>
  <c r="AH142" i="3"/>
  <c r="AI142" i="3" s="1"/>
  <c r="AL142" i="3" s="1"/>
  <c r="AH518" i="3"/>
  <c r="AI518" i="3" s="1"/>
  <c r="AL518" i="3" s="1"/>
  <c r="AH92" i="3"/>
  <c r="AI92" i="3" s="1"/>
  <c r="AL92" i="3" s="1"/>
  <c r="AH291" i="3"/>
  <c r="AI291" i="3" s="1"/>
  <c r="AL291" i="3" s="1"/>
  <c r="AH624" i="3"/>
  <c r="AI624" i="3" s="1"/>
  <c r="AL624" i="3" s="1"/>
  <c r="AH486" i="3"/>
  <c r="AI486" i="3" s="1"/>
  <c r="AL486" i="3" s="1"/>
  <c r="AH99" i="3"/>
  <c r="AI99" i="3" s="1"/>
  <c r="AL99" i="3" s="1"/>
  <c r="AH109" i="3"/>
  <c r="AI109" i="3" s="1"/>
  <c r="AL109" i="3" s="1"/>
  <c r="AH208" i="3"/>
  <c r="AI208" i="3" s="1"/>
  <c r="AL208" i="3" s="1"/>
  <c r="AH359" i="3"/>
  <c r="AI359" i="3" s="1"/>
  <c r="AL359" i="3" s="1"/>
  <c r="AH356" i="3"/>
  <c r="AI356" i="3" s="1"/>
  <c r="AL356" i="3" s="1"/>
  <c r="AH385" i="3"/>
  <c r="AI385" i="3" s="1"/>
  <c r="AL385" i="3" s="1"/>
  <c r="AH40" i="3"/>
  <c r="AI40" i="3" s="1"/>
  <c r="AL40" i="3" s="1"/>
  <c r="AH113" i="3"/>
  <c r="AI113" i="3" s="1"/>
  <c r="AL113" i="3" s="1"/>
  <c r="AH460" i="3"/>
  <c r="AI460" i="3" s="1"/>
  <c r="AL460" i="3" s="1"/>
  <c r="AH599" i="3"/>
  <c r="AI599" i="3" s="1"/>
  <c r="AL599" i="3" s="1"/>
  <c r="AH211" i="3"/>
  <c r="AI211" i="3" s="1"/>
  <c r="AL211" i="3" s="1"/>
  <c r="AH348" i="3"/>
  <c r="AI348" i="3" s="1"/>
  <c r="AL348" i="3" s="1"/>
  <c r="AH420" i="3"/>
  <c r="AI420" i="3" s="1"/>
  <c r="AL420" i="3" s="1"/>
  <c r="AH229" i="3"/>
  <c r="AI229" i="3" s="1"/>
  <c r="AL229" i="3" s="1"/>
  <c r="AH323" i="3"/>
  <c r="AI323" i="3" s="1"/>
  <c r="AL323" i="3" s="1"/>
  <c r="AH593" i="3"/>
  <c r="AI593" i="3" s="1"/>
  <c r="AL593" i="3" s="1"/>
  <c r="AH371" i="3"/>
  <c r="AI371" i="3" s="1"/>
  <c r="AL371" i="3" s="1"/>
  <c r="AH588" i="3"/>
  <c r="AI588" i="3" s="1"/>
  <c r="AL588" i="3" s="1"/>
  <c r="AJ444" i="3"/>
  <c r="AH529" i="3"/>
  <c r="AI529" i="3" s="1"/>
  <c r="AL529" i="3" s="1"/>
  <c r="AH412" i="3"/>
  <c r="AI412" i="3" s="1"/>
  <c r="AH499" i="3"/>
  <c r="AI499" i="3" s="1"/>
  <c r="AL499" i="3" s="1"/>
  <c r="AH590" i="3"/>
  <c r="AI590" i="3" s="1"/>
  <c r="AL590" i="3" s="1"/>
  <c r="AH18" i="3"/>
  <c r="AI18" i="3" s="1"/>
  <c r="AL18" i="3" s="1"/>
  <c r="AH585" i="3"/>
  <c r="AI585" i="3" s="1"/>
  <c r="AL585" i="3" s="1"/>
  <c r="AH294" i="3"/>
  <c r="AI294" i="3" s="1"/>
  <c r="AL294" i="3" s="1"/>
  <c r="AH38" i="3"/>
  <c r="AI38" i="3" s="1"/>
  <c r="AL38" i="3" s="1"/>
  <c r="AH47" i="3"/>
  <c r="AI47" i="3" s="1"/>
  <c r="AL47" i="3" s="1"/>
  <c r="AH133" i="3"/>
  <c r="AI133" i="3" s="1"/>
  <c r="AL133" i="3" s="1"/>
  <c r="AH303" i="3"/>
  <c r="AI303" i="3" s="1"/>
  <c r="AL303" i="3" s="1"/>
  <c r="AH424" i="3"/>
  <c r="AI424" i="3" s="1"/>
  <c r="AL424" i="3" s="1"/>
  <c r="AH421" i="3"/>
  <c r="AI421" i="3" s="1"/>
  <c r="AL421" i="3" s="1"/>
  <c r="AH293" i="3"/>
  <c r="AI293" i="3" s="1"/>
  <c r="AL293" i="3" s="1"/>
  <c r="AH248" i="3"/>
  <c r="AI248" i="3" s="1"/>
  <c r="AL248" i="3" s="1"/>
  <c r="AH403" i="3"/>
  <c r="AI403" i="3" s="1"/>
  <c r="AL403" i="3" s="1"/>
  <c r="AH462" i="3"/>
  <c r="AI462" i="3" s="1"/>
  <c r="AL462" i="3" s="1"/>
  <c r="AH25" i="3"/>
  <c r="AI25" i="3" s="1"/>
  <c r="AL25" i="3" s="1"/>
  <c r="AH198" i="3"/>
  <c r="AI198" i="3" s="1"/>
  <c r="AL198" i="3" s="1"/>
  <c r="AH156" i="3"/>
  <c r="AI156" i="3" s="1"/>
  <c r="AL156" i="3" s="1"/>
  <c r="AH17" i="3"/>
  <c r="AI17" i="3" s="1"/>
  <c r="AL17" i="3" s="1"/>
  <c r="AH37" i="3"/>
  <c r="AI37" i="3" s="1"/>
  <c r="AL37" i="3" s="1"/>
  <c r="AH574" i="3"/>
  <c r="AI574" i="3" s="1"/>
  <c r="AL574" i="3" s="1"/>
  <c r="AH154" i="3"/>
  <c r="AI154" i="3" s="1"/>
  <c r="AL154" i="3" s="1"/>
  <c r="AH617" i="3"/>
  <c r="AI617" i="3" s="1"/>
  <c r="AL617" i="3" s="1"/>
  <c r="AH516" i="3"/>
  <c r="AI516" i="3" s="1"/>
  <c r="AL516" i="3" s="1"/>
  <c r="AH507" i="3"/>
  <c r="AI507" i="3" s="1"/>
  <c r="AL507" i="3" s="1"/>
  <c r="AH545" i="3"/>
  <c r="AI545" i="3" s="1"/>
  <c r="AL545" i="3" s="1"/>
  <c r="AH177" i="3"/>
  <c r="AI177" i="3" s="1"/>
  <c r="AL177" i="3" s="1"/>
  <c r="AH107" i="3"/>
  <c r="AI107" i="3" s="1"/>
  <c r="AL107" i="3" s="1"/>
  <c r="AH492" i="3"/>
  <c r="AI492" i="3" s="1"/>
  <c r="AL492" i="3" s="1"/>
  <c r="AH210" i="3"/>
  <c r="AI210" i="3" s="1"/>
  <c r="AL210" i="3" s="1"/>
  <c r="AH526" i="3"/>
  <c r="AI526" i="3" s="1"/>
  <c r="AL526" i="3" s="1"/>
  <c r="AH230" i="3"/>
  <c r="AI230" i="3" s="1"/>
  <c r="AL230" i="3" s="1"/>
  <c r="AH490" i="3"/>
  <c r="AI490" i="3" s="1"/>
  <c r="AL490" i="3" s="1"/>
  <c r="AH195" i="3"/>
  <c r="AI195" i="3" s="1"/>
  <c r="AL195" i="3" s="1"/>
  <c r="AH31" i="3"/>
  <c r="AI31" i="3" s="1"/>
  <c r="AL31" i="3" s="1"/>
  <c r="AH409" i="3"/>
  <c r="AI409" i="3" s="1"/>
  <c r="AL409" i="3" s="1"/>
  <c r="AH364" i="3"/>
  <c r="AI364" i="3" s="1"/>
  <c r="AL364" i="3" s="1"/>
  <c r="AH237" i="3"/>
  <c r="AI237" i="3" s="1"/>
  <c r="AL237" i="3" s="1"/>
  <c r="AH304" i="3"/>
  <c r="AI304" i="3" s="1"/>
  <c r="AL304" i="3" s="1"/>
  <c r="AH152" i="3"/>
  <c r="AI152" i="3" s="1"/>
  <c r="AL152" i="3" s="1"/>
  <c r="AH391" i="3"/>
  <c r="AI391" i="3" s="1"/>
  <c r="AL391" i="3" s="1"/>
  <c r="AH317" i="3"/>
  <c r="AI317" i="3" s="1"/>
  <c r="AL317" i="3" s="1"/>
  <c r="AH171" i="3"/>
  <c r="AI171" i="3" s="1"/>
  <c r="AL171" i="3" s="1"/>
  <c r="AH43" i="3"/>
  <c r="AI43" i="3" s="1"/>
  <c r="AL43" i="3" s="1"/>
  <c r="AH299" i="3"/>
  <c r="AI299" i="3" s="1"/>
  <c r="AL299" i="3" s="1"/>
  <c r="AH401" i="3"/>
  <c r="AI401" i="3" s="1"/>
  <c r="AL401" i="3" s="1"/>
  <c r="AH556" i="3"/>
  <c r="AI556" i="3" s="1"/>
  <c r="AL556" i="3" s="1"/>
  <c r="AH478" i="3"/>
  <c r="AI478" i="3" s="1"/>
  <c r="AL478" i="3" s="1"/>
  <c r="AH530" i="3"/>
  <c r="AI530" i="3" s="1"/>
  <c r="AL530" i="3" s="1"/>
  <c r="AH250" i="3"/>
  <c r="AI250" i="3" s="1"/>
  <c r="AL250" i="3" s="1"/>
  <c r="AH48" i="3"/>
  <c r="AI48" i="3" s="1"/>
  <c r="AL48" i="3" s="1"/>
  <c r="AH532" i="3"/>
  <c r="AI532" i="3" s="1"/>
  <c r="AL532" i="3" s="1"/>
  <c r="AH80" i="3"/>
  <c r="AI80" i="3" s="1"/>
  <c r="AL80" i="3" s="1"/>
  <c r="AH172" i="3"/>
  <c r="AI172" i="3" s="1"/>
  <c r="AL172" i="3" s="1"/>
  <c r="AH108" i="3"/>
  <c r="AI108" i="3" s="1"/>
  <c r="AL108" i="3" s="1"/>
  <c r="AH104" i="3"/>
  <c r="AI104" i="3" s="1"/>
  <c r="AL104" i="3" s="1"/>
  <c r="AH505" i="3"/>
  <c r="AI505" i="3" s="1"/>
  <c r="AL505" i="3" s="1"/>
  <c r="AH519" i="3"/>
  <c r="AI519" i="3" s="1"/>
  <c r="AL519" i="3" s="1"/>
  <c r="AH66" i="3"/>
  <c r="AI66" i="3" s="1"/>
  <c r="AL66" i="3" s="1"/>
  <c r="AH609" i="3"/>
  <c r="AI609" i="3" s="1"/>
  <c r="AL609" i="3" s="1"/>
  <c r="AH481" i="3"/>
  <c r="AI481" i="3" s="1"/>
  <c r="AL481" i="3" s="1"/>
  <c r="AH26" i="3"/>
  <c r="AI26" i="3" s="1"/>
  <c r="AL26" i="3" s="1"/>
  <c r="AH187" i="3"/>
  <c r="AI187" i="3" s="1"/>
  <c r="AL187" i="3" s="1"/>
  <c r="AH239" i="3"/>
  <c r="AI239" i="3" s="1"/>
  <c r="AL239" i="3" s="1"/>
  <c r="AH345" i="3"/>
  <c r="AI345" i="3" s="1"/>
  <c r="AL345" i="3" s="1"/>
  <c r="AH179" i="3"/>
  <c r="AI179" i="3" s="1"/>
  <c r="AL179" i="3" s="1"/>
  <c r="AH19" i="3"/>
  <c r="AI19" i="3" s="1"/>
  <c r="AL19" i="3" s="1"/>
  <c r="AH547" i="3"/>
  <c r="AI547" i="3" s="1"/>
  <c r="AL547" i="3" s="1"/>
  <c r="AH452" i="3"/>
  <c r="AI452" i="3" s="1"/>
  <c r="AL452" i="3" s="1"/>
  <c r="AH144" i="3"/>
  <c r="AI144" i="3" s="1"/>
  <c r="AL144" i="3" s="1"/>
  <c r="AH432" i="3"/>
  <c r="AI432" i="3" s="1"/>
  <c r="AL432" i="3" s="1"/>
  <c r="AH73" i="3"/>
  <c r="AI73" i="3" s="1"/>
  <c r="AL73" i="3" s="1"/>
  <c r="AH569" i="3"/>
  <c r="AI569" i="3" s="1"/>
  <c r="AL569" i="3" s="1"/>
  <c r="AH337" i="3"/>
  <c r="AI337" i="3" s="1"/>
  <c r="AL337" i="3" s="1"/>
  <c r="AH315" i="3"/>
  <c r="AI315" i="3" s="1"/>
  <c r="AL315" i="3" s="1"/>
  <c r="AH81" i="3"/>
  <c r="AI81" i="3" s="1"/>
  <c r="AL81" i="3" s="1"/>
  <c r="AH123" i="3"/>
  <c r="AI123" i="3" s="1"/>
  <c r="AL123" i="3" s="1"/>
  <c r="AH558" i="3"/>
  <c r="AI558" i="3" s="1"/>
  <c r="AL558" i="3" s="1"/>
  <c r="AH318" i="3"/>
  <c r="AI318" i="3" s="1"/>
  <c r="AL318" i="3" s="1"/>
  <c r="AH258" i="3"/>
  <c r="AI258" i="3" s="1"/>
  <c r="AL258" i="3" s="1"/>
  <c r="AH194" i="3"/>
  <c r="AI194" i="3" s="1"/>
  <c r="AL194" i="3" s="1"/>
  <c r="AH2" i="3"/>
  <c r="AI2" i="3" s="1"/>
  <c r="AL2" i="3" s="1"/>
  <c r="AH175" i="3"/>
  <c r="AI175" i="3" s="1"/>
  <c r="AL175" i="3" s="1"/>
  <c r="AH349" i="3"/>
  <c r="AI349" i="3" s="1"/>
  <c r="AL349" i="3" s="1"/>
  <c r="AH628" i="3"/>
  <c r="AI628" i="3" s="1"/>
  <c r="AL628" i="3" s="1"/>
  <c r="AH59" i="3"/>
  <c r="AI59" i="3" s="1"/>
  <c r="AL59" i="3" s="1"/>
  <c r="AH221" i="3"/>
  <c r="AI221" i="3" s="1"/>
  <c r="AL221" i="3" s="1"/>
  <c r="AH367" i="3"/>
  <c r="AI367" i="3" s="1"/>
  <c r="AL367" i="3" s="1"/>
  <c r="AH560" i="3"/>
  <c r="AI560" i="3" s="1"/>
  <c r="AL560" i="3" s="1"/>
  <c r="AH441" i="3"/>
  <c r="AI441" i="3" s="1"/>
  <c r="AL441" i="3" s="1"/>
  <c r="AH353" i="3"/>
  <c r="AI353" i="3" s="1"/>
  <c r="AL353" i="3" s="1"/>
  <c r="AH475" i="3"/>
  <c r="AI475" i="3" s="1"/>
  <c r="AL475" i="3" s="1"/>
  <c r="AH561" i="3"/>
  <c r="AI561" i="3" s="1"/>
  <c r="AL561" i="3" s="1"/>
  <c r="AH413" i="3"/>
  <c r="AI413" i="3" s="1"/>
  <c r="AL413" i="3" s="1"/>
  <c r="AH524" i="3"/>
  <c r="AI524" i="3" s="1"/>
  <c r="AL524" i="3" s="1"/>
  <c r="AJ567" i="3"/>
  <c r="AH290" i="3"/>
  <c r="AI290" i="3" s="1"/>
  <c r="AL290" i="3" s="1"/>
  <c r="AH111" i="3"/>
  <c r="AI111" i="3" s="1"/>
  <c r="AL111" i="3" s="1"/>
  <c r="AH612" i="3"/>
  <c r="AI612" i="3" s="1"/>
  <c r="AL612" i="3" s="1"/>
  <c r="AH205" i="3"/>
  <c r="AI205" i="3" s="1"/>
  <c r="AL205" i="3" s="1"/>
  <c r="AH112" i="3"/>
  <c r="AI112" i="3" s="1"/>
  <c r="AL112" i="3" s="1"/>
  <c r="AH544" i="3"/>
  <c r="AI544" i="3" s="1"/>
  <c r="AL544" i="3" s="1"/>
  <c r="AH216" i="3"/>
  <c r="AI216" i="3" s="1"/>
  <c r="AL216" i="3" s="1"/>
  <c r="AH120" i="3"/>
  <c r="AI120" i="3" s="1"/>
  <c r="AL120" i="3" s="1"/>
  <c r="AH241" i="3"/>
  <c r="AI241" i="3" s="1"/>
  <c r="AL241" i="3" s="1"/>
  <c r="AH494" i="3"/>
  <c r="AI494" i="3" s="1"/>
  <c r="AL494" i="3" s="1"/>
  <c r="AH44" i="3"/>
  <c r="AI44" i="3" s="1"/>
  <c r="AH266" i="3"/>
  <c r="AI266" i="3" s="1"/>
  <c r="AL266" i="3" s="1"/>
  <c r="AH122" i="3"/>
  <c r="AI122" i="3" s="1"/>
  <c r="AL122" i="3" s="1"/>
  <c r="AH506" i="3"/>
  <c r="AI506" i="3" s="1"/>
  <c r="AL506" i="3" s="1"/>
  <c r="AH255" i="3"/>
  <c r="AI255" i="3" s="1"/>
  <c r="AL255" i="3" s="1"/>
  <c r="AH127" i="3"/>
  <c r="AI127" i="3" s="1"/>
  <c r="AL127" i="3" s="1"/>
  <c r="AH6" i="3"/>
  <c r="AI6" i="3" s="1"/>
  <c r="AL6" i="3" s="1"/>
  <c r="AH147" i="3"/>
  <c r="AI147" i="3" s="1"/>
  <c r="AL147" i="3" s="1"/>
  <c r="AH63" i="3"/>
  <c r="AI63" i="3" s="1"/>
  <c r="AL63" i="3" s="1"/>
  <c r="AH339" i="3"/>
  <c r="AI339" i="3" s="1"/>
  <c r="AL339" i="3" s="1"/>
  <c r="AH331" i="3"/>
  <c r="AI331" i="3" s="1"/>
  <c r="AL331" i="3" s="1"/>
  <c r="AH596" i="3"/>
  <c r="AI596" i="3" s="1"/>
  <c r="AL596" i="3" s="1"/>
  <c r="AH101" i="3"/>
  <c r="AI101" i="3" s="1"/>
  <c r="AL101" i="3" s="1"/>
  <c r="AH168" i="3"/>
  <c r="AI168" i="3" s="1"/>
  <c r="AL168" i="3" s="1"/>
  <c r="AH35" i="3"/>
  <c r="AI35" i="3" s="1"/>
  <c r="AL35" i="3" s="1"/>
  <c r="AH145" i="3"/>
  <c r="AI145" i="3" s="1"/>
  <c r="AL145" i="3" s="1"/>
  <c r="AH535" i="3"/>
  <c r="AI535" i="3" s="1"/>
  <c r="AL535" i="3" s="1"/>
  <c r="AH583" i="3"/>
  <c r="AI583" i="3" s="1"/>
  <c r="AL583" i="3" s="1"/>
  <c r="AH455" i="3"/>
  <c r="AI455" i="3" s="1"/>
  <c r="AL455" i="3" s="1"/>
  <c r="AH249" i="3"/>
  <c r="AI249" i="3" s="1"/>
  <c r="AL249" i="3" s="1"/>
  <c r="AH139" i="3"/>
  <c r="AI139" i="3" s="1"/>
  <c r="AL139" i="3" s="1"/>
  <c r="AH508" i="3"/>
  <c r="AI508" i="3" s="1"/>
  <c r="AL508" i="3" s="1"/>
  <c r="AH116" i="3"/>
  <c r="AI116" i="3" s="1"/>
  <c r="AL116" i="3" s="1"/>
  <c r="AH162" i="3"/>
  <c r="AI162" i="3" s="1"/>
  <c r="AL162" i="3" s="1"/>
  <c r="AH186" i="3"/>
  <c r="AI186" i="3" s="1"/>
  <c r="AL186" i="3" s="1"/>
  <c r="AH262" i="3"/>
  <c r="AI262" i="3" s="1"/>
  <c r="AL262" i="3" s="1"/>
  <c r="AH365" i="3"/>
  <c r="AI365" i="3" s="1"/>
  <c r="AL365" i="3" s="1"/>
  <c r="AH75" i="3"/>
  <c r="AI75" i="3" s="1"/>
  <c r="AL75" i="3" s="1"/>
  <c r="AH625" i="3"/>
  <c r="AI625" i="3" s="1"/>
  <c r="AL625" i="3" s="1"/>
  <c r="AH580" i="3"/>
  <c r="AI580" i="3" s="1"/>
  <c r="AL580" i="3" s="1"/>
  <c r="AH336" i="3"/>
  <c r="AI336" i="3" s="1"/>
  <c r="AL336" i="3" s="1"/>
  <c r="AH176" i="3"/>
  <c r="AI176" i="3" s="1"/>
  <c r="AL176" i="3" s="1"/>
  <c r="AH236" i="3"/>
  <c r="AI236" i="3" s="1"/>
  <c r="AL236" i="3" s="1"/>
  <c r="AH521" i="3"/>
  <c r="AI521" i="3" s="1"/>
  <c r="AL521" i="3" s="1"/>
  <c r="AH319" i="3"/>
  <c r="AI319" i="3" s="1"/>
  <c r="AL319" i="3" s="1"/>
  <c r="AH136" i="3"/>
  <c r="AI136" i="3" s="1"/>
  <c r="AL136" i="3" s="1"/>
  <c r="AH484" i="3"/>
  <c r="AI484" i="3" s="1"/>
  <c r="AL484" i="3" s="1"/>
  <c r="AH201" i="3"/>
  <c r="AI201" i="3" s="1"/>
  <c r="AL201" i="3" s="1"/>
  <c r="AH433" i="3"/>
  <c r="AI433" i="3" s="1"/>
  <c r="AL433" i="3" s="1"/>
  <c r="AH333" i="3"/>
  <c r="AI333" i="3" s="1"/>
  <c r="AL333" i="3" s="1"/>
  <c r="AH399" i="3"/>
  <c r="AI399" i="3" s="1"/>
  <c r="AL399" i="3" s="1"/>
  <c r="AH11" i="3"/>
  <c r="AI11" i="3" s="1"/>
  <c r="AL11" i="3" s="1"/>
  <c r="AH562" i="3"/>
  <c r="AI562" i="3" s="1"/>
  <c r="AL562" i="3" s="1"/>
  <c r="AH82" i="3"/>
  <c r="AI82" i="3" s="1"/>
  <c r="AL82" i="3" s="1"/>
  <c r="AH606" i="3"/>
  <c r="AI606" i="3" s="1"/>
  <c r="AL606" i="3" s="1"/>
  <c r="AH102" i="3"/>
  <c r="AI102" i="3" s="1"/>
  <c r="AL102" i="3" s="1"/>
  <c r="AH442" i="3"/>
  <c r="AI442" i="3" s="1"/>
  <c r="AL442" i="3" s="1"/>
  <c r="AH267" i="3"/>
  <c r="AI267" i="3" s="1"/>
  <c r="AL267" i="3" s="1"/>
  <c r="AH191" i="3"/>
  <c r="AI191" i="3" s="1"/>
  <c r="AL191" i="3" s="1"/>
  <c r="AH361" i="3"/>
  <c r="AI361" i="3" s="1"/>
  <c r="AL361" i="3" s="1"/>
  <c r="AH259" i="3"/>
  <c r="AI259" i="3" s="1"/>
  <c r="AL259" i="3" s="1"/>
  <c r="AH419" i="3"/>
  <c r="AI419" i="3" s="1"/>
  <c r="AL419" i="3" s="1"/>
  <c r="AH425" i="3"/>
  <c r="AI425" i="3" s="1"/>
  <c r="AL425" i="3" s="1"/>
  <c r="AH512" i="3"/>
  <c r="AI512" i="3" s="1"/>
  <c r="AL512" i="3" s="1"/>
  <c r="AH220" i="3"/>
  <c r="AI220" i="3" s="1"/>
  <c r="AL220" i="3" s="1"/>
  <c r="AH197" i="3"/>
  <c r="AI197" i="3" s="1"/>
  <c r="AL197" i="3" s="1"/>
  <c r="AH497" i="3"/>
  <c r="AI497" i="3" s="1"/>
  <c r="AL497" i="3" s="1"/>
  <c r="AH435" i="3"/>
  <c r="AI435" i="3" s="1"/>
  <c r="AL435" i="3" s="1"/>
  <c r="AH355" i="3"/>
  <c r="AI355" i="3" s="1"/>
  <c r="AL355" i="3" s="1"/>
  <c r="AH203" i="3"/>
  <c r="AI203" i="3" s="1"/>
  <c r="AL203" i="3" s="1"/>
  <c r="AH528" i="3"/>
  <c r="AI528" i="3" s="1"/>
  <c r="AL528" i="3" s="1"/>
  <c r="AH326" i="3"/>
  <c r="AI326" i="3" s="1"/>
  <c r="AL326" i="3" s="1"/>
  <c r="AH155" i="3"/>
  <c r="AI155" i="3" s="1"/>
  <c r="AL155" i="3" s="1"/>
  <c r="AH58" i="3"/>
  <c r="AI58" i="3" s="1"/>
  <c r="AL58" i="3" s="1"/>
  <c r="AH271" i="3"/>
  <c r="AI271" i="3" s="1"/>
  <c r="AL271" i="3" s="1"/>
  <c r="AH189" i="3"/>
  <c r="AI189" i="3" s="1"/>
  <c r="AL189" i="3" s="1"/>
  <c r="AH400" i="3"/>
  <c r="AI400" i="3" s="1"/>
  <c r="AL400" i="3" s="1"/>
  <c r="AH272" i="3"/>
  <c r="AI272" i="3" s="1"/>
  <c r="AL272" i="3" s="1"/>
  <c r="AH608" i="3"/>
  <c r="AI608" i="3" s="1"/>
  <c r="AL608" i="3" s="1"/>
  <c r="AH480" i="3"/>
  <c r="AI480" i="3" s="1"/>
  <c r="AL480" i="3" s="1"/>
  <c r="AH587" i="3"/>
  <c r="AI587" i="3" s="1"/>
  <c r="AL587" i="3" s="1"/>
  <c r="AH88" i="3"/>
  <c r="AI88" i="3" s="1"/>
  <c r="AL88" i="3" s="1"/>
  <c r="AH313" i="3"/>
  <c r="AI313" i="3" s="1"/>
  <c r="AL313" i="3" s="1"/>
  <c r="AH305" i="3"/>
  <c r="AI305" i="3" s="1"/>
  <c r="AL305" i="3" s="1"/>
  <c r="AH428" i="3"/>
  <c r="AI428" i="3" s="1"/>
  <c r="AL428" i="3" s="1"/>
  <c r="AH227" i="3"/>
  <c r="AI227" i="3" s="1"/>
  <c r="AL227" i="3" s="1"/>
  <c r="AH28" i="3"/>
  <c r="AI28" i="3" s="1"/>
  <c r="AL28" i="3" s="1"/>
  <c r="AH384" i="3"/>
  <c r="AI384" i="3" s="1"/>
  <c r="AL384" i="3" s="1"/>
  <c r="AH280" i="3"/>
  <c r="AI280" i="3" s="1"/>
  <c r="AL280" i="3" s="1"/>
  <c r="AH24" i="3"/>
  <c r="AI24" i="3" s="1"/>
  <c r="AL24" i="3" s="1"/>
  <c r="AH577" i="3"/>
  <c r="AI577" i="3" s="1"/>
  <c r="AL577" i="3" s="1"/>
  <c r="AH513" i="3"/>
  <c r="AI513" i="3" s="1"/>
  <c r="AL513" i="3" s="1"/>
  <c r="AH449" i="3"/>
  <c r="AI449" i="3" s="1"/>
  <c r="AL449" i="3" s="1"/>
  <c r="AH91" i="3"/>
  <c r="AI91" i="3" s="1"/>
  <c r="AL91" i="3" s="1"/>
  <c r="AH620" i="3"/>
  <c r="AI620" i="3" s="1"/>
  <c r="AL620" i="3" s="1"/>
  <c r="AH458" i="3"/>
  <c r="AI458" i="3" s="1"/>
  <c r="AL458" i="3" s="1"/>
  <c r="AH454" i="3"/>
  <c r="AI454" i="3" s="1"/>
  <c r="AL454" i="3" s="1"/>
  <c r="AH115" i="3"/>
  <c r="AI115" i="3" s="1"/>
  <c r="AL115" i="3" s="1"/>
  <c r="AH49" i="3"/>
  <c r="AI49" i="3" s="1"/>
  <c r="AL49" i="3" s="1"/>
  <c r="AH70" i="3"/>
  <c r="AI70" i="3" s="1"/>
  <c r="AL70" i="3" s="1"/>
  <c r="AH436" i="3"/>
  <c r="AI436" i="3" s="1"/>
  <c r="AL436" i="3" s="1"/>
  <c r="AH165" i="3"/>
  <c r="AI165" i="3" s="1"/>
  <c r="AL165" i="3" s="1"/>
  <c r="AH369" i="3"/>
  <c r="AI369" i="3" s="1"/>
  <c r="AL369" i="3" s="1"/>
  <c r="AH307" i="3"/>
  <c r="AI307" i="3" s="1"/>
  <c r="AL307" i="3" s="1"/>
  <c r="AH3" i="3"/>
  <c r="AI3" i="3" s="1"/>
  <c r="AL3" i="3" s="1"/>
  <c r="AH551" i="3"/>
  <c r="AI551" i="3" s="1"/>
  <c r="AL551" i="3" s="1"/>
  <c r="AH138" i="3"/>
  <c r="AI138" i="3" s="1"/>
  <c r="AL138" i="3" s="1"/>
  <c r="AH166" i="3"/>
  <c r="AI166" i="3" s="1"/>
  <c r="AL166" i="3" s="1"/>
  <c r="AH282" i="3"/>
  <c r="AI282" i="3" s="1"/>
  <c r="AL282" i="3" s="1"/>
  <c r="AH79" i="3"/>
  <c r="AI79" i="3" s="1"/>
  <c r="AL79" i="3" s="1"/>
  <c r="AH27" i="3"/>
  <c r="AI27" i="3" s="1"/>
  <c r="AL27" i="3" s="1"/>
  <c r="AH335" i="3"/>
  <c r="AI335" i="3" s="1"/>
  <c r="AL335" i="3" s="1"/>
  <c r="AH209" i="3"/>
  <c r="AI209" i="3" s="1"/>
  <c r="AL209" i="3" s="1"/>
  <c r="AH601" i="3"/>
  <c r="AI601" i="3" s="1"/>
  <c r="AL601" i="3" s="1"/>
  <c r="AH228" i="3"/>
  <c r="AI228" i="3" s="1"/>
  <c r="AL228" i="3" s="1"/>
  <c r="AH274" i="3"/>
  <c r="AI274" i="3" s="1"/>
  <c r="AL274" i="3" s="1"/>
  <c r="AH510" i="3"/>
  <c r="AI510" i="3" s="1"/>
  <c r="AL510" i="3" s="1"/>
  <c r="AH446" i="3"/>
  <c r="AI446" i="3" s="1"/>
  <c r="AL446" i="3" s="1"/>
  <c r="AH286" i="3"/>
  <c r="AI286" i="3" s="1"/>
  <c r="AL286" i="3" s="1"/>
  <c r="AH158" i="3"/>
  <c r="AI158" i="3" s="1"/>
  <c r="AL158" i="3" s="1"/>
  <c r="AH62" i="3"/>
  <c r="AI62" i="3" s="1"/>
  <c r="AL62" i="3" s="1"/>
  <c r="AH223" i="3"/>
  <c r="AI223" i="3" s="1"/>
  <c r="AL223" i="3" s="1"/>
  <c r="AH235" i="3"/>
  <c r="AI235" i="3" s="1"/>
  <c r="AL235" i="3" s="1"/>
  <c r="AH143" i="3"/>
  <c r="AI143" i="3" s="1"/>
  <c r="AL143" i="3" s="1"/>
  <c r="AH381" i="3"/>
  <c r="AI381" i="3" s="1"/>
  <c r="AL381" i="3" s="1"/>
  <c r="AH69" i="3"/>
  <c r="AI69" i="3" s="1"/>
  <c r="AL69" i="3" s="1"/>
  <c r="AH564" i="3"/>
  <c r="AI564" i="3" s="1"/>
  <c r="AL564" i="3" s="1"/>
  <c r="AH15" i="3"/>
  <c r="AI15" i="3" s="1"/>
  <c r="AL15" i="3" s="1"/>
  <c r="AH448" i="3"/>
  <c r="AI448" i="3" s="1"/>
  <c r="AL448" i="3" s="1"/>
  <c r="AH325" i="3"/>
  <c r="AI325" i="3" s="1"/>
  <c r="AL325" i="3" s="1"/>
  <c r="AH553" i="3"/>
  <c r="AI553" i="3" s="1"/>
  <c r="AL553" i="3" s="1"/>
  <c r="AH489" i="3"/>
  <c r="AI489" i="3" s="1"/>
  <c r="AL489" i="3" s="1"/>
  <c r="AH8" i="3"/>
  <c r="AI8" i="3" s="1"/>
  <c r="AL8" i="3" s="1"/>
  <c r="AH233" i="3"/>
  <c r="AI233" i="3" s="1"/>
  <c r="AL233" i="3" s="1"/>
  <c r="AH5" i="3"/>
  <c r="AI5" i="3" s="1"/>
  <c r="AL5" i="3" s="1"/>
  <c r="AH300" i="3"/>
  <c r="AI300" i="3" s="1"/>
  <c r="AL300" i="3" s="1"/>
  <c r="AH273" i="3"/>
  <c r="AI273" i="3" s="1"/>
  <c r="AL273" i="3" s="1"/>
  <c r="AH387" i="3"/>
  <c r="AI387" i="3" s="1"/>
  <c r="AL387" i="3" s="1"/>
  <c r="AH219" i="3"/>
  <c r="AI219" i="3" s="1"/>
  <c r="AL219" i="3" s="1"/>
  <c r="AH164" i="3"/>
  <c r="AI164" i="3" s="1"/>
  <c r="AL164" i="3" s="1"/>
  <c r="AH240" i="3"/>
  <c r="AI240" i="3" s="1"/>
  <c r="AL240" i="3" s="1"/>
  <c r="AH443" i="3"/>
  <c r="AI443" i="3" s="1"/>
  <c r="AL443" i="3" s="1"/>
  <c r="AH622" i="3"/>
  <c r="AI622" i="3" s="1"/>
  <c r="AL622" i="3" s="1"/>
  <c r="AH207" i="3"/>
  <c r="AI207" i="3" s="1"/>
  <c r="AL207" i="3" s="1"/>
  <c r="AH377" i="3"/>
  <c r="AI377" i="3" s="1"/>
  <c r="AL377" i="3" s="1"/>
  <c r="AH548" i="3"/>
  <c r="AI548" i="3" s="1"/>
  <c r="AL548" i="3" s="1"/>
  <c r="AH537" i="3"/>
  <c r="AI537" i="3" s="1"/>
  <c r="AL537" i="3" s="1"/>
  <c r="AH473" i="3"/>
  <c r="AI473" i="3" s="1"/>
  <c r="AL473" i="3" s="1"/>
  <c r="AH261" i="3"/>
  <c r="AI261" i="3" s="1"/>
  <c r="AL261" i="3" s="1"/>
  <c r="AH467" i="3"/>
  <c r="AI467" i="3" s="1"/>
  <c r="AL467" i="3" s="1"/>
  <c r="AH105" i="3"/>
  <c r="AI105" i="3" s="1"/>
  <c r="AL105" i="3" s="1"/>
  <c r="AH396" i="3"/>
  <c r="AI396" i="3" s="1"/>
  <c r="AL396" i="3" s="1"/>
  <c r="AH283" i="3"/>
  <c r="AI283" i="3" s="1"/>
  <c r="AL283" i="3" s="1"/>
  <c r="AH244" i="3"/>
  <c r="AI244" i="3" s="1"/>
  <c r="AL244" i="3" s="1"/>
  <c r="AH95" i="3"/>
  <c r="AI95" i="3" s="1"/>
  <c r="AL95" i="3" s="1"/>
  <c r="AH93" i="3"/>
  <c r="AI93" i="3" s="1"/>
  <c r="AL93" i="3" s="1"/>
  <c r="AH496" i="3"/>
  <c r="AI496" i="3" s="1"/>
  <c r="AL496" i="3" s="1"/>
  <c r="AH148" i="3"/>
  <c r="AI148" i="3" s="1"/>
  <c r="AL148" i="3" s="1"/>
  <c r="AH190" i="3"/>
  <c r="AI190" i="3" s="1"/>
  <c r="AL190" i="3" s="1"/>
  <c r="AH474" i="3"/>
  <c r="AI474" i="3" s="1"/>
  <c r="AL474" i="3" s="1"/>
  <c r="AH77" i="3"/>
  <c r="AI77" i="3" s="1"/>
  <c r="AL77" i="3" s="1"/>
  <c r="AH592" i="3"/>
  <c r="AI592" i="3" s="1"/>
  <c r="AL592" i="3" s="1"/>
  <c r="AH397" i="3"/>
  <c r="AI397" i="3" s="1"/>
  <c r="AL397" i="3" s="1"/>
  <c r="AH276" i="3"/>
  <c r="AI276" i="3" s="1"/>
  <c r="AL276" i="3" s="1"/>
  <c r="AH10" i="3"/>
  <c r="AI10" i="3" s="1"/>
  <c r="AL10" i="3" s="1"/>
  <c r="AH34" i="3"/>
  <c r="AI34" i="3" s="1"/>
  <c r="AL34" i="3" s="1"/>
  <c r="AH159" i="3"/>
  <c r="AI159" i="3" s="1"/>
  <c r="AL159" i="3" s="1"/>
  <c r="AH576" i="3"/>
  <c r="AI576" i="3" s="1"/>
  <c r="AL576" i="3" s="1"/>
  <c r="AH287" i="3"/>
  <c r="AI287" i="3" s="1"/>
  <c r="AL287" i="3" s="1"/>
  <c r="AH264" i="3"/>
  <c r="AI264" i="3" s="1"/>
  <c r="AL264" i="3" s="1"/>
  <c r="AH20" i="3"/>
  <c r="AI20" i="3" s="1"/>
  <c r="AL20" i="3" s="1"/>
  <c r="AH393" i="3"/>
  <c r="AI393" i="3" s="1"/>
  <c r="AJ393" i="3"/>
  <c r="AH341" i="3"/>
  <c r="AI341" i="3" s="1"/>
  <c r="AL341" i="3" s="1"/>
  <c r="AJ341" i="3"/>
  <c r="AF634" i="3"/>
  <c r="AC634" i="3"/>
  <c r="C16" i="22"/>
  <c r="D16" i="22" s="1"/>
  <c r="AH76" i="3"/>
  <c r="AI76" i="3" s="1"/>
  <c r="AL76" i="3" s="1"/>
  <c r="Z393" i="3"/>
  <c r="Z44" i="3"/>
  <c r="AA44" i="3" l="1"/>
  <c r="AL44" i="3" s="1"/>
  <c r="AK44" i="3"/>
  <c r="AA393" i="3"/>
  <c r="AK393" i="3"/>
  <c r="AL393" i="3"/>
  <c r="AL412" i="3"/>
  <c r="Z634" i="3"/>
  <c r="AA635" i="3" s="1"/>
  <c r="AK634" i="3"/>
  <c r="B17" i="22"/>
  <c r="B18" i="22" s="1"/>
  <c r="AH634" i="3"/>
  <c r="AI635" i="3" s="1"/>
  <c r="C17" i="22"/>
  <c r="C18" i="22" s="1"/>
  <c r="AJ634" i="3"/>
  <c r="AL635" i="3" l="1"/>
  <c r="D17" i="22"/>
  <c r="D18" i="2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<sst xmlns="http://schemas.openxmlformats.org/spreadsheetml/2006/main" count="14195" uniqueCount="1518">
  <si>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</si>
  <si>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</si>
  <si>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</si>
  <si>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</si>
  <si>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</si>
  <si>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</si>
  <si>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</si>
  <si>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</si>
  <si>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</si>
  <si>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</si>
  <si>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</si>
  <si>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</si>
  <si>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</si>
  <si>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</si>
  <si>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</si>
  <si>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</si>
  <si>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</si>
  <si>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</si>
  <si>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</si>
  <si>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</si>
  <si>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</si>
  <si>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</si>
  <si>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</si>
  <si>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</si>
  <si>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</si>
  <si>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</si>
  <si>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</si>
  <si>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</si>
  <si>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</si>
  <si>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</si>
  <si>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</si>
  <si>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</si>
  <si>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</si>
  <si>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</si>
  <si>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</si>
  <si>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</si>
  <si>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</si>
  <si>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</si>
  <si>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</si>
  <si>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</si>
  <si>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</si>
  <si>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</si>
  <si>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</si>
  <si>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</si>
  <si>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</si>
  <si>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</si>
  <si>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</si>
  <si>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</si>
  <si>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</si>
  <si>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</si>
  <si>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</si>
  <si>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</si>
  <si>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</si>
  <si>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</si>
  <si>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</si>
  <si>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</si>
  <si>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</si>
  <si>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</si>
  <si>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</si>
  <si>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</si>
  <si>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</si>
  <si>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</si>
  <si>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</si>
  <si>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</si>
  <si>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</si>
  <si>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</si>
  <si>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</si>
  <si>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</si>
  <si>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</si>
  <si>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</si>
  <si>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</si>
  <si>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</si>
  <si>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</si>
  <si>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</si>
  <si>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</si>
  <si>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</si>
  <si>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</si>
  <si>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</si>
  <si>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</si>
  <si>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</si>
  <si>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</si>
  <si>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</si>
  <si>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</si>
  <si>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</si>
  <si>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</si>
  <si>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</si>
  <si>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</si>
  <si>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</si>
  <si>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</si>
  <si>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</si>
  <si>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</si>
  <si>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</si>
  <si>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</si>
  <si>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</si>
  <si>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</si>
  <si>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</si>
  <si>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</si>
  <si>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</si>
  <si>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</si>
  <si>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</si>
  <si>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</si>
  <si>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</si>
  <si>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</si>
  <si>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</si>
  <si>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</si>
  <si>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</si>
  <si>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</si>
  <si>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</si>
  <si>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</si>
  <si>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</si>
  <si>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</si>
  <si>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</si>
  <si>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</si>
  <si>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</si>
  <si>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</si>
  <si>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</si>
  <si>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</si>
  <si>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</si>
  <si>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</si>
  <si>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</si>
  <si>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</si>
  <si>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</si>
  <si>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</si>
  <si>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</si>
  <si>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</si>
  <si>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</si>
  <si>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</si>
  <si>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</si>
  <si>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</si>
  <si>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</si>
  <si>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</si>
  <si>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</si>
  <si>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</si>
  <si>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</si>
  <si>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</si>
  <si>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</si>
  <si>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</si>
  <si>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</si>
  <si>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</si>
  <si>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</si>
  <si>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</si>
  <si>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</si>
  <si>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</si>
  <si>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</si>
  <si>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</si>
  <si>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</si>
  <si>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</si>
  <si>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</si>
  <si>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</si>
  <si>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</si>
  <si>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</si>
  <si>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</si>
  <si>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</si>
  <si>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</si>
  <si>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</si>
  <si>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</si>
  <si>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</si>
  <si>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</si>
  <si>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</si>
  <si>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</si>
  <si>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</si>
  <si>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</si>
  <si>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</si>
  <si>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</si>
  <si>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</si>
  <si>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</si>
  <si>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</si>
  <si>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</si>
  <si>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</si>
  <si>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</si>
  <si>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</si>
  <si>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</si>
  <si>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</si>
  <si>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</si>
  <si>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</si>
  <si>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</si>
  <si>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</si>
  <si>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</si>
  <si>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</si>
  <si>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</si>
  <si>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</si>
  <si>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</si>
  <si>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</si>
  <si>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</si>
  <si>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</si>
  <si>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</si>
  <si>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</si>
  <si>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</si>
  <si>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</si>
  <si>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</si>
  <si>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</si>
  <si>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</si>
  <si>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</si>
  <si>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</si>
  <si>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</si>
  <si>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</si>
  <si>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</si>
  <si>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</si>
  <si>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</si>
  <si>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</si>
  <si>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</si>
  <si>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</si>
  <si>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</si>
  <si>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</si>
  <si>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</si>
  <si>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</si>
  <si>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</si>
  <si>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</si>
  <si>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</si>
  <si>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</si>
  <si>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</si>
  <si>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</si>
  <si>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</si>
  <si>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</si>
  <si>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</si>
  <si>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</si>
  <si>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</si>
  <si>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</si>
  <si>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</si>
  <si>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</si>
  <si>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</si>
  <si>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</si>
  <si>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</si>
  <si>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</si>
  <si>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</si>
  <si>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</si>
  <si>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</si>
  <si>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</si>
  <si>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</si>
  <si>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</si>
  <si>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</si>
  <si>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</si>
  <si>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</si>
  <si>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</si>
  <si>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</si>
  <si>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</si>
  <si>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</si>
  <si>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</si>
  <si>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</si>
  <si>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</si>
  <si>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</si>
  <si>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</si>
  <si>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</si>
  <si>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</si>
  <si>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</si>
  <si>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</si>
  <si>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</si>
  <si>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</si>
  <si>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</si>
  <si>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</si>
  <si>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</si>
  <si>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</si>
  <si>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</si>
  <si>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</si>
  <si>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</si>
  <si>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</si>
  <si>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</si>
  <si>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</si>
  <si>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</si>
  <si>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</si>
  <si>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</si>
  <si>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</si>
  <si>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</si>
  <si>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</si>
  <si>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</si>
  <si>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</si>
  <si>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</si>
  <si>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</si>
  <si>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</si>
  <si>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</si>
  <si>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</si>
  <si>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</si>
  <si>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</si>
  <si>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</si>
  <si>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</si>
  <si>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</si>
  <si>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</si>
  <si>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</si>
  <si>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</si>
  <si>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</si>
  <si>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</si>
  <si>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</si>
  <si>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</si>
  <si>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</si>
  <si>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</si>
  <si>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</si>
  <si>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</si>
  <si>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</si>
  <si>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</si>
  <si>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</si>
  <si>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</si>
  <si>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</si>
  <si>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</si>
  <si>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</si>
  <si>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</si>
  <si>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</si>
  <si>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</si>
  <si>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</si>
  <si>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</si>
  <si>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</si>
  <si>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</si>
  <si>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</si>
  <si>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</si>
  <si>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</si>
  <si>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</si>
  <si>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</si>
  <si>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</si>
  <si>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</si>
  <si>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</si>
  <si>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</si>
  <si>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</si>
  <si>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</si>
  <si>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</si>
  <si>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</si>
  <si>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</si>
  <si>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</si>
  <si>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</si>
  <si>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</si>
  <si>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</si>
  <si>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</si>
  <si>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</si>
  <si>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</si>
  <si>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</si>
  <si>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</si>
  <si>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</si>
  <si>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</si>
  <si>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</si>
  <si>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</si>
  <si>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</si>
  <si>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</si>
  <si>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</si>
  <si>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</si>
  <si>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</si>
  <si>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</si>
  <si>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</si>
  <si>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</si>
  <si>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</si>
  <si>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</si>
  <si>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</si>
  <si>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</si>
  <si>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</si>
  <si>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</si>
  <si>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</si>
  <si>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</si>
  <si>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</si>
  <si>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</si>
  <si>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</si>
  <si>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</si>
  <si>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</si>
  <si>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</si>
  <si>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</si>
  <si>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</si>
  <si>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</si>
  <si>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</si>
  <si>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</si>
  <si>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</si>
  <si>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</si>
  <si>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</si>
  <si>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</si>
  <si>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</si>
  <si>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</si>
  <si>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</si>
  <si>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</si>
  <si>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</si>
  <si>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</si>
  <si>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</si>
  <si>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</si>
  <si>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</si>
  <si>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</si>
  <si>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</si>
  <si>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</si>
  <si>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</si>
  <si>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</si>
  <si>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</si>
  <si>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</si>
  <si>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</si>
  <si>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</si>
  <si>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</si>
  <si>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</si>
  <si>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</si>
  <si>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</si>
  <si>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</si>
  <si>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</si>
  <si>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</si>
  <si>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</si>
  <si>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</si>
  <si>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</si>
  <si>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</si>
  <si>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</si>
  <si>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</si>
  <si>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</si>
  <si>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</si>
  <si>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</si>
  <si>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</si>
  <si>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</si>
  <si>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</si>
  <si>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</si>
  <si>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</si>
  <si>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</si>
  <si>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</si>
  <si>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</si>
  <si>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</si>
  <si>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</si>
  <si>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</si>
  <si>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</si>
  <si>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</si>
  <si>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</si>
  <si>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</si>
  <si>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</si>
  <si>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</si>
  <si>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</si>
  <si>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</si>
  <si>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</si>
  <si>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</si>
  <si>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</si>
  <si>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</si>
  <si>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</si>
  <si>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</si>
  <si>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</si>
  <si>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</si>
  <si>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</si>
  <si>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</si>
  <si>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</si>
  <si>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</si>
  <si>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</si>
  <si>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</si>
  <si>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</si>
  <si>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</si>
  <si>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</si>
  <si>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</si>
  <si>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</si>
  <si>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</si>
  <si>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</si>
  <si>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</si>
  <si>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</si>
  <si>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</si>
  <si>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</si>
  <si>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</si>
  <si>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</si>
  <si>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</si>
  <si>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</si>
  <si>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</si>
  <si>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</si>
  <si>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</si>
  <si>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</si>
  <si>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</si>
  <si>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</si>
  <si>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</si>
  <si>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</si>
  <si>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</si>
  <si>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</si>
  <si>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</si>
  <si>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</si>
  <si>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</si>
  <si>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</si>
  <si>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</si>
  <si>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</si>
  <si>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</si>
  <si>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</si>
  <si>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</si>
  <si>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</si>
  <si>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</si>
  <si>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</si>
  <si>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</si>
  <si>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</si>
  <si>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</si>
  <si>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</si>
  <si>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</si>
  <si>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</si>
  <si>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</si>
  <si>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</si>
  <si>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</si>
  <si>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</si>
  <si>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</si>
  <si>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</si>
  <si>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</si>
  <si>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</si>
  <si>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</si>
  <si>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</si>
  <si>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</si>
  <si>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</si>
  <si>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</si>
  <si>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</si>
  <si>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</si>
  <si>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</si>
  <si>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</si>
  <si>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</si>
  <si>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</si>
  <si>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</si>
  <si>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</si>
  <si>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</si>
  <si>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</si>
  <si>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</si>
  <si>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</si>
  <si>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</si>
  <si>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</si>
  <si>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</si>
  <si>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</si>
  <si>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</si>
  <si>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</si>
  <si>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</si>
  <si>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</si>
  <si>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</si>
  <si>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</si>
  <si>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</si>
  <si>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</si>
  <si>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</si>
  <si>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</si>
  <si>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</si>
  <si>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</si>
  <si>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</si>
  <si>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</si>
  <si>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</si>
  <si>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</si>
  <si>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</si>
  <si>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</si>
  <si>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</si>
  <si>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</si>
  <si>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</si>
  <si>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</si>
  <si>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</si>
  <si>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</si>
  <si>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</si>
  <si>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</si>
  <si>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</si>
  <si>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</si>
  <si>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</si>
  <si>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</si>
  <si>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</si>
  <si>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</si>
  <si>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</si>
  <si>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</si>
  <si>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</si>
  <si>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</si>
  <si>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</si>
  <si>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</si>
  <si>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</si>
  <si>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</si>
  <si>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</si>
  <si>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</si>
  <si>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</si>
  <si>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</si>
  <si>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</si>
  <si>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</si>
  <si>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</si>
  <si>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</si>
  <si>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</si>
  <si>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</si>
  <si>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</si>
  <si>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</si>
  <si>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</si>
  <si>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</si>
  <si>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</si>
  <si>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</si>
  <si>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</si>
  <si>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</si>
  <si>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</si>
  <si>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</si>
  <si>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</si>
  <si>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</si>
  <si>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</si>
  <si>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</si>
  <si>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</si>
  <si>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</si>
  <si>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</si>
  <si>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</si>
  <si>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</si>
  <si>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</si>
  <si>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</si>
  <si>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</si>
  <si>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</si>
  <si>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</si>
  <si>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</si>
  <si>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</si>
  <si>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</si>
  <si>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</si>
  <si>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</si>
  <si>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</si>
  <si>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</si>
  <si>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</si>
  <si>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</si>
  <si>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</si>
  <si>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</si>
  <si>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</si>
  <si>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</si>
  <si>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</si>
  <si>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</si>
  <si>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</si>
  <si>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</si>
  <si>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</si>
  <si>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</si>
  <si>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</si>
  <si>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</si>
  <si>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</si>
  <si>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</si>
  <si>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</si>
  <si>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</si>
  <si>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</si>
  <si>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</si>
  <si>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</si>
  <si>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</si>
  <si>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</si>
  <si>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</si>
  <si>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</si>
  <si>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</si>
  <si>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</si>
  <si>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</si>
  <si>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</si>
  <si>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</si>
  <si>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</si>
  <si>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</si>
  <si>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</si>
  <si>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</si>
  <si>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</si>
  <si>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</si>
  <si>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</si>
  <si>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</si>
  <si>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</si>
  <si>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</si>
  <si>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</si>
  <si>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</si>
  <si>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</si>
  <si>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</si>
  <si>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</si>
  <si>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</si>
  <si>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</si>
  <si>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</si>
  <si>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</si>
  <si>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</si>
  <si>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</si>
  <si>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</si>
  <si>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</si>
  <si>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</si>
  <si>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</si>
  <si>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</si>
  <si>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</si>
  <si>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</si>
  <si>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</si>
  <si>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</si>
  <si>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</si>
  <si>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</si>
  <si>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</si>
  <si>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</si>
  <si>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</si>
  <si>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</si>
  <si>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</si>
  <si>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</si>
  <si>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</si>
  <si>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</si>
  <si>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</si>
  <si>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</si>
  <si>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</si>
  <si>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</si>
  <si>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</si>
  <si>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</si>
  <si>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</si>
  <si>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</si>
  <si>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</si>
  <si>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</si>
  <si>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</si>
  <si>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</si>
  <si>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</si>
  <si>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</si>
  <si>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</si>
  <si>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</si>
  <si>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</si>
  <si>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</si>
  <si>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</si>
  <si>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</si>
  <si>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</si>
  <si>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</si>
  <si>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</si>
  <si>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</si>
  <si>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</si>
  <si>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</si>
  <si>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</si>
  <si>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</si>
  <si>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</si>
  <si>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</si>
  <si>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</si>
  <si>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</si>
  <si>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</si>
  <si>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</si>
  <si>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</si>
  <si>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</si>
  <si>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</si>
  <si>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</si>
  <si>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</si>
  <si>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</si>
  <si>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</si>
  <si>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</si>
  <si>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</si>
  <si>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</si>
  <si>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</si>
  <si>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</si>
  <si>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</si>
  <si>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</si>
  <si>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</si>
  <si>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</si>
  <si>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</si>
  <si>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</si>
  <si>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</si>
  <si>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</si>
  <si>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</si>
  <si>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</si>
  <si>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</si>
  <si>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</si>
  <si>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</si>
  <si>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</si>
  <si>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</si>
  <si>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</si>
  <si>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</si>
  <si>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</si>
  <si>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</si>
  <si>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</si>
  <si>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</si>
  <si>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</si>
  <si>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</si>
  <si>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</si>
  <si>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</si>
  <si>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</si>
  <si>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</si>
  <si>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</si>
  <si>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</si>
  <si>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</si>
  <si>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</si>
  <si>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</si>
  <si>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</si>
  <si>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</si>
  <si>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</si>
  <si>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</si>
  <si>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</si>
  <si>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</si>
  <si>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</si>
  <si>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</si>
  <si>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</si>
  <si>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</si>
  <si>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</si>
  <si>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</si>
  <si>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</si>
  <si>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</si>
  <si>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</si>
  <si>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</si>
  <si>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</si>
  <si>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</si>
  <si>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</si>
  <si>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</si>
  <si>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</si>
  <si>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</si>
  <si>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</si>
  <si>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</si>
  <si>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</si>
  <si>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</si>
  <si>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</si>
  <si>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</si>
  <si>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</si>
  <si>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</si>
  <si>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</si>
  <si>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</si>
  <si>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</si>
  <si>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</si>
  <si>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</si>
  <si>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</si>
  <si>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</si>
  <si>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</si>
  <si>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</si>
  <si>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</si>
  <si>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</si>
  <si>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</si>
  <si>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</si>
  <si>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</si>
  <si>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</si>
  <si>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</si>
  <si>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</si>
  <si>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</si>
  <si>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</si>
  <si>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</si>
  <si>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</si>
  <si>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</si>
  <si>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</si>
  <si>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</si>
  <si>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</si>
  <si>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</si>
  <si>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</si>
  <si>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</si>
  <si>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</si>
  <si>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</si>
  <si>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</si>
  <si>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</si>
  <si>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</si>
  <si>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</si>
  <si>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</si>
  <si>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</si>
  <si>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</si>
  <si>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</si>
  <si>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</si>
  <si>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</si>
  <si>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</si>
  <si>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</si>
  <si>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</si>
  <si>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</si>
  <si>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</si>
  <si>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</si>
  <si>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</si>
  <si>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</si>
  <si>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</si>
  <si>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</si>
  <si>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</si>
  <si>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</si>
  <si>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</si>
  <si>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</si>
  <si>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</si>
  <si>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</si>
  <si>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</si>
  <si>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</si>
  <si>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</si>
  <si>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</si>
  <si>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</si>
  <si>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</si>
  <si>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</si>
  <si>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</si>
  <si>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</si>
  <si>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</si>
  <si>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</si>
  <si>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</si>
  <si>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</si>
  <si>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</si>
  <si>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</si>
  <si>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</si>
  <si>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</si>
  <si>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</si>
  <si>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</si>
  <si>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</si>
  <si>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</si>
  <si>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</si>
  <si>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</si>
  <si>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</si>
  <si>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</si>
  <si>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</si>
  <si>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</si>
  <si>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</si>
  <si>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</si>
  <si>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</si>
  <si>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</si>
  <si>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</si>
  <si>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</si>
  <si>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</si>
  <si>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</si>
  <si>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</si>
  <si>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</si>
  <si>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</si>
  <si>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</si>
  <si>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</si>
  <si>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</si>
  <si>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</si>
  <si>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</si>
  <si>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</si>
  <si>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</si>
  <si>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</si>
  <si>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</si>
  <si>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</si>
  <si>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</si>
  <si>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</si>
  <si>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</si>
  <si>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</si>
  <si>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</si>
  <si>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</si>
  <si>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</si>
  <si>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</si>
  <si>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</si>
  <si>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</si>
  <si>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</si>
  <si>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</si>
  <si>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</si>
  <si>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</si>
  <si>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</si>
  <si>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</si>
  <si>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</si>
  <si>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</si>
  <si>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</si>
  <si>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</si>
  <si>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</si>
  <si>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</si>
  <si>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</si>
  <si>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</si>
  <si>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</si>
  <si>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</si>
  <si>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</si>
  <si>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</si>
  <si>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</si>
  <si>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</si>
  <si>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</si>
  <si>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</si>
  <si>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</si>
  <si>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</si>
  <si>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</si>
  <si>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</si>
  <si>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</si>
  <si>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</si>
  <si>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</si>
  <si>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</si>
  <si>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</si>
  <si>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</si>
  <si>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</si>
  <si>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</si>
  <si>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</si>
  <si>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</si>
  <si>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</si>
  <si>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</si>
  <si>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</si>
  <si>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</si>
  <si>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</si>
  <si>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</si>
  <si>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</si>
  <si>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</si>
  <si>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</si>
  <si>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</si>
  <si>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</si>
  <si>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</si>
  <si>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</si>
  <si>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</si>
  <si>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</si>
  <si>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</si>
  <si>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</si>
  <si>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</si>
  <si>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</si>
  <si>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</si>
  <si>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</si>
  <si>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</si>
  <si>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</si>
  <si>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</si>
  <si>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</si>
  <si>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</si>
  <si>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</si>
  <si>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</si>
  <si>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</si>
  <si>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</si>
  <si>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</si>
  <si>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</si>
  <si>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</si>
  <si>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</si>
  <si>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</si>
  <si>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</si>
  <si>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</si>
  <si>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</si>
  <si>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</si>
  <si>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</si>
  <si>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</si>
  <si>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</si>
  <si>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</si>
  <si>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</si>
  <si>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</si>
  <si>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</si>
  <si>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</si>
  <si>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</si>
  <si>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</si>
  <si>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</si>
  <si>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</si>
  <si>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</si>
  <si>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</si>
  <si>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</si>
  <si>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</si>
  <si>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</si>
  <si>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</si>
  <si>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</si>
  <si>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</si>
  <si>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</si>
  <si>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</si>
  <si>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</si>
  <si>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</si>
  <si>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</si>
  <si>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</si>
  <si>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</si>
  <si>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</si>
  <si>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</si>
  <si>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</si>
  <si>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</si>
  <si>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</si>
  <si>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</si>
  <si>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</si>
  <si>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</si>
  <si>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</si>
  <si>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</si>
  <si>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</si>
  <si>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</si>
  <si>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</si>
  <si>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</si>
  <si>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</si>
  <si>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</si>
  <si>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</si>
  <si>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</si>
  <si>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</si>
  <si>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</si>
  <si>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</si>
  <si>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</si>
  <si>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</si>
  <si>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</si>
  <si>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</si>
  <si>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</si>
  <si>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</si>
  <si>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</si>
  <si>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</si>
  <si>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</si>
  <si>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</si>
  <si>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</si>
  <si>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</si>
  <si>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</si>
  <si>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</si>
  <si>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</si>
  <si>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</si>
  <si>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</si>
  <si>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</si>
  <si>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</si>
  <si>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</si>
  <si>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</si>
  <si>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</si>
  <si>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</si>
  <si>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</si>
  <si>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</si>
  <si>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</si>
  <si>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</si>
  <si>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</si>
  <si>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</si>
  <si>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</si>
  <si>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</si>
  <si>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</si>
  <si>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</si>
  <si>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</si>
  <si>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</si>
  <si>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</si>
  <si>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</si>
  <si>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</si>
  <si>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</si>
  <si>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</si>
  <si>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</si>
  <si>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</si>
  <si>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</si>
  <si>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</si>
  <si>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</si>
  <si>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</si>
  <si>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</si>
  <si>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</si>
  <si>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</si>
  <si>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</si>
  <si>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</si>
  <si>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</si>
  <si>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</si>
  <si>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</si>
  <si>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</si>
  <si>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</si>
  <si>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</si>
  <si>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</si>
  <si>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</si>
  <si>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</si>
  <si>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</si>
  <si>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</si>
  <si>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</si>
  <si>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</si>
  <si>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</si>
  <si>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</si>
  <si>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</si>
  <si>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</si>
  <si>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</si>
  <si>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</si>
  <si>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</si>
  <si>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</si>
  <si>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</si>
  <si>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</si>
  <si>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</si>
  <si>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</si>
  <si>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</si>
  <si>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</si>
  <si>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</si>
  <si>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</si>
  <si>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</si>
  <si>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</si>
  <si>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</si>
  <si>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</si>
  <si>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</si>
  <si>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</si>
  <si>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</si>
  <si>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</si>
  <si>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</si>
  <si>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</si>
  <si>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</si>
  <si>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</si>
  <si>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</si>
  <si>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</si>
  <si>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</si>
  <si>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</si>
  <si>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</si>
  <si>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</si>
  <si>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</si>
  <si>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</si>
  <si>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</si>
  <si>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</si>
  <si>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</si>
  <si>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</si>
  <si>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</si>
  <si>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</si>
  <si>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</si>
  <si>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</si>
  <si>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</si>
  <si>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</si>
  <si>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</si>
  <si>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</si>
  <si>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</si>
  <si>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</si>
  <si>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</si>
  <si>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</si>
  <si>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</si>
  <si>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</si>
  <si>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</si>
  <si>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</si>
  <si>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</si>
  <si>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</si>
  <si>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</si>
  <si>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</si>
  <si>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</si>
  <si>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</si>
  <si>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</si>
  <si>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</si>
  <si>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</si>
  <si>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</si>
  <si>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</si>
  <si>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</si>
  <si>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</si>
  <si>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</si>
  <si>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</si>
  <si>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</si>
  <si>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</si>
  <si>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</si>
  <si>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</si>
  <si>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</si>
  <si>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</si>
  <si>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</si>
  <si>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</si>
  <si>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</si>
  <si>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</si>
  <si>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</si>
  <si>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</si>
  <si>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</si>
  <si>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</si>
  <si>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</si>
  <si>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</si>
  <si>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</si>
  <si>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</si>
  <si>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</si>
  <si>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</si>
  <si>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</si>
  <si>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</si>
  <si>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</si>
  <si>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</si>
  <si>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</si>
  <si>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</si>
  <si>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</si>
  <si>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</si>
  <si>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</si>
  <si>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</si>
  <si>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</si>
  <si>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</si>
  <si>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</si>
  <si>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</si>
  <si>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</si>
  <si>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</si>
  <si>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</si>
  <si>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</si>
  <si>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</si>
  <si>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</si>
  <si>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</si>
  <si>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</si>
  <si>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</si>
  <si>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</si>
  <si>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</si>
  <si>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</si>
  <si>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</si>
  <si>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</si>
  <si>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</si>
  <si>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</si>
  <si>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</si>
  <si>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</si>
  <si>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</si>
  <si>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</si>
  <si>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</si>
  <si>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</si>
  <si>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</si>
  <si>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</si>
  <si>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</si>
  <si>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</si>
  <si>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</si>
  <si>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</si>
  <si>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</si>
  <si>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</si>
  <si>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</si>
  <si>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</si>
  <si>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</si>
  <si>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</si>
  <si>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</si>
  <si>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</si>
  <si>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</si>
  <si>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</si>
  <si>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</si>
  <si>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</si>
  <si>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</si>
  <si>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</si>
  <si>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</si>
  <si>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</si>
  <si>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</si>
  <si>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</si>
  <si>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</si>
  <si>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</si>
  <si>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</si>
  <si>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</si>
  <si>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</si>
  <si>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</si>
  <si>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</si>
  <si>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</si>
  <si>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</si>
  <si>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</si>
  <si>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</si>
  <si>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</si>
  <si>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</si>
  <si>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</si>
  <si>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</si>
  <si>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</si>
  <si>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</si>
  <si>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</si>
  <si>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</si>
  <si>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</si>
  <si>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</si>
  <si>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</si>
  <si>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</si>
  <si>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</si>
  <si>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</si>
  <si>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</si>
  <si>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</si>
  <si>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</si>
  <si>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</si>
  <si>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</si>
  <si>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</si>
  <si>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</si>
  <si>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</si>
  <si>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</si>
  <si>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</si>
  <si>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</si>
  <si>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</si>
  <si>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</si>
  <si>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</si>
  <si>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</si>
  <si>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</si>
  <si>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</si>
  <si>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</si>
  <si>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</si>
  <si>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</si>
  <si>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</si>
  <si>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</si>
  <si>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</si>
  <si>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</si>
  <si>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</si>
  <si>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</si>
  <si>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</si>
  <si>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</si>
  <si>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</si>
  <si>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</si>
  <si>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</si>
  <si>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</si>
  <si>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</si>
  <si>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</si>
  <si>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</si>
  <si>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</si>
  <si>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</si>
  <si>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</si>
  <si>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</si>
  <si>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</si>
  <si>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</si>
  <si>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</si>
  <si>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</si>
  <si>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</si>
  <si>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</si>
  <si>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</si>
  <si>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</si>
  <si>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</si>
  <si>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</si>
  <si>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</si>
  <si>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</si>
  <si>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</si>
  <si>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</si>
  <si>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</si>
  <si>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</si>
  <si>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</si>
  <si>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</si>
  <si>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</si>
  <si>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</si>
  <si>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</si>
  <si>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</si>
  <si>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</si>
  <si>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</si>
  <si>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</si>
  <si>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</si>
  <si>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</si>
  <si>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</si>
  <si>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</si>
  <si>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</si>
  <si>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</si>
  <si>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</si>
  <si>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</si>
  <si>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</si>
  <si>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</si>
  <si>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</si>
  <si>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</si>
  <si>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</si>
  <si>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</si>
  <si>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</si>
  <si>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</si>
  <si>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</si>
  <si>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</si>
  <si>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</si>
  <si>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</si>
  <si>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</si>
  <si>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</si>
  <si>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</si>
  <si>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</si>
  <si>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</si>
  <si>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</si>
  <si>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</si>
  <si>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</si>
  <si>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</si>
  <si>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</si>
  <si>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</si>
  <si>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</si>
  <si>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</si>
  <si>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</si>
  <si>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</si>
  <si>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</si>
  <si>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</si>
  <si>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</si>
  <si>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</si>
  <si>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</si>
  <si>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</si>
  <si>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</si>
  <si>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</si>
  <si>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</si>
  <si>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</si>
  <si>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</si>
  <si>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</si>
  <si>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</si>
  <si>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</si>
  <si>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</si>
  <si>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</si>
  <si>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</si>
  <si>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</si>
  <si>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</si>
  <si>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</si>
  <si>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</si>
  <si>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</si>
  <si>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</si>
  <si>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</si>
  <si>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</si>
  <si>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</si>
  <si>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</si>
  <si>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</si>
  <si>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</si>
  <si>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</si>
  <si>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</si>
  <si>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</si>
  <si>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</si>
  <si>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</si>
  <si>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</si>
  <si>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</si>
  <si>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</si>
  <si>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</si>
  <si>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</si>
  <si>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</si>
  <si>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</si>
  <si>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</si>
  <si>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</si>
  <si>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</si>
  <si>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</si>
  <si>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</si>
  <si>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</si>
  <si>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</si>
  <si>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</si>
  <si>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</si>
  <si>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</si>
  <si>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</si>
  <si>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</si>
  <si>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</si>
  <si>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</si>
  <si>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</si>
  <si>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</si>
  <si>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</si>
  <si>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</si>
  <si>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</si>
  <si>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</si>
  <si>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</si>
  <si>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</si>
  <si>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</si>
  <si>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</si>
  <si>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</si>
  <si>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</si>
  <si>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</si>
  <si>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</si>
  <si>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</si>
  <si>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</si>
  <si>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</si>
  <si>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</si>
  <si>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</si>
  <si>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</si>
  <si>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</si>
  <si>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</si>
  <si>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</si>
  <si>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</si>
  <si>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</si>
  <si>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</si>
  <si>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</si>
  <si>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</si>
  <si>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</si>
  <si>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</si>
  <si>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</si>
  <si>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</si>
  <si>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</si>
  <si>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</si>
  <si>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Unknown</t>
  </si>
  <si>
    <t>Median Unit Price</t>
  </si>
  <si>
    <t>DiscountPct(Corrected)</t>
  </si>
  <si>
    <t>UnitPrice(Corrected)</t>
  </si>
  <si>
    <t>median discpct</t>
  </si>
  <si>
    <t>Required Date(Corrected)</t>
  </si>
  <si>
    <t>Lead Time(Days)</t>
  </si>
  <si>
    <t>GrossRevenue</t>
  </si>
  <si>
    <t>CostofGoods</t>
  </si>
  <si>
    <t>GrossProfit</t>
  </si>
  <si>
    <t>Margin%</t>
  </si>
  <si>
    <t>Quarter</t>
  </si>
  <si>
    <t>Q1-2024</t>
  </si>
  <si>
    <t>Q4-2024</t>
  </si>
  <si>
    <t>Q1-2023</t>
  </si>
  <si>
    <t>Q1-2025</t>
  </si>
  <si>
    <t>Q4-2023</t>
  </si>
  <si>
    <t>Q2-2024</t>
  </si>
  <si>
    <t>Q2-2025</t>
  </si>
  <si>
    <t>Q3-2025</t>
  </si>
  <si>
    <t>Q2-2023</t>
  </si>
  <si>
    <t>Q3-2024</t>
  </si>
  <si>
    <t>Q3-2023</t>
  </si>
  <si>
    <t>Row Labels</t>
  </si>
  <si>
    <t>Grand Total</t>
  </si>
  <si>
    <t>PriceBand</t>
  </si>
  <si>
    <t>Sum of GrossRevenue</t>
  </si>
  <si>
    <t>2023</t>
  </si>
  <si>
    <t>2024</t>
  </si>
  <si>
    <t>2025</t>
  </si>
  <si>
    <t>Jan</t>
  </si>
  <si>
    <t>Feb</t>
  </si>
  <si>
    <t>Mar</t>
  </si>
  <si>
    <t>Apr</t>
  </si>
  <si>
    <t>May</t>
  </si>
  <si>
    <t>Jun</t>
  </si>
  <si>
    <t>Jul</t>
  </si>
  <si>
    <t>Aug</t>
  </si>
  <si>
    <t>Sep</t>
  </si>
  <si>
    <t>Oct</t>
  </si>
  <si>
    <t>Nov</t>
  </si>
  <si>
    <t>Dec</t>
  </si>
  <si>
    <t>Column Labels</t>
  </si>
  <si>
    <t>80% of count</t>
  </si>
  <si>
    <t>15% of count</t>
  </si>
  <si>
    <t>5% of count</t>
  </si>
  <si>
    <t>Top</t>
  </si>
  <si>
    <t>Mid</t>
  </si>
  <si>
    <t>Low</t>
  </si>
  <si>
    <t>Count(Laptops)</t>
  </si>
  <si>
    <t>Count(Networking)</t>
  </si>
  <si>
    <t>Count(Printers)</t>
  </si>
  <si>
    <t>Count(Monitors)</t>
  </si>
  <si>
    <t>Count(Components)</t>
  </si>
  <si>
    <t>Count(Phones)</t>
  </si>
  <si>
    <t>Count(Accessories)</t>
  </si>
  <si>
    <t>Sum of GrossProfit</t>
  </si>
  <si>
    <t>Top 3 salespersons pwe month by gross profit</t>
  </si>
  <si>
    <t>Bottom 3 salespersons pwe month by gross profit</t>
  </si>
  <si>
    <t>Year</t>
  </si>
  <si>
    <r>
      <t>Africa -</t>
    </r>
    <r>
      <rPr>
        <sz val="11"/>
        <color theme="1"/>
        <rFont val="Calibri"/>
        <family val="2"/>
        <scheme val="minor"/>
      </rPr>
      <t>Canibalization is evident as online sales massively grew from 5% to 21% in an year and later grew to 23% the following year while retail decreased year over year.</t>
    </r>
  </si>
  <si>
    <r>
      <rPr>
        <b/>
        <sz val="11"/>
        <color theme="1"/>
        <rFont val="Calibri"/>
        <family val="2"/>
        <scheme val="minor"/>
      </rPr>
      <t xml:space="preserve">Asia - </t>
    </r>
    <r>
      <rPr>
        <sz val="11"/>
        <color theme="1"/>
        <rFont val="Calibri"/>
        <family val="2"/>
        <scheme val="minor"/>
      </rPr>
      <t>Canibalization is growing and is seen when online sales rapidly grow in 2023 through 2024 from 7% to 22% and the retail strores reduce from 32% to 18%</t>
    </r>
  </si>
  <si>
    <r>
      <t xml:space="preserve">Americas - </t>
    </r>
    <r>
      <rPr>
        <sz val="11"/>
        <color theme="1"/>
        <rFont val="Calibri"/>
        <family val="2"/>
        <scheme val="minor"/>
      </rPr>
      <t>Online sales have taken strongly taken over as they have dominated through the years rising from 22% to 36%.</t>
    </r>
  </si>
  <si>
    <r>
      <rPr>
        <b/>
        <sz val="11"/>
        <color theme="1"/>
        <rFont val="Calibri"/>
        <family val="2"/>
        <scheme val="minor"/>
      </rPr>
      <t xml:space="preserve">Europe - </t>
    </r>
    <r>
      <rPr>
        <sz val="11"/>
        <color theme="1"/>
        <rFont val="Calibri"/>
        <family val="2"/>
        <scheme val="minor"/>
      </rPr>
      <t>Emerging canibalization year over year as online sales rise from 9% to 24% to 26% with retail sales unstable.</t>
    </r>
  </si>
  <si>
    <t>Count of OrderID</t>
  </si>
  <si>
    <t>Meets Target</t>
  </si>
  <si>
    <t>Met7DayTarget</t>
  </si>
  <si>
    <t>Count of Met7DayTarget</t>
  </si>
  <si>
    <t>Does not Meet Target</t>
  </si>
  <si>
    <t>DiscountPct &gt; 20%</t>
  </si>
  <si>
    <t>Greater than 20%</t>
  </si>
  <si>
    <t>Discount Cap</t>
  </si>
  <si>
    <t>UnitCost Inflation Factor</t>
  </si>
  <si>
    <t>DiscountCap</t>
  </si>
  <si>
    <t>Adjusted Unit Price</t>
  </si>
  <si>
    <t>Adjusted UnitCost</t>
  </si>
  <si>
    <t>Adjusted Quantity</t>
  </si>
  <si>
    <t>Adjusted CostofGoodsSold</t>
  </si>
  <si>
    <t>Adjusted Gross Profit</t>
  </si>
  <si>
    <t>Adjusted Margin%</t>
  </si>
  <si>
    <t>GrossProfit Diff</t>
  </si>
  <si>
    <t>GrossRevenue Diff</t>
  </si>
  <si>
    <t>Margin Diff</t>
  </si>
  <si>
    <t>Adjusted GrossRevenue</t>
  </si>
  <si>
    <t>Sum of Adjusted GrossRevenue</t>
  </si>
  <si>
    <t>Sum of GrossRevenue Diff</t>
  </si>
  <si>
    <t>Sum of Adjusted Gross Profit</t>
  </si>
  <si>
    <t>Sum of GrossProfit Diff</t>
  </si>
  <si>
    <t>Difference(SUM)</t>
  </si>
  <si>
    <t>Adjusted(SUM)</t>
  </si>
  <si>
    <t>Original(SUM)</t>
  </si>
  <si>
    <t>Qtr1</t>
  </si>
  <si>
    <t>Qtr2</t>
  </si>
  <si>
    <t>Qtr3</t>
  </si>
  <si>
    <t>Qtr4</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</si>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</sst>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rgb="FF0AFE10"/>
        <bgColor indexed="64"/>
      </patternFill>
    </fill>
    <fill>
      <patternFill patternType="solid">
        <fgColor rgb="FFF9680F"/>
        <bgColor indexed="64"/>
      </patternFill>
    </fill>
    <fill>
      <patternFill patternType="solid">
        <fgColor rgb="FFFF151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51">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43" fontId="1" fillId="0" borderId="1" xfId="0" applyNumberFormat="1" applyFont="1" applyBorder="1" applyAlignment="1">
      <alignment horizontal="center" vertical="top"/>
    </xf>
    <xf numFmtId="43" fontId="0" fillId="0" borderId="0" xfId="0" applyNumberFormat="1"/>
    <xf numFmtId="9" fontId="0" fillId="0" borderId="0" xfId="1" applyFont="1"/>
    <xf numFmtId="2" fontId="1" fillId="0" borderId="1" xfId="1" applyNumberFormat="1" applyFont="1" applyBorder="1" applyAlignment="1">
      <alignment horizontal="center" vertical="top"/>
    </xf>
    <xf numFmtId="2" fontId="0" fillId="0" borderId="0" xfId="1" applyNumberFormat="1" applyFont="1"/>
    <xf numFmtId="1" fontId="1" fillId="0" borderId="1" xfId="0" applyNumberFormat="1" applyFont="1" applyBorder="1" applyAlignment="1">
      <alignment horizontal="center" vertical="top"/>
    </xf>
    <xf numFmtId="1" fontId="0" fillId="0" borderId="0" xfId="0" applyNumberFormat="1"/>
    <xf numFmtId="2" fontId="0" fillId="0" borderId="0" xfId="0" applyNumberFormat="1"/>
    <xf numFmtId="43" fontId="1" fillId="2" borderId="1" xfId="0" applyNumberFormat="1" applyFont="1" applyFill="1" applyBorder="1" applyAlignment="1">
      <alignment horizontal="center" vertical="top"/>
    </xf>
    <xf numFmtId="1" fontId="1" fillId="2" borderId="1" xfId="0" applyNumberFormat="1" applyFont="1" applyFill="1" applyBorder="1" applyAlignment="1">
      <alignment horizontal="center" vertical="top"/>
    </xf>
    <xf numFmtId="14" fontId="1" fillId="2" borderId="1" xfId="0" applyNumberFormat="1" applyFont="1" applyFill="1" applyBorder="1" applyAlignment="1">
      <alignment horizontal="center" vertical="top"/>
    </xf>
    <xf numFmtId="43" fontId="1" fillId="2" borderId="0" xfId="0" applyNumberFormat="1" applyFont="1" applyFill="1" applyBorder="1" applyAlignment="1">
      <alignment horizontal="center" vertical="top"/>
    </xf>
    <xf numFmtId="9" fontId="1" fillId="2" borderId="0" xfId="1" applyFont="1" applyFill="1" applyBorder="1" applyAlignment="1">
      <alignment horizontal="center" vertical="top"/>
    </xf>
    <xf numFmtId="9" fontId="1" fillId="2" borderId="1" xfId="1" applyFont="1" applyFill="1" applyBorder="1" applyAlignment="1">
      <alignment horizontal="center" vertical="top"/>
    </xf>
    <xf numFmtId="17" fontId="1" fillId="0" borderId="1" xfId="0" applyNumberFormat="1" applyFont="1" applyBorder="1" applyAlignment="1">
      <alignment horizontal="center" vertical="top"/>
    </xf>
    <xf numFmtId="1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2" borderId="1" xfId="0" applyFont="1" applyFill="1" applyBorder="1" applyAlignment="1">
      <alignment horizontal="center" vertical="top"/>
    </xf>
    <xf numFmtId="0" fontId="0" fillId="0" borderId="0" xfId="0" applyNumberFormat="1"/>
    <xf numFmtId="10" fontId="0" fillId="0" borderId="0" xfId="0" applyNumberFormat="1"/>
    <xf numFmtId="1" fontId="0" fillId="3" borderId="0" xfId="0" applyNumberFormat="1" applyFill="1"/>
    <xf numFmtId="1" fontId="0" fillId="4" borderId="0" xfId="0" applyNumberFormat="1" applyFill="1"/>
    <xf numFmtId="1" fontId="0" fillId="5" borderId="0" xfId="0" applyNumberFormat="1" applyFill="1"/>
    <xf numFmtId="0" fontId="0" fillId="0" borderId="0" xfId="0" applyFill="1" applyAlignment="1">
      <alignment horizontal="left" indent="1"/>
    </xf>
    <xf numFmtId="43" fontId="0" fillId="0" borderId="0" xfId="0" applyNumberFormat="1" applyFill="1"/>
    <xf numFmtId="0" fontId="0" fillId="0" borderId="0" xfId="0" applyFill="1" applyAlignment="1">
      <alignment horizontal="left" indent="2"/>
    </xf>
    <xf numFmtId="0" fontId="0" fillId="0" borderId="0" xfId="0" applyAlignment="1">
      <alignment wrapText="1"/>
    </xf>
    <xf numFmtId="0" fontId="1" fillId="0" borderId="0" xfId="0" applyFont="1" applyAlignment="1">
      <alignment horizontal="center"/>
    </xf>
    <xf numFmtId="10" fontId="0" fillId="0" borderId="0" xfId="0" applyNumberFormat="1" applyFill="1"/>
    <xf numFmtId="0" fontId="0" fillId="0" borderId="0" xfId="0" applyFill="1"/>
    <xf numFmtId="0" fontId="1" fillId="0" borderId="0" xfId="0" applyFont="1" applyAlignment="1">
      <alignment wrapText="1"/>
    </xf>
    <xf numFmtId="0" fontId="1" fillId="0" borderId="0" xfId="0" applyFont="1" applyAlignment="1">
      <alignment horizontal="center"/>
    </xf>
    <xf numFmtId="9" fontId="0" fillId="0" borderId="0" xfId="0" applyNumberFormat="1"/>
    <xf numFmtId="1" fontId="0" fillId="0" borderId="0" xfId="1" applyNumberFormat="1" applyFont="1"/>
    <xf numFmtId="43" fontId="0" fillId="0" borderId="0" xfId="1" applyNumberFormat="1" applyFont="1"/>
    <xf numFmtId="9" fontId="1" fillId="6" borderId="0" xfId="1" applyFont="1" applyFill="1" applyBorder="1" applyAlignment="1">
      <alignment horizontal="center" vertical="top"/>
    </xf>
    <xf numFmtId="4" fontId="0" fillId="0" borderId="0" xfId="1" applyNumberFormat="1" applyFont="1"/>
    <xf numFmtId="2" fontId="1" fillId="2" borderId="0" xfId="1" applyNumberFormat="1" applyFont="1" applyFill="1" applyBorder="1" applyAlignment="1">
      <alignment horizontal="center" vertical="top"/>
    </xf>
    <xf numFmtId="9" fontId="1" fillId="7" borderId="0" xfId="1" applyFont="1" applyFill="1" applyBorder="1" applyAlignment="1">
      <alignment horizontal="center" vertical="top"/>
    </xf>
    <xf numFmtId="0" fontId="0" fillId="8" borderId="0" xfId="0" applyFill="1"/>
    <xf numFmtId="10" fontId="0" fillId="3" borderId="0" xfId="0" applyNumberFormat="1" applyFill="1"/>
    <xf numFmtId="0" fontId="0" fillId="0" borderId="0" xfId="0" applyAlignment="1">
      <alignment horizontal="left" indent="3"/>
    </xf>
    <xf numFmtId="17" fontId="0" fillId="0" borderId="0" xfId="0" applyNumberFormat="1" applyAlignment="1">
      <alignment horizontal="left" indent="4"/>
    </xf>
  </cellXfs>
  <cellStyles count="2">
    <cellStyle name="Normal" xfId="0" builtinId="0"/>
    <cellStyle name="Percent" xfId="1" builtinId="5"/>
  </cellStyles>
  <dxfs count="1031">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left" vertical="bottom" textRotation="0" wrapText="0" indent="0" justifyLastLine="0" shrinkToFit="0" readingOrder="0"/>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fill>
        <patternFill patternType="solid">
          <bgColor rgb="FF0AFE10"/>
        </patternFill>
      </fill>
    </dxf>
    <dxf>
      <fill>
        <patternFill patternType="solid">
          <bgColor rgb="FFF9680F"/>
        </patternFill>
      </fill>
    </dxf>
    <dxf>
      <fill>
        <patternFill patternType="solid">
          <bgColor rgb="FFFF1515"/>
        </patternFill>
      </fill>
    </dxf>
    <dxf>
      <numFmt numFmtId="35" formatCode="_(* #,##0.00_);_(* \(#,##0.00\);_(*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1515"/>
      <color rgb="FF0AFE10"/>
      <color rgb="FFF968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[Excel_Assignment and Brief (Done).xlsx]Revenue(Month)!PivotTable16</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'Revenue(Month)'!$B$3</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'Revenue(Month)'!$A$4:$A$16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'Revenue(Month)'!$B$4:$B$16</c:f>
              <c:numCache>
                <c:formatCode>_(* #,##0.00_);_(* \(#,##0.00\);_(* "-"??_);_(@_)</c:formatCode>
                <c:ptCount val="12"/>
                <c:pt idx="0">
                  <c:v>674482.02280000004</c:v>
                </c:pt>
                <c:pt idx="1">
                  <c:v>975241.44978000002</c:v>
                </c:pt>
                <c:pt idx="2">
                  <c:v>802738.31392999983</c:v>
                </c:pt>
                <c:pt idx="3">
                  <c:v>947246.57737999968</c:v>
                </c:pt>
                <c:pt idx="4">
                  <c:v>1265829.63375</c:v>
                </c:pt>
                <c:pt idx="5">
                  <c:v>1314149.4429100002</c:v>
                </c:pt>
                <c:pt idx="6">
                  <c:v>1330522.6043499997</c:v>
                </c:pt>
                <c:pt idx="7">
                  <c:v>1095162.3496699999</c:v>
                </c:pt>
                <c:pt idx="8">
                  <c:v>661159.42946000013</c:v>
                </c:pt>
                <c:pt idx="9">
                  <c:v>685387.08646000014</c:v>
                </c:pt>
                <c:pt idx="10">
                  <c:v>543953.69134999998</c:v>
                </c:pt>
                <c:pt idx="11">
                  <c:v>765461.27835999988</c:v>
                </c:pt>
              </c:numCache>
            </c:numRef>
          </c:val>
          <c:smooth val="0"/>
          <c:extLst>
            <c:ext xmlns:c16="http://schemas.microsoft.com/office/drawing/2014/chart" uri="{C3380CC4-5D6E-409C-BE32-E72D297353CC}">
              <c16:uniqueId val="{00000000-7331-4E29-AF1F-0FCF2275A68E}"/>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41478063"/>
        <c:axId val="441476143"/>
      </c:lineChart>
      <c:catAx>
        <c:axId val="4414780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41476143"/>
        <c:crosses val="autoZero"/>
        <c:auto val="1"/>
        <c:lblAlgn val="ctr"/>
        <c:lblOffset val="100"/>
        <c:noMultiLvlLbl val="0"/>
      </c:catAx>
      <c:valAx>
        <c:axId val="44147614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414780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[Excel_Assignment and Brief (Done).xlsx]Profit(Region&amp;Channel)!PivotTable17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'Profit(Region&amp;Channel)'!$B$3:$B$4</c:f>
              <c:strCache>
                <c:ptCount val="1"/>
                <c:pt idx="0">
                  <c:v>Africa</c:v>
                </c:pt>
              </c:strCache>
            </c:strRef>
          </c:tx>
          <c:spPr>
            <a:solidFill>
              <a:schemeClr val="accent2">
                <a:shade val="58000"/>
              </a:schemeClr>
            </a:solidFill>
            <a:ln>
              <a:noFill/>
            </a:ln>
            <a:effectLst/>
          </c:spPr>
          <c:invertIfNegative val="0"/>
          <c:cat>
            <c:strRef>
              <c:f>'Profit(Region&amp;Channel)'!$A$5:$A$11</c:f>
              <c:strCache>
                <c:ptCount val="6"/>
                <c:pt idx="0">
                  <c:v>Direct</c:v>
                </c:pt>
                <c:pt idx="1">
                  <c:v>Distributor</c:v>
                </c:pt>
                <c:pt idx="2">
                  <c:v>Marketplace</c:v>
                </c:pt>
                <c:pt idx="3">
                  <c:v>Online</c:v>
                </c:pt>
                <c:pt idx="4">
                  <c:v>Retail</c:v>
                </c:pt>
                <c:pt idx="5">
                  <c:v>Unknown</c:v>
                </c:pt>
              </c:strCache>
            </c:strRef>
          </c:cat>
          <c:val>
            <c:numRef>
              <c:f>'Profit(Region&amp;Channel)'!$B$5:$B$11</c:f>
              <c:numCache>
                <c:formatCode>_(* #,##0.00_);_(* \(#,##0.00\);_(* "-"??_);_(@_)</c:formatCode>
                <c:ptCount val="6"/>
                <c:pt idx="0">
                  <c:v>186802.6937</c:v>
                </c:pt>
                <c:pt idx="1">
                  <c:v>211005.58766999998</c:v>
                </c:pt>
                <c:pt idx="2">
                  <c:v>164839.30455999999</c:v>
                </c:pt>
                <c:pt idx="3">
                  <c:v>145453.94626999996</c:v>
                </c:pt>
                <c:pt idx="4">
                  <c:v>153221.68146999998</c:v>
                </c:pt>
                <c:pt idx="5">
                  <c:v>16237.344229999999</c:v>
                </c:pt>
              </c:numCache>
            </c:numRef>
          </c:val>
          <c:extLst>
            <c:ext xmlns:c16="http://schemas.microsoft.com/office/drawing/2014/chart" uri="{C3380CC4-5D6E-409C-BE32-E72D297353CC}">
              <c16:uniqueId val="{00000000-A7A6-475C-A777-861AC758E9FA}"/>
            </c:ext>
          </c:extLst>
        </c:ser>
        <c:ser>
          <c:idx val="1"/>
          <c:order val="1"/>
          <c:tx>
            <c:strRef>
              <c:f>'Profit(Region&amp;Channel)'!$C$3:$C$4</c:f>
              <c:strCache>
                <c:ptCount val="1"/>
                <c:pt idx="0">
                  <c:v>Americas</c:v>
                </c:pt>
              </c:strCache>
            </c:strRef>
          </c:tx>
          <c:spPr>
            <a:solidFill>
              <a:schemeClr val="accent2">
                <a:shade val="86000"/>
              </a:schemeClr>
            </a:solidFill>
            <a:ln>
              <a:noFill/>
            </a:ln>
            <a:effectLst/>
          </c:spPr>
          <c:invertIfNegative val="0"/>
          <c:cat>
            <c:strRef>
              <c:f>'Profit(Region&amp;Channel)'!$A$5:$A$11</c:f>
              <c:strCache>
                <c:ptCount val="6"/>
                <c:pt idx="0">
                  <c:v>Direct</c:v>
                </c:pt>
                <c:pt idx="1">
                  <c:v>Distributor</c:v>
                </c:pt>
                <c:pt idx="2">
                  <c:v>Marketplace</c:v>
                </c:pt>
                <c:pt idx="3">
                  <c:v>Online</c:v>
                </c:pt>
                <c:pt idx="4">
                  <c:v>Retail</c:v>
                </c:pt>
                <c:pt idx="5">
                  <c:v>Unknown</c:v>
                </c:pt>
              </c:strCache>
            </c:strRef>
          </c:cat>
          <c:val>
            <c:numRef>
              <c:f>'Profit(Region&amp;Channel)'!$C$5:$C$11</c:f>
              <c:numCache>
                <c:formatCode>_(* #,##0.00_);_(* \(#,##0.00\);_(* "-"??_);_(@_)</c:formatCode>
                <c:ptCount val="6"/>
                <c:pt idx="0">
                  <c:v>258674.92591000002</c:v>
                </c:pt>
                <c:pt idx="1">
                  <c:v>177451.46991999997</c:v>
                </c:pt>
                <c:pt idx="2">
                  <c:v>96609.647519999999</c:v>
                </c:pt>
                <c:pt idx="3">
                  <c:v>261943.84436999995</c:v>
                </c:pt>
                <c:pt idx="4">
                  <c:v>69035.709220000004</c:v>
                </c:pt>
                <c:pt idx="5">
                  <c:v>777.95999999999913</c:v>
                </c:pt>
              </c:numCache>
            </c:numRef>
          </c:val>
          <c:extLst>
            <c:ext xmlns:c16="http://schemas.microsoft.com/office/drawing/2014/chart" uri="{C3380CC4-5D6E-409C-BE32-E72D297353CC}">
              <c16:uniqueId val="{0000000B-A7A6-475C-A777-861AC758E9FA}"/>
            </c:ext>
          </c:extLst>
        </c:ser>
        <c:ser>
          <c:idx val="2"/>
          <c:order val="2"/>
          <c:tx>
            <c:strRef>
              <c:f>'Profit(Region&amp;Channel)'!$D$3:$D$4</c:f>
              <c:strCache>
                <c:ptCount val="1"/>
                <c:pt idx="0">
                  <c:v>Asia</c:v>
                </c:pt>
              </c:strCache>
            </c:strRef>
          </c:tx>
          <c:spPr>
            <a:solidFill>
              <a:schemeClr val="accent2">
                <a:tint val="86000"/>
              </a:schemeClr>
            </a:solidFill>
            <a:ln>
              <a:noFill/>
            </a:ln>
            <a:effectLst/>
          </c:spPr>
          <c:invertIfNegative val="0"/>
          <c:cat>
            <c:strRef>
              <c:f>'Profit(Region&amp;Channel)'!$A$5:$A$11</c:f>
              <c:strCache>
                <c:ptCount val="6"/>
                <c:pt idx="0">
                  <c:v>Direct</c:v>
                </c:pt>
                <c:pt idx="1">
                  <c:v>Distributor</c:v>
                </c:pt>
                <c:pt idx="2">
                  <c:v>Marketplace</c:v>
                </c:pt>
                <c:pt idx="3">
                  <c:v>Online</c:v>
                </c:pt>
                <c:pt idx="4">
                  <c:v>Retail</c:v>
                </c:pt>
                <c:pt idx="5">
                  <c:v>Unknown</c:v>
                </c:pt>
              </c:strCache>
            </c:strRef>
          </c:cat>
          <c:val>
            <c:numRef>
              <c:f>'Profit(Region&amp;Channel)'!$D$5:$D$11</c:f>
              <c:numCache>
                <c:formatCode>_(* #,##0.00_);_(* \(#,##0.00\);_(* "-"??_);_(@_)</c:formatCode>
                <c:ptCount val="6"/>
                <c:pt idx="0">
                  <c:v>232977.48755999998</c:v>
                </c:pt>
                <c:pt idx="1">
                  <c:v>151146.74599000002</c:v>
                </c:pt>
                <c:pt idx="2">
                  <c:v>151326.70212999996</c:v>
                </c:pt>
                <c:pt idx="3">
                  <c:v>149042.38968999998</c:v>
                </c:pt>
                <c:pt idx="4">
                  <c:v>158051.77209000001</c:v>
                </c:pt>
                <c:pt idx="5">
                  <c:v>20547.545489999997</c:v>
                </c:pt>
              </c:numCache>
            </c:numRef>
          </c:val>
          <c:extLst>
            <c:ext xmlns:c16="http://schemas.microsoft.com/office/drawing/2014/chart" uri="{C3380CC4-5D6E-409C-BE32-E72D297353CC}">
              <c16:uniqueId val="{0000000C-A7A6-475C-A777-861AC758E9FA}"/>
            </c:ext>
          </c:extLst>
        </c:ser>
        <c:ser>
          <c:idx val="3"/>
          <c:order val="3"/>
          <c:tx>
            <c:strRef>
              <c:f>'Profit(Region&amp;Channel)'!$E$3:$E$4</c:f>
              <c:strCache>
                <c:ptCount val="1"/>
                <c:pt idx="0">
                  <c:v>Europe</c:v>
                </c:pt>
              </c:strCache>
            </c:strRef>
          </c:tx>
          <c:spPr>
            <a:solidFill>
              <a:schemeClr val="accent2">
                <a:tint val="58000"/>
              </a:schemeClr>
            </a:solidFill>
            <a:ln>
              <a:noFill/>
            </a:ln>
            <a:effectLst/>
          </c:spPr>
          <c:invertIfNegative val="0"/>
          <c:cat>
            <c:strRef>
              <c:f>'Profit(Region&amp;Channel)'!$A$5:$A$11</c:f>
              <c:strCache>
                <c:ptCount val="6"/>
                <c:pt idx="0">
                  <c:v>Direct</c:v>
                </c:pt>
                <c:pt idx="1">
                  <c:v>Distributor</c:v>
                </c:pt>
                <c:pt idx="2">
                  <c:v>Marketplace</c:v>
                </c:pt>
                <c:pt idx="3">
                  <c:v>Online</c:v>
                </c:pt>
                <c:pt idx="4">
                  <c:v>Retail</c:v>
                </c:pt>
                <c:pt idx="5">
                  <c:v>Unknown</c:v>
                </c:pt>
              </c:strCache>
            </c:strRef>
          </c:cat>
          <c:val>
            <c:numRef>
              <c:f>'Profit(Region&amp;Channel)'!$E$5:$E$11</c:f>
              <c:numCache>
                <c:formatCode>_(* #,##0.00_);_(* \(#,##0.00\);_(* "-"??_);_(@_)</c:formatCode>
                <c:ptCount val="6"/>
                <c:pt idx="0">
                  <c:v>292716.95204</c:v>
                </c:pt>
                <c:pt idx="1">
                  <c:v>105550.85220000002</c:v>
                </c:pt>
                <c:pt idx="2">
                  <c:v>172868.09225000007</c:v>
                </c:pt>
                <c:pt idx="3">
                  <c:v>200067.16276999997</c:v>
                </c:pt>
                <c:pt idx="4">
                  <c:v>180760.14668999997</c:v>
                </c:pt>
                <c:pt idx="5">
                  <c:v>8028.7064599999994</c:v>
                </c:pt>
              </c:numCache>
            </c:numRef>
          </c:val>
          <c:extLst>
            <c:ext xmlns:c16="http://schemas.microsoft.com/office/drawing/2014/chart" uri="{C3380CC4-5D6E-409C-BE32-E72D297353CC}">
              <c16:uniqueId val="{0000000D-A7A6-475C-A777-861AC758E9FA}"/>
            </c:ext>
          </c:extLst>
        </c:ser>
        <c:dLbls>
          <c:showLegendKey val="0"/>
          <c:showVal val="0"/>
          <c:showCatName val="0"/>
          <c:showSerName val="0"/>
          <c:showPercent val="0"/>
          <c:showBubbleSize val="0"/>
        </c:dLbls>
        <c:gapWidth val="150"/>
        <c:overlap val="100"/>
        <c:axId val="990112703"/>
        <c:axId val="990117983"/>
      </c:barChart>
      <c:catAx>
        <c:axId val="99011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117983"/>
        <c:crosses val="autoZero"/>
        <c:auto val="1"/>
        <c:lblAlgn val="ctr"/>
        <c:lblOffset val="100"/>
        <c:noMultiLvlLbl val="0"/>
      </c:catAx>
      <c:valAx>
        <c:axId val="99011798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11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[Excel_Assignment and Brief (Done).xlsx]Top 10SKUs(Revenue)!PivotTable18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SKUs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10SKUs(Revenue)'!$B$3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10SKUs(Revenue)'!$A$4:$A$14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10SKUs(Revenue)'!$B$4:$B$14</c:f>
              <c:numCache>
                <c:formatCode>_(* #,##0.00_);_(* \(#,##0.00\);_(* "-"??_);_(@_)</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E752-4409-8C04-C192AEDFBD79}"/>
            </c:ext>
          </c:extLst>
        </c:ser>
        <c:dLbls>
          <c:dLblPos val="inEnd"/>
          <c:showLegendKey val="0"/>
          <c:showVal val="1"/>
          <c:showCatName val="0"/>
          <c:showSerName val="0"/>
          <c:showPercent val="0"/>
          <c:showBubbleSize val="0"/>
        </c:dLbls>
        <c:gapWidth val="65"/>
        <c:axId val="1001029807"/>
        <c:axId val="1001046127"/>
      </c:barChart>
      <c:catAx>
        <c:axId val="1001029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1046127"/>
        <c:crosses val="autoZero"/>
        <c:auto val="1"/>
        <c:lblAlgn val="ctr"/>
        <c:lblOffset val="100"/>
        <c:noMultiLvlLbl val="0"/>
      </c:catAx>
      <c:valAx>
        <c:axId val="1001046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18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1029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[Excel_Assignment and Brief (Done).xlsx]Revenue(Month)!PivotTable16</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'Revenue(Month)'!$B$3</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'Revenue(Month)'!$A$4:$A$16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'Revenue(Month)'!$B$4:$B$16</c:f>
              <c:numCache>
                <c:formatCode>_(* #,##0.00_);_(* \(#,##0.00\);_(* "-"??_);_(@_)</c:formatCode>
                <c:ptCount val="12"/>
                <c:pt idx="0">
                  <c:v>674482.02280000004</c:v>
                </c:pt>
                <c:pt idx="1">
                  <c:v>975241.44978000002</c:v>
                </c:pt>
                <c:pt idx="2">
                  <c:v>802738.31392999983</c:v>
                </c:pt>
                <c:pt idx="3">
                  <c:v>947246.57737999968</c:v>
                </c:pt>
                <c:pt idx="4">
                  <c:v>1265829.63375</c:v>
                </c:pt>
                <c:pt idx="5">
                  <c:v>1314149.4429100002</c:v>
                </c:pt>
                <c:pt idx="6">
                  <c:v>1330522.6043499997</c:v>
                </c:pt>
                <c:pt idx="7">
                  <c:v>1095162.3496699999</c:v>
                </c:pt>
                <c:pt idx="8">
                  <c:v>661159.42946000013</c:v>
                </c:pt>
                <c:pt idx="9">
                  <c:v>685387.08646000014</c:v>
                </c:pt>
                <c:pt idx="10">
                  <c:v>543953.69134999998</c:v>
                </c:pt>
                <c:pt idx="11">
                  <c:v>765461.27835999988</c:v>
                </c:pt>
              </c:numCache>
            </c:numRef>
          </c:val>
          <c:smooth val="0"/>
          <c:extLst>
            <c:ext xmlns:c16="http://schemas.microsoft.com/office/drawing/2014/chart" uri="{C3380CC4-5D6E-409C-BE32-E72D297353CC}">
              <c16:uniqueId val="{00000000-2DD6-4E91-8114-7C6913A6B0F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41478063"/>
        <c:axId val="441476143"/>
      </c:lineChart>
      <c:catAx>
        <c:axId val="4414780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41476143"/>
        <c:crosses val="autoZero"/>
        <c:auto val="1"/>
        <c:lblAlgn val="ctr"/>
        <c:lblOffset val="100"/>
        <c:noMultiLvlLbl val="0"/>
      </c:catAx>
      <c:valAx>
        <c:axId val="44147614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414780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[Excel_Assignment and Brief (Done).xlsx]Profit(Region&amp;Channel)!PivotTable17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'Profit(Region&amp;Channel)'!$B$3:$B$4</c:f>
              <c:strCache>
                <c:ptCount val="1"/>
                <c:pt idx="0">
                  <c:v>Africa</c:v>
                </c:pt>
              </c:strCache>
            </c:strRef>
          </c:tx>
          <c:spPr>
            <a:solidFill>
              <a:schemeClr val="accent2">
                <a:shade val="58000"/>
              </a:schemeClr>
            </a:solidFill>
            <a:ln>
              <a:noFill/>
            </a:ln>
            <a:effectLst/>
          </c:spPr>
          <c:invertIfNegative val="0"/>
          <c:cat>
            <c:strRef>
              <c:f>'Profit(Region&amp;Channel)'!$A$5:$A$11</c:f>
              <c:strCache>
                <c:ptCount val="6"/>
                <c:pt idx="0">
                  <c:v>Direct</c:v>
                </c:pt>
                <c:pt idx="1">
                  <c:v>Distributor</c:v>
                </c:pt>
                <c:pt idx="2">
                  <c:v>Marketplace</c:v>
                </c:pt>
                <c:pt idx="3">
                  <c:v>Online</c:v>
                </c:pt>
                <c:pt idx="4">
                  <c:v>Retail</c:v>
                </c:pt>
                <c:pt idx="5">
                  <c:v>Unknown</c:v>
                </c:pt>
              </c:strCache>
            </c:strRef>
          </c:cat>
          <c:val>
            <c:numRef>
              <c:f>'Profit(Region&amp;Channel)'!$B$5:$B$11</c:f>
              <c:numCache>
                <c:formatCode>_(* #,##0.00_);_(* \(#,##0.00\);_(* "-"??_);_(@_)</c:formatCode>
                <c:ptCount val="6"/>
                <c:pt idx="0">
                  <c:v>186802.6937</c:v>
                </c:pt>
                <c:pt idx="1">
                  <c:v>211005.58766999998</c:v>
                </c:pt>
                <c:pt idx="2">
                  <c:v>164839.30455999999</c:v>
                </c:pt>
                <c:pt idx="3">
                  <c:v>145453.94626999996</c:v>
                </c:pt>
                <c:pt idx="4">
                  <c:v>153221.68146999998</c:v>
                </c:pt>
                <c:pt idx="5">
                  <c:v>16237.344229999999</c:v>
                </c:pt>
              </c:numCache>
            </c:numRef>
          </c:val>
          <c:extLst>
            <c:ext xmlns:c16="http://schemas.microsoft.com/office/drawing/2014/chart" uri="{C3380CC4-5D6E-409C-BE32-E72D297353CC}">
              <c16:uniqueId val="{00000000-0252-4B99-9083-7798B836C4C2}"/>
            </c:ext>
          </c:extLst>
        </c:ser>
        <c:ser>
          <c:idx val="1"/>
          <c:order val="1"/>
          <c:tx>
            <c:strRef>
              <c:f>'Profit(Region&amp;Channel)'!$C$3:$C$4</c:f>
              <c:strCache>
                <c:ptCount val="1"/>
                <c:pt idx="0">
                  <c:v>Americas</c:v>
                </c:pt>
              </c:strCache>
            </c:strRef>
          </c:tx>
          <c:spPr>
            <a:solidFill>
              <a:schemeClr val="accent2">
                <a:shade val="86000"/>
              </a:schemeClr>
            </a:solidFill>
            <a:ln>
              <a:noFill/>
            </a:ln>
            <a:effectLst/>
          </c:spPr>
          <c:invertIfNegative val="0"/>
          <c:cat>
            <c:strRef>
              <c:f>'Profit(Region&amp;Channel)'!$A$5:$A$11</c:f>
              <c:strCache>
                <c:ptCount val="6"/>
                <c:pt idx="0">
                  <c:v>Direct</c:v>
                </c:pt>
                <c:pt idx="1">
                  <c:v>Distributor</c:v>
                </c:pt>
                <c:pt idx="2">
                  <c:v>Marketplace</c:v>
                </c:pt>
                <c:pt idx="3">
                  <c:v>Online</c:v>
                </c:pt>
                <c:pt idx="4">
                  <c:v>Retail</c:v>
                </c:pt>
                <c:pt idx="5">
                  <c:v>Unknown</c:v>
                </c:pt>
              </c:strCache>
            </c:strRef>
          </c:cat>
          <c:val>
            <c:numRef>
              <c:f>'Profit(Region&amp;Channel)'!$C$5:$C$11</c:f>
              <c:numCache>
                <c:formatCode>_(* #,##0.00_);_(* \(#,##0.00\);_(* "-"??_);_(@_)</c:formatCode>
                <c:ptCount val="6"/>
                <c:pt idx="0">
                  <c:v>258674.92591000002</c:v>
                </c:pt>
                <c:pt idx="1">
                  <c:v>177451.46991999997</c:v>
                </c:pt>
                <c:pt idx="2">
                  <c:v>96609.647519999999</c:v>
                </c:pt>
                <c:pt idx="3">
                  <c:v>261943.84436999995</c:v>
                </c:pt>
                <c:pt idx="4">
                  <c:v>69035.709220000004</c:v>
                </c:pt>
                <c:pt idx="5">
                  <c:v>777.95999999999913</c:v>
                </c:pt>
              </c:numCache>
            </c:numRef>
          </c:val>
          <c:extLst>
            <c:ext xmlns:c16="http://schemas.microsoft.com/office/drawing/2014/chart" uri="{C3380CC4-5D6E-409C-BE32-E72D297353CC}">
              <c16:uniqueId val="{0000000B-0252-4B99-9083-7798B836C4C2}"/>
            </c:ext>
          </c:extLst>
        </c:ser>
        <c:ser>
          <c:idx val="2"/>
          <c:order val="2"/>
          <c:tx>
            <c:strRef>
              <c:f>'Profit(Region&amp;Channel)'!$D$3:$D$4</c:f>
              <c:strCache>
                <c:ptCount val="1"/>
                <c:pt idx="0">
                  <c:v>Asia</c:v>
                </c:pt>
              </c:strCache>
            </c:strRef>
          </c:tx>
          <c:spPr>
            <a:solidFill>
              <a:schemeClr val="accent2">
                <a:tint val="86000"/>
              </a:schemeClr>
            </a:solidFill>
            <a:ln>
              <a:noFill/>
            </a:ln>
            <a:effectLst/>
          </c:spPr>
          <c:invertIfNegative val="0"/>
          <c:cat>
            <c:strRef>
              <c:f>'Profit(Region&amp;Channel)'!$A$5:$A$11</c:f>
              <c:strCache>
                <c:ptCount val="6"/>
                <c:pt idx="0">
                  <c:v>Direct</c:v>
                </c:pt>
                <c:pt idx="1">
                  <c:v>Distributor</c:v>
                </c:pt>
                <c:pt idx="2">
                  <c:v>Marketplace</c:v>
                </c:pt>
                <c:pt idx="3">
                  <c:v>Online</c:v>
                </c:pt>
                <c:pt idx="4">
                  <c:v>Retail</c:v>
                </c:pt>
                <c:pt idx="5">
                  <c:v>Unknown</c:v>
                </c:pt>
              </c:strCache>
            </c:strRef>
          </c:cat>
          <c:val>
            <c:numRef>
              <c:f>'Profit(Region&amp;Channel)'!$D$5:$D$11</c:f>
              <c:numCache>
                <c:formatCode>_(* #,##0.00_);_(* \(#,##0.00\);_(* "-"??_);_(@_)</c:formatCode>
                <c:ptCount val="6"/>
                <c:pt idx="0">
                  <c:v>232977.48755999998</c:v>
                </c:pt>
                <c:pt idx="1">
                  <c:v>151146.74599000002</c:v>
                </c:pt>
                <c:pt idx="2">
                  <c:v>151326.70212999996</c:v>
                </c:pt>
                <c:pt idx="3">
                  <c:v>149042.38968999998</c:v>
                </c:pt>
                <c:pt idx="4">
                  <c:v>158051.77209000001</c:v>
                </c:pt>
                <c:pt idx="5">
                  <c:v>20547.545489999997</c:v>
                </c:pt>
              </c:numCache>
            </c:numRef>
          </c:val>
          <c:extLst>
            <c:ext xmlns:c16="http://schemas.microsoft.com/office/drawing/2014/chart" uri="{C3380CC4-5D6E-409C-BE32-E72D297353CC}">
              <c16:uniqueId val="{0000000C-0252-4B99-9083-7798B836C4C2}"/>
            </c:ext>
          </c:extLst>
        </c:ser>
        <c:ser>
          <c:idx val="3"/>
          <c:order val="3"/>
          <c:tx>
            <c:strRef>
              <c:f>'Profit(Region&amp;Channel)'!$E$3:$E$4</c:f>
              <c:strCache>
                <c:ptCount val="1"/>
                <c:pt idx="0">
                  <c:v>Europe</c:v>
                </c:pt>
              </c:strCache>
            </c:strRef>
          </c:tx>
          <c:spPr>
            <a:solidFill>
              <a:schemeClr val="accent2">
                <a:tint val="58000"/>
              </a:schemeClr>
            </a:solidFill>
            <a:ln>
              <a:noFill/>
            </a:ln>
            <a:effectLst/>
          </c:spPr>
          <c:invertIfNegative val="0"/>
          <c:cat>
            <c:strRef>
              <c:f>'Profit(Region&amp;Channel)'!$A$5:$A$11</c:f>
              <c:strCache>
                <c:ptCount val="6"/>
                <c:pt idx="0">
                  <c:v>Direct</c:v>
                </c:pt>
                <c:pt idx="1">
                  <c:v>Distributor</c:v>
                </c:pt>
                <c:pt idx="2">
                  <c:v>Marketplace</c:v>
                </c:pt>
                <c:pt idx="3">
                  <c:v>Online</c:v>
                </c:pt>
                <c:pt idx="4">
                  <c:v>Retail</c:v>
                </c:pt>
                <c:pt idx="5">
                  <c:v>Unknown</c:v>
                </c:pt>
              </c:strCache>
            </c:strRef>
          </c:cat>
          <c:val>
            <c:numRef>
              <c:f>'Profit(Region&amp;Channel)'!$E$5:$E$11</c:f>
              <c:numCache>
                <c:formatCode>_(* #,##0.00_);_(* \(#,##0.00\);_(* "-"??_);_(@_)</c:formatCode>
                <c:ptCount val="6"/>
                <c:pt idx="0">
                  <c:v>292716.95204</c:v>
                </c:pt>
                <c:pt idx="1">
                  <c:v>105550.85220000002</c:v>
                </c:pt>
                <c:pt idx="2">
                  <c:v>172868.09225000007</c:v>
                </c:pt>
                <c:pt idx="3">
                  <c:v>200067.16276999997</c:v>
                </c:pt>
                <c:pt idx="4">
                  <c:v>180760.14668999997</c:v>
                </c:pt>
                <c:pt idx="5">
                  <c:v>8028.7064599999994</c:v>
                </c:pt>
              </c:numCache>
            </c:numRef>
          </c:val>
          <c:extLst>
            <c:ext xmlns:c16="http://schemas.microsoft.com/office/drawing/2014/chart" uri="{C3380CC4-5D6E-409C-BE32-E72D297353CC}">
              <c16:uniqueId val="{0000000D-0252-4B99-9083-7798B836C4C2}"/>
            </c:ext>
          </c:extLst>
        </c:ser>
        <c:dLbls>
          <c:showLegendKey val="0"/>
          <c:showVal val="0"/>
          <c:showCatName val="0"/>
          <c:showSerName val="0"/>
          <c:showPercent val="0"/>
          <c:showBubbleSize val="0"/>
        </c:dLbls>
        <c:gapWidth val="150"/>
        <c:overlap val="100"/>
        <c:axId val="990112703"/>
        <c:axId val="990117983"/>
      </c:barChart>
      <c:catAx>
        <c:axId val="99011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117983"/>
        <c:crosses val="autoZero"/>
        <c:auto val="1"/>
        <c:lblAlgn val="ctr"/>
        <c:lblOffset val="100"/>
        <c:noMultiLvlLbl val="0"/>
      </c:catAx>
      <c:valAx>
        <c:axId val="99011798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11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[Excel_Assignment and Brief (Done).xlsx]Top 10SKUs(Revenue)!PivotTable18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SKUs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10SKUs(Revenue)'!$B$3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10SKUs(Revenue)'!$A$4:$A$14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10SKUs(Revenue)'!$B$4:$B$14</c:f>
              <c:numCache>
                <c:formatCode>_(* #,##0.00_);_(* \(#,##0.00\);_(* "-"??_);_(@_)</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B42C-47CE-8D0B-40AE3B721A91}"/>
            </c:ext>
          </c:extLst>
        </c:ser>
        <c:dLbls>
          <c:dLblPos val="inEnd"/>
          <c:showLegendKey val="0"/>
          <c:showVal val="1"/>
          <c:showCatName val="0"/>
          <c:showSerName val="0"/>
          <c:showPercent val="0"/>
          <c:showBubbleSize val="0"/>
        </c:dLbls>
        <c:gapWidth val="65"/>
        <c:axId val="1001029807"/>
        <c:axId val="1001046127"/>
      </c:barChart>
      <c:catAx>
        <c:axId val="1001029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1046127"/>
        <c:crosses val="autoZero"/>
        <c:auto val="1"/>
        <c:lblAlgn val="ctr"/>
        <c:lblOffset val="100"/>
        <c:noMultiLvlLbl val="0"/>
      </c:catAx>
      <c:valAx>
        <c:axId val="1001046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1800000" spcFirstLastPara="1" vertOverflow="ellipsis"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1029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a:t>Discount % Distribution and Outliers</a:t>
            </a:r>
            <a:endParaRPr lang="en-US" sz="1400" b="0" i="0" u="none" strike="noStrike" baseline="0">
              <a:solidFill>
                <a:sysClr val="windowText" lastClr="000000">
                  <a:lumMod val="65000"/>
                  <a:lumOff val="35000"/>
                </a:sysClr>
              </a:solidFill>
              <a:latin typeface="Calibri"/>
            </a:endParaRPr>
          </a:p>
        </cx:rich>
      </cx:tx>
    </cx:title>
    <cx:plotArea>
      <cx:plotAreaRegion>
        <cx:series layoutId="boxWhisker" uniqueId="{69889543-DC8D-4B1C-B7EA-524F3E5CA3B1}">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a:t>Discount % Distribution and Outliers</a:t>
            </a:r>
            <a:endParaRPr lang="en-US" sz="1400" b="0" i="0" u="none" strike="noStrike" baseline="0">
              <a:solidFill>
                <a:sysClr val="windowText" lastClr="000000">
                  <a:lumMod val="65000"/>
                  <a:lumOff val="35000"/>
                </a:sysClr>
              </a:solidFill>
              <a:latin typeface="Calibri"/>
            </a:endParaRPr>
          </a:p>
        </cx:rich>
      </cx:tx>
    </cx:title>
    <cx:plotArea>
      <cx:plotAreaRegion>
        <cx:series layoutId="boxWhisker" uniqueId="{69889543-DC8D-4B1C-B7EA-524F3E5CA3B1}">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22" fmlaLink="$C$2" horiz="1" max="25" page="10" val="25"/>
</file>

<file path=xl/ctrlProps/ctrlProp2.xml><?xml version="1.0" encoding="utf-8"?>
<formControlPr xmlns="http://schemas.microsoft.com/office/spreadsheetml/2009/9/main" objectType="Scroll" dx="22" fmlaLink="$G$16" horiz="1" max="25" page="5" val="17"/>
</file>

<file path=xl/ctrlProps/ctrlProp3.xml><?xml version="1.0" encoding="utf-8"?>
<formControlPr xmlns="http://schemas.microsoft.com/office/spreadsheetml/2009/9/main" objectType="Scroll" dx="22" fmlaLink="$G$17" horiz="1" max="15" page="5" val="4"/>
</file>

<file path=xl/ctrlProps/ctrlProp4.xml><?xml version="1.0" encoding="utf-8"?>
<formControlPr xmlns="http://schemas.microsoft.com/office/spreadsheetml/2009/9/main" objectType="Scroll" dx="22" fmlaLink="$G$18" horiz="1" max="20" page="5" val="17"/>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2</xdr:row>
      <xdr:rowOff>85725</xdr:rowOff>
    </xdr:from>
    <xdr:to>
      <xdr:col>4</xdr:col>
      <xdr:colOff>47625</xdr:colOff>
      <xdr:row>15</xdr:row>
      <xdr:rowOff>133350</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4684E0B6-73F3-7295-1A14-890AFB1363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14450"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97155</xdr:colOff>
      <xdr:row>2</xdr:row>
      <xdr:rowOff>104775</xdr:rowOff>
    </xdr:from>
    <xdr:to>
      <xdr:col>7</xdr:col>
      <xdr:colOff>97155</xdr:colOff>
      <xdr:row>15</xdr:row>
      <xdr:rowOff>152400</xdr:rowOff>
    </xdr:to>
    <mc:AlternateContent xmlns:mc="http://schemas.openxmlformats.org/markup-compatibility/2006">
      <mc:Choice xmlns:a14="http://schemas.microsoft.com/office/drawing/2010/main" Requires="a14">
        <xdr:graphicFrame macro="">
          <xdr:nvGraphicFramePr>
            <xdr:cNvPr id="21" name="Country">
              <a:extLst>
                <a:ext uri="{FF2B5EF4-FFF2-40B4-BE49-F238E27FC236}">
                  <a16:creationId xmlns:a16="http://schemas.microsoft.com/office/drawing/2014/main" id="{7A7C9413-A719-A069-5179-B21374D3D22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192780"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146685</xdr:colOff>
      <xdr:row>2</xdr:row>
      <xdr:rowOff>66675</xdr:rowOff>
    </xdr:from>
    <xdr:to>
      <xdr:col>10</xdr:col>
      <xdr:colOff>146685</xdr:colOff>
      <xdr:row>15</xdr:row>
      <xdr:rowOff>114300</xdr:rowOff>
    </xdr:to>
    <mc:AlternateContent xmlns:mc="http://schemas.openxmlformats.org/markup-compatibility/2006">
      <mc:Choice xmlns:a14="http://schemas.microsoft.com/office/drawing/2010/main" Requires="a14">
        <xdr:graphicFrame macro="">
          <xdr:nvGraphicFramePr>
            <xdr:cNvPr id="22" name="Channel">
              <a:extLst>
                <a:ext uri="{FF2B5EF4-FFF2-40B4-BE49-F238E27FC236}">
                  <a16:creationId xmlns:a16="http://schemas.microsoft.com/office/drawing/2014/main" id="{320F1465-8C97-36D5-9A12-BD95BEBE56D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5071110" y="476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196215</xdr:colOff>
      <xdr:row>2</xdr:row>
      <xdr:rowOff>47625</xdr:rowOff>
    </xdr:from>
    <xdr:to>
      <xdr:col>12</xdr:col>
      <xdr:colOff>805815</xdr:colOff>
      <xdr:row>15</xdr:row>
      <xdr:rowOff>95250</xdr:rowOff>
    </xdr:to>
    <mc:AlternateContent xmlns:mc="http://schemas.openxmlformats.org/markup-compatibility/2006">
      <mc:Choice xmlns:a14="http://schemas.microsoft.com/office/drawing/2010/main" Requires="a14">
        <xdr:graphicFrame macro="">
          <xdr:nvGraphicFramePr>
            <xdr:cNvPr id="23" name="Salesperson">
              <a:extLst>
                <a:ext uri="{FF2B5EF4-FFF2-40B4-BE49-F238E27FC236}">
                  <a16:creationId xmlns:a16="http://schemas.microsoft.com/office/drawing/2014/main" id="{93BF2A5E-C9D3-57D9-9A31-C121E39C2AB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949440"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855345</xdr:colOff>
      <xdr:row>2</xdr:row>
      <xdr:rowOff>9525</xdr:rowOff>
    </xdr:from>
    <xdr:to>
      <xdr:col>14</xdr:col>
      <xdr:colOff>36195</xdr:colOff>
      <xdr:row>15</xdr:row>
      <xdr:rowOff>57150</xdr:rowOff>
    </xdr:to>
    <mc:AlternateContent xmlns:mc="http://schemas.openxmlformats.org/markup-compatibility/2006">
      <mc:Choice xmlns:a14="http://schemas.microsoft.com/office/drawing/2010/main" Requires="a14">
        <xdr:graphicFrame macro="">
          <xdr:nvGraphicFramePr>
            <xdr:cNvPr id="24" name="ProductCategory">
              <a:extLst>
                <a:ext uri="{FF2B5EF4-FFF2-40B4-BE49-F238E27FC236}">
                  <a16:creationId xmlns:a16="http://schemas.microsoft.com/office/drawing/2014/main" id="{DA10E6B9-69B8-05A9-75F6-73BBEA3C8B6B}"/>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8827770"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85725</xdr:colOff>
      <xdr:row>2</xdr:row>
      <xdr:rowOff>28575</xdr:rowOff>
    </xdr:from>
    <xdr:to>
      <xdr:col>17</xdr:col>
      <xdr:colOff>85725</xdr:colOff>
      <xdr:row>15</xdr:row>
      <xdr:rowOff>76200</xdr:rowOff>
    </xdr:to>
    <mc:AlternateContent xmlns:mc="http://schemas.openxmlformats.org/markup-compatibility/2006">
      <mc:Choice xmlns:a14="http://schemas.microsoft.com/office/drawing/2010/main" Requires="a14">
        <xdr:graphicFrame macro="">
          <xdr:nvGraphicFramePr>
            <xdr:cNvPr id="25" name="Months (OrderDate)">
              <a:extLst>
                <a:ext uri="{FF2B5EF4-FFF2-40B4-BE49-F238E27FC236}">
                  <a16:creationId xmlns:a16="http://schemas.microsoft.com/office/drawing/2014/main" id="{905D8AFD-FF23-7805-BB24-D6D6998237C2}"/>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10706100" y="438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0</xdr:row>
          <xdr:rowOff>180975</xdr:rowOff>
        </xdr:from>
        <xdr:to>
          <xdr:col>3</xdr:col>
          <xdr:colOff>1590675</xdr:colOff>
          <xdr:row>1</xdr:row>
          <xdr:rowOff>152400</xdr:rowOff>
        </xdr:to>
        <xdr:sp macro="" textlink="">
          <xdr:nvSpPr>
            <xdr:cNvPr id="11265" name="Scroll Bar 1" hidden="1">
              <a:extLst>
                <a:ext uri="{63B3BB69-23CF-44E3-9099-C40C66FF867C}">
                  <a14:compatExt spid="_x0000_s11265"/>
                </a:ext>
                <a:ext uri="{FF2B5EF4-FFF2-40B4-BE49-F238E27FC236}">
                  <a16:creationId xmlns:a16="http://schemas.microsoft.com/office/drawing/2014/main" id="{00000000-0008-0000-0A00-0000012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15</xdr:row>
          <xdr:rowOff>19050</xdr:rowOff>
        </xdr:from>
        <xdr:to>
          <xdr:col>4</xdr:col>
          <xdr:colOff>1133475</xdr:colOff>
          <xdr:row>15</xdr:row>
          <xdr:rowOff>180975</xdr:rowOff>
        </xdr:to>
        <xdr:sp macro="" textlink="">
          <xdr:nvSpPr>
            <xdr:cNvPr id="11266" name="Scroll Bar 2" hidden="1">
              <a:extLst>
                <a:ext uri="{63B3BB69-23CF-44E3-9099-C40C66FF867C}">
                  <a14:compatExt spid="_x0000_s11266"/>
                </a:ext>
                <a:ext uri="{FF2B5EF4-FFF2-40B4-BE49-F238E27FC236}">
                  <a16:creationId xmlns:a16="http://schemas.microsoft.com/office/drawing/2014/main" id="{00000000-0008-0000-0A00-0000022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47625</xdr:colOff>
          <xdr:row>16</xdr:row>
          <xdr:rowOff>19050</xdr:rowOff>
        </xdr:from>
        <xdr:to>
          <xdr:col>4</xdr:col>
          <xdr:colOff>1123950</xdr:colOff>
          <xdr:row>16</xdr:row>
          <xdr:rowOff>180975</xdr:rowOff>
        </xdr:to>
        <xdr:sp macro="" textlink="">
          <xdr:nvSpPr>
            <xdr:cNvPr id="11267" name="Scroll Bar 3" hidden="1">
              <a:extLst>
                <a:ext uri="{63B3BB69-23CF-44E3-9099-C40C66FF867C}">
                  <a14:compatExt spid="_x0000_s11267"/>
                </a:ext>
                <a:ext uri="{FF2B5EF4-FFF2-40B4-BE49-F238E27FC236}">
                  <a16:creationId xmlns:a16="http://schemas.microsoft.com/office/drawing/2014/main" id="{00000000-0008-0000-0A00-0000032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47625</xdr:colOff>
          <xdr:row>17</xdr:row>
          <xdr:rowOff>28575</xdr:rowOff>
        </xdr:from>
        <xdr:to>
          <xdr:col>4</xdr:col>
          <xdr:colOff>1143000</xdr:colOff>
          <xdr:row>18</xdr:row>
          <xdr:rowOff>0</xdr:rowOff>
        </xdr:to>
        <xdr:sp macro="" textlink="">
          <xdr:nvSpPr>
            <xdr:cNvPr id="11268" name="Scroll Bar 4" hidden="1">
              <a:extLst>
                <a:ext uri="{63B3BB69-23CF-44E3-9099-C40C66FF867C}">
                  <a14:compatExt spid="_x0000_s11268"/>
                </a:ext>
                <a:ext uri="{FF2B5EF4-FFF2-40B4-BE49-F238E27FC236}">
                  <a16:creationId xmlns:a16="http://schemas.microsoft.com/office/drawing/2014/main" id="{00000000-0008-0000-0A00-0000042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400050</xdr:colOff>
      <xdr:row>2</xdr:row>
      <xdr:rowOff>123825</xdr:rowOff>
    </xdr:from>
    <xdr:to>
      <xdr:col>10</xdr:col>
      <xdr:colOff>95250</xdr:colOff>
      <xdr:row>17</xdr:row>
      <xdr:rowOff>9525</xdr:rowOff>
    </xdr:to>
    <xdr:graphicFrame macro="">
      <xdr:nvGraphicFramePr>
        <xdr:cNvPr id="2" name="Chart 1">
          <a:extLst>
            <a:ext uri="{FF2B5EF4-FFF2-40B4-BE49-F238E27FC236}">
              <a16:creationId xmlns:a16="http://schemas.microsoft.com/office/drawing/2014/main" id="{5053AD36-9F7F-76DC-E59F-D42FD82CC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342900</xdr:colOff>
      <xdr:row>1</xdr:row>
      <xdr:rowOff>161925</xdr:rowOff>
    </xdr:from>
    <xdr:to>
      <xdr:col>13</xdr:col>
      <xdr:colOff>238125</xdr:colOff>
      <xdr:row>16</xdr:row>
      <xdr:rowOff>47625</xdr:rowOff>
    </xdr:to>
    <xdr:graphicFrame macro="">
      <xdr:nvGraphicFramePr>
        <xdr:cNvPr id="2" name="Chart 1">
          <a:extLst>
            <a:ext uri="{FF2B5EF4-FFF2-40B4-BE49-F238E27FC236}">
              <a16:creationId xmlns:a16="http://schemas.microsoft.com/office/drawing/2014/main" id="{BA41C3AE-A273-5A19-1F87-939615999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352424</xdr:colOff>
      <xdr:row>2</xdr:row>
      <xdr:rowOff>19050</xdr:rowOff>
    </xdr:from>
    <xdr:to>
      <xdr:col>12</xdr:col>
      <xdr:colOff>57149</xdr:colOff>
      <xdr:row>18</xdr:row>
      <xdr:rowOff>28575</xdr:rowOff>
    </xdr:to>
    <xdr:graphicFrame macro="">
      <xdr:nvGraphicFramePr>
        <xdr:cNvPr id="2" name="Chart 1">
          <a:extLst>
            <a:ext uri="{FF2B5EF4-FFF2-40B4-BE49-F238E27FC236}">
              <a16:creationId xmlns:a16="http://schemas.microsoft.com/office/drawing/2014/main" id="{65D1CD44-85E4-D2D9-359C-650277F22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4762</xdr:colOff>
      <xdr:row>615</xdr:row>
      <xdr:rowOff>0</xdr:rowOff>
    </xdr:from>
    <xdr:to>
      <xdr:col>11</xdr:col>
      <xdr:colOff>309562</xdr:colOff>
      <xdr:row>629</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C3A1075-D91D-33A3-6C41-8D90AB3B86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43162" y="117157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16248</xdr:colOff>
      <xdr:row>6</xdr:row>
      <xdr:rowOff>135109</xdr:rowOff>
    </xdr:from>
    <xdr:to>
      <xdr:col>1</xdr:col>
      <xdr:colOff>806823</xdr:colOff>
      <xdr:row>14</xdr:row>
      <xdr:rowOff>123264</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02195686-FB72-4C53-AB23-F21C53E40F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248" y="1263070"/>
              <a:ext cx="1718009" cy="1492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16248</xdr:colOff>
      <xdr:row>14</xdr:row>
      <xdr:rowOff>158081</xdr:rowOff>
    </xdr:from>
    <xdr:to>
      <xdr:col>1</xdr:col>
      <xdr:colOff>806823</xdr:colOff>
      <xdr:row>25</xdr:row>
      <xdr:rowOff>78440</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C24AA67A-0AA9-4FDE-A08D-016BE3B3E84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6248" y="2789989"/>
              <a:ext cx="1718009" cy="1988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825873</xdr:colOff>
      <xdr:row>6</xdr:row>
      <xdr:rowOff>135109</xdr:rowOff>
    </xdr:from>
    <xdr:to>
      <xdr:col>3</xdr:col>
      <xdr:colOff>692523</xdr:colOff>
      <xdr:row>14</xdr:row>
      <xdr:rowOff>123264</xdr:rowOff>
    </xdr:to>
    <mc:AlternateContent xmlns:mc="http://schemas.openxmlformats.org/markup-compatibility/2006">
      <mc:Choice xmlns:a14="http://schemas.microsoft.com/office/drawing/2010/main" Requires="a14">
        <xdr:graphicFrame macro="">
          <xdr:nvGraphicFramePr>
            <xdr:cNvPr id="4" name="ProductCategory 1">
              <a:extLst>
                <a:ext uri="{FF2B5EF4-FFF2-40B4-BE49-F238E27FC236}">
                  <a16:creationId xmlns:a16="http://schemas.microsoft.com/office/drawing/2014/main" id="{32858307-5BC3-4EAF-9B86-5634558F0EC5}"/>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1753307" y="1263070"/>
              <a:ext cx="1721519" cy="1492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825873</xdr:colOff>
      <xdr:row>14</xdr:row>
      <xdr:rowOff>158082</xdr:rowOff>
    </xdr:from>
    <xdr:to>
      <xdr:col>3</xdr:col>
      <xdr:colOff>692523</xdr:colOff>
      <xdr:row>25</xdr:row>
      <xdr:rowOff>60912</xdr:rowOff>
    </xdr:to>
    <mc:AlternateContent xmlns:mc="http://schemas.openxmlformats.org/markup-compatibility/2006">
      <mc:Choice xmlns:a14="http://schemas.microsoft.com/office/drawing/2010/main" Requires="a14">
        <xdr:graphicFrame macro="">
          <xdr:nvGraphicFramePr>
            <xdr:cNvPr id="5" name="Salesperson 1">
              <a:extLst>
                <a:ext uri="{FF2B5EF4-FFF2-40B4-BE49-F238E27FC236}">
                  <a16:creationId xmlns:a16="http://schemas.microsoft.com/office/drawing/2014/main" id="{26737769-6054-4C95-8D9C-98B2DEA390B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753307" y="2789990"/>
              <a:ext cx="1721519" cy="1970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27454</xdr:colOff>
      <xdr:row>25</xdr:row>
      <xdr:rowOff>112059</xdr:rowOff>
    </xdr:from>
    <xdr:to>
      <xdr:col>1</xdr:col>
      <xdr:colOff>827553</xdr:colOff>
      <xdr:row>36</xdr:row>
      <xdr:rowOff>0</xdr:rowOff>
    </xdr:to>
    <mc:AlternateContent xmlns:mc="http://schemas.openxmlformats.org/markup-compatibility/2006">
      <mc:Choice xmlns:a14="http://schemas.microsoft.com/office/drawing/2010/main" Requires="a14">
        <xdr:graphicFrame macro="">
          <xdr:nvGraphicFramePr>
            <xdr:cNvPr id="6" name="Channel 1">
              <a:extLst>
                <a:ext uri="{FF2B5EF4-FFF2-40B4-BE49-F238E27FC236}">
                  <a16:creationId xmlns:a16="http://schemas.microsoft.com/office/drawing/2014/main" id="{E622A590-8FC5-46F5-8BB5-4453AF2B18C4}"/>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27454" y="4811895"/>
              <a:ext cx="1727533" cy="1955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846604</xdr:colOff>
      <xdr:row>25</xdr:row>
      <xdr:rowOff>112059</xdr:rowOff>
    </xdr:from>
    <xdr:to>
      <xdr:col>3</xdr:col>
      <xdr:colOff>694204</xdr:colOff>
      <xdr:row>36</xdr:row>
      <xdr:rowOff>0</xdr:rowOff>
    </xdr:to>
    <mc:AlternateContent xmlns:mc="http://schemas.openxmlformats.org/markup-compatibility/2006">
      <mc:Choice xmlns:a14="http://schemas.microsoft.com/office/drawing/2010/main" Requires="a14">
        <xdr:graphicFrame macro="">
          <xdr:nvGraphicFramePr>
            <xdr:cNvPr id="7" name="Months (OrderDate) 1">
              <a:extLst>
                <a:ext uri="{FF2B5EF4-FFF2-40B4-BE49-F238E27FC236}">
                  <a16:creationId xmlns:a16="http://schemas.microsoft.com/office/drawing/2014/main" id="{6BB3F739-2923-4F94-90BF-E56D071ED061}"/>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dr:sp macro="" textlink="">
          <xdr:nvSpPr>
            <xdr:cNvPr id="0" name=""/>
            <xdr:cNvSpPr>
              <a:spLocks noTextEdit="1"/>
            </xdr:cNvSpPr>
          </xdr:nvSpPr>
          <xdr:spPr>
            <a:xfrm>
              <a:off x="1774038" y="4811895"/>
              <a:ext cx="1702469" cy="1955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142874</xdr:colOff>
      <xdr:row>0</xdr:row>
      <xdr:rowOff>89646</xdr:rowOff>
    </xdr:from>
    <xdr:to>
      <xdr:col>15</xdr:col>
      <xdr:colOff>125329</xdr:colOff>
      <xdr:row>2</xdr:row>
      <xdr:rowOff>175460</xdr:rowOff>
    </xdr:to>
    <xdr:sp macro="" textlink="">
      <xdr:nvSpPr>
        <xdr:cNvPr id="8" name="TextBox 7">
          <a:extLst>
            <a:ext uri="{FF2B5EF4-FFF2-40B4-BE49-F238E27FC236}">
              <a16:creationId xmlns:a16="http://schemas.microsoft.com/office/drawing/2014/main" id="{87165FBD-D5B8-15EB-5031-40953703231E}"/>
            </a:ext>
          </a:extLst>
        </xdr:cNvPr>
        <xdr:cNvSpPr txBox="1"/>
      </xdr:nvSpPr>
      <xdr:spPr>
        <a:xfrm>
          <a:off x="142874" y="89646"/>
          <a:ext cx="13893968" cy="461801"/>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r>
            <a:rPr lang="en-US" sz="3200" b="1">
              <a:solidFill>
                <a:schemeClr val="bg1"/>
              </a:solidFill>
              <a:latin typeface="Book Antiqua" panose="02040602050305030304" pitchFamily="18" charset="0"/>
            </a:rPr>
            <a:t>GLOBAL SALES &amp; PROFITABILITY PERFORMANCE DASHBOARD</a:t>
          </a:r>
        </a:p>
      </xdr:txBody>
    </xdr:sp>
    <xdr:clientData/>
  </xdr:twoCellAnchor>
  <xdr:twoCellAnchor>
    <xdr:from>
      <xdr:col>2</xdr:col>
      <xdr:colOff>395037</xdr:colOff>
      <xdr:row>3</xdr:row>
      <xdr:rowOff>35719</xdr:rowOff>
    </xdr:from>
    <xdr:to>
      <xdr:col>4</xdr:col>
      <xdr:colOff>322010</xdr:colOff>
      <xdr:row>6</xdr:row>
      <xdr:rowOff>64294</xdr:rowOff>
    </xdr:to>
    <xdr:sp macro="" textlink="">
      <xdr:nvSpPr>
        <xdr:cNvPr id="9" name="Rectangle: Rounded Corners 8">
          <a:extLst>
            <a:ext uri="{FF2B5EF4-FFF2-40B4-BE49-F238E27FC236}">
              <a16:creationId xmlns:a16="http://schemas.microsoft.com/office/drawing/2014/main" id="{10A7970B-60BF-0257-27C2-2B5D5FBFA2F0}"/>
            </a:ext>
          </a:extLst>
        </xdr:cNvPr>
        <xdr:cNvSpPr/>
      </xdr:nvSpPr>
      <xdr:spPr>
        <a:xfrm>
          <a:off x="2249905" y="599699"/>
          <a:ext cx="1781842" cy="592556"/>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050" b="1">
              <a:latin typeface="Book Antiqua" panose="02040602050305030304" pitchFamily="18" charset="0"/>
            </a:rPr>
            <a:t>TOTAL REVENUE</a:t>
          </a:r>
        </a:p>
        <a:p>
          <a:pPr algn="ctr"/>
          <a:r>
            <a:rPr lang="en-US" sz="1400" b="0" i="0" u="none" strike="noStrike">
              <a:solidFill>
                <a:schemeClr val="lt1"/>
              </a:solidFill>
              <a:effectLst/>
              <a:latin typeface="Book Antiqua" panose="02040602050305030304" pitchFamily="18" charset="0"/>
              <a:ea typeface="+mn-ea"/>
              <a:cs typeface="+mn-cs"/>
            </a:rPr>
            <a:t>11,061,333.88</a:t>
          </a:r>
          <a:endParaRPr lang="en-US" sz="1050" b="1">
            <a:latin typeface="Book Antiqua" panose="02040602050305030304" pitchFamily="18" charset="0"/>
          </a:endParaRPr>
        </a:p>
      </xdr:txBody>
    </xdr:sp>
    <xdr:clientData/>
  </xdr:twoCellAnchor>
  <xdr:twoCellAnchor>
    <xdr:from>
      <xdr:col>4</xdr:col>
      <xdr:colOff>422819</xdr:colOff>
      <xdr:row>3</xdr:row>
      <xdr:rowOff>28575</xdr:rowOff>
    </xdr:from>
    <xdr:to>
      <xdr:col>6</xdr:col>
      <xdr:colOff>349792</xdr:colOff>
      <xdr:row>6</xdr:row>
      <xdr:rowOff>57150</xdr:rowOff>
    </xdr:to>
    <xdr:sp macro="" textlink="">
      <xdr:nvSpPr>
        <xdr:cNvPr id="10" name="Rectangle: Rounded Corners 9">
          <a:extLst>
            <a:ext uri="{FF2B5EF4-FFF2-40B4-BE49-F238E27FC236}">
              <a16:creationId xmlns:a16="http://schemas.microsoft.com/office/drawing/2014/main" id="{CCB60D59-A245-3968-B8B7-06E1897B243D}"/>
            </a:ext>
          </a:extLst>
        </xdr:cNvPr>
        <xdr:cNvSpPr/>
      </xdr:nvSpPr>
      <xdr:spPr>
        <a:xfrm>
          <a:off x="4132556" y="592555"/>
          <a:ext cx="1781841" cy="592556"/>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1">
              <a:latin typeface="Book Antiqua" panose="02040602050305030304" pitchFamily="18" charset="0"/>
            </a:rPr>
            <a:t>GROSS</a:t>
          </a:r>
          <a:r>
            <a:rPr lang="en-US" sz="1100" b="1" baseline="0">
              <a:latin typeface="Book Antiqua" panose="02040602050305030304" pitchFamily="18" charset="0"/>
            </a:rPr>
            <a:t> PROFIT</a:t>
          </a:r>
        </a:p>
        <a:p>
          <a:pPr algn="ctr"/>
          <a:r>
            <a:rPr lang="en-US" sz="1400" b="0" i="0" u="none" strike="noStrike">
              <a:solidFill>
                <a:schemeClr val="lt1"/>
              </a:solidFill>
              <a:effectLst/>
              <a:latin typeface="Book Antiqua" panose="02040602050305030304" pitchFamily="18" charset="0"/>
              <a:ea typeface="+mn-ea"/>
              <a:cs typeface="+mn-cs"/>
            </a:rPr>
            <a:t>3,565,138.67</a:t>
          </a:r>
          <a:endParaRPr lang="en-US" sz="1600" b="1">
            <a:latin typeface="Book Antiqua" panose="02040602050305030304" pitchFamily="18" charset="0"/>
          </a:endParaRPr>
        </a:p>
      </xdr:txBody>
    </xdr:sp>
    <xdr:clientData/>
  </xdr:twoCellAnchor>
  <xdr:twoCellAnchor>
    <xdr:from>
      <xdr:col>6</xdr:col>
      <xdr:colOff>450601</xdr:colOff>
      <xdr:row>3</xdr:row>
      <xdr:rowOff>42863</xdr:rowOff>
    </xdr:from>
    <xdr:to>
      <xdr:col>8</xdr:col>
      <xdr:colOff>377573</xdr:colOff>
      <xdr:row>6</xdr:row>
      <xdr:rowOff>71438</xdr:rowOff>
    </xdr:to>
    <xdr:sp macro="" textlink="">
      <xdr:nvSpPr>
        <xdr:cNvPr id="11" name="Rectangle: Rounded Corners 10">
          <a:extLst>
            <a:ext uri="{FF2B5EF4-FFF2-40B4-BE49-F238E27FC236}">
              <a16:creationId xmlns:a16="http://schemas.microsoft.com/office/drawing/2014/main" id="{49AC8DD0-B524-2B0A-26A6-20D56211B560}"/>
            </a:ext>
          </a:extLst>
        </xdr:cNvPr>
        <xdr:cNvSpPr/>
      </xdr:nvSpPr>
      <xdr:spPr>
        <a:xfrm>
          <a:off x="6015206" y="606843"/>
          <a:ext cx="1781841" cy="592556"/>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1">
              <a:latin typeface="Book Antiqua" panose="02040602050305030304" pitchFamily="18" charset="0"/>
            </a:rPr>
            <a:t>MARGIN</a:t>
          </a:r>
          <a:r>
            <a:rPr lang="en-US" sz="1100" b="1" baseline="0">
              <a:latin typeface="Book Antiqua" panose="02040602050305030304" pitchFamily="18" charset="0"/>
            </a:rPr>
            <a:t> %</a:t>
          </a:r>
        </a:p>
        <a:p>
          <a:pPr algn="ctr"/>
          <a:r>
            <a:rPr lang="en-US" sz="1400" b="1" baseline="0">
              <a:latin typeface="Book Antiqua" panose="02040602050305030304" pitchFamily="18" charset="0"/>
            </a:rPr>
            <a:t>0.32%</a:t>
          </a:r>
          <a:endParaRPr lang="en-US" sz="1100" b="1">
            <a:latin typeface="Book Antiqua" panose="02040602050305030304" pitchFamily="18" charset="0"/>
          </a:endParaRPr>
        </a:p>
      </xdr:txBody>
    </xdr:sp>
    <xdr:clientData/>
  </xdr:twoCellAnchor>
  <xdr:twoCellAnchor>
    <xdr:from>
      <xdr:col>8</xdr:col>
      <xdr:colOff>478382</xdr:colOff>
      <xdr:row>3</xdr:row>
      <xdr:rowOff>50007</xdr:rowOff>
    </xdr:from>
    <xdr:to>
      <xdr:col>10</xdr:col>
      <xdr:colOff>405356</xdr:colOff>
      <xdr:row>6</xdr:row>
      <xdr:rowOff>78582</xdr:rowOff>
    </xdr:to>
    <xdr:sp macro="" textlink="">
      <xdr:nvSpPr>
        <xdr:cNvPr id="12" name="Rectangle: Rounded Corners 11">
          <a:extLst>
            <a:ext uri="{FF2B5EF4-FFF2-40B4-BE49-F238E27FC236}">
              <a16:creationId xmlns:a16="http://schemas.microsoft.com/office/drawing/2014/main" id="{C1AA15AC-3D4A-06D7-4243-ABA87DFC64D1}"/>
            </a:ext>
          </a:extLst>
        </xdr:cNvPr>
        <xdr:cNvSpPr/>
      </xdr:nvSpPr>
      <xdr:spPr>
        <a:xfrm>
          <a:off x="7897856" y="613987"/>
          <a:ext cx="1781842" cy="592556"/>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1">
              <a:latin typeface="Book Antiqua" panose="02040602050305030304" pitchFamily="18" charset="0"/>
            </a:rPr>
            <a:t>AVG ORDER VALUE</a:t>
          </a:r>
          <a:r>
            <a:rPr lang="en-US" sz="1100" b="0" i="0" u="none" strike="noStrike">
              <a:solidFill>
                <a:schemeClr val="lt1"/>
              </a:solidFill>
              <a:effectLst/>
              <a:latin typeface="+mn-lt"/>
              <a:ea typeface="+mn-ea"/>
              <a:cs typeface="+mn-cs"/>
            </a:rPr>
            <a:t>                     </a:t>
          </a:r>
          <a:r>
            <a:rPr lang="en-US" sz="1400" b="0" i="0" u="none" strike="noStrike">
              <a:solidFill>
                <a:schemeClr val="lt1"/>
              </a:solidFill>
              <a:effectLst/>
              <a:latin typeface="Book Antiqua" panose="02040602050305030304" pitchFamily="18" charset="0"/>
              <a:ea typeface="+mn-ea"/>
              <a:cs typeface="+mn-cs"/>
            </a:rPr>
            <a:t>17,529.85</a:t>
          </a:r>
          <a:endParaRPr lang="en-US" sz="1100" b="1">
            <a:latin typeface="Book Antiqua" panose="02040602050305030304" pitchFamily="18" charset="0"/>
          </a:endParaRPr>
        </a:p>
      </xdr:txBody>
    </xdr:sp>
    <xdr:clientData/>
  </xdr:twoCellAnchor>
  <xdr:twoCellAnchor>
    <xdr:from>
      <xdr:col>10</xdr:col>
      <xdr:colOff>506164</xdr:colOff>
      <xdr:row>3</xdr:row>
      <xdr:rowOff>57150</xdr:rowOff>
    </xdr:from>
    <xdr:to>
      <xdr:col>12</xdr:col>
      <xdr:colOff>433136</xdr:colOff>
      <xdr:row>6</xdr:row>
      <xdr:rowOff>85725</xdr:rowOff>
    </xdr:to>
    <xdr:sp macro="" textlink="">
      <xdr:nvSpPr>
        <xdr:cNvPr id="13" name="Rectangle: Rounded Corners 12">
          <a:extLst>
            <a:ext uri="{FF2B5EF4-FFF2-40B4-BE49-F238E27FC236}">
              <a16:creationId xmlns:a16="http://schemas.microsoft.com/office/drawing/2014/main" id="{E5B3C95C-DC99-E6AE-9683-BB533E3086C0}"/>
            </a:ext>
          </a:extLst>
        </xdr:cNvPr>
        <xdr:cNvSpPr/>
      </xdr:nvSpPr>
      <xdr:spPr>
        <a:xfrm>
          <a:off x="9780506" y="621130"/>
          <a:ext cx="1781841" cy="592556"/>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1">
              <a:latin typeface="Book Antiqua" panose="02040602050305030304" pitchFamily="18" charset="0"/>
            </a:rPr>
            <a:t>ON-TIME</a:t>
          </a:r>
          <a:r>
            <a:rPr lang="en-US" sz="1100" b="1" baseline="0">
              <a:latin typeface="Book Antiqua" panose="02040602050305030304" pitchFamily="18" charset="0"/>
            </a:rPr>
            <a:t> %</a:t>
          </a:r>
        </a:p>
        <a:p>
          <a:pPr algn="ctr"/>
          <a:r>
            <a:rPr lang="en-US" sz="1400" b="1" baseline="0">
              <a:latin typeface="Book Antiqua" panose="02040602050305030304" pitchFamily="18" charset="0"/>
            </a:rPr>
            <a:t>21.87%</a:t>
          </a:r>
          <a:endParaRPr lang="en-US" sz="1100" b="1">
            <a:latin typeface="Book Antiqua" panose="02040602050305030304" pitchFamily="18" charset="0"/>
          </a:endParaRPr>
        </a:p>
      </xdr:txBody>
    </xdr:sp>
    <xdr:clientData/>
  </xdr:twoCellAnchor>
  <xdr:twoCellAnchor>
    <xdr:from>
      <xdr:col>3</xdr:col>
      <xdr:colOff>739588</xdr:colOff>
      <xdr:row>6</xdr:row>
      <xdr:rowOff>134470</xdr:rowOff>
    </xdr:from>
    <xdr:to>
      <xdr:col>9</xdr:col>
      <xdr:colOff>414618</xdr:colOff>
      <xdr:row>21</xdr:row>
      <xdr:rowOff>20170</xdr:rowOff>
    </xdr:to>
    <xdr:graphicFrame macro="">
      <xdr:nvGraphicFramePr>
        <xdr:cNvPr id="16" name="Chart 15">
          <a:extLst>
            <a:ext uri="{FF2B5EF4-FFF2-40B4-BE49-F238E27FC236}">
              <a16:creationId xmlns:a16="http://schemas.microsoft.com/office/drawing/2014/main" id="{2E765CC5-9EFA-44FA-9DBC-CE32C3871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470649</xdr:colOff>
      <xdr:row>6</xdr:row>
      <xdr:rowOff>134472</xdr:rowOff>
    </xdr:from>
    <xdr:to>
      <xdr:col>15</xdr:col>
      <xdr:colOff>156883</xdr:colOff>
      <xdr:row>21</xdr:row>
      <xdr:rowOff>20172</xdr:rowOff>
    </xdr:to>
    <xdr:graphicFrame macro="">
      <xdr:nvGraphicFramePr>
        <xdr:cNvPr id="17" name="Chart 16">
          <a:extLst>
            <a:ext uri="{FF2B5EF4-FFF2-40B4-BE49-F238E27FC236}">
              <a16:creationId xmlns:a16="http://schemas.microsoft.com/office/drawing/2014/main" id="{6B5F62E8-FAD4-471F-BE9F-9482B27C6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739589</xdr:colOff>
      <xdr:row>21</xdr:row>
      <xdr:rowOff>89647</xdr:rowOff>
    </xdr:from>
    <xdr:to>
      <xdr:col>9</xdr:col>
      <xdr:colOff>403413</xdr:colOff>
      <xdr:row>36</xdr:row>
      <xdr:rowOff>0</xdr:rowOff>
    </xdr:to>
    <xdr:graphicFrame macro="">
      <xdr:nvGraphicFramePr>
        <xdr:cNvPr id="18" name="Chart 17">
          <a:extLst>
            <a:ext uri="{FF2B5EF4-FFF2-40B4-BE49-F238E27FC236}">
              <a16:creationId xmlns:a16="http://schemas.microsoft.com/office/drawing/2014/main" id="{A415447E-5D92-41EA-AA66-D32551979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459441</xdr:colOff>
      <xdr:row>21</xdr:row>
      <xdr:rowOff>89646</xdr:rowOff>
    </xdr:from>
    <xdr:to>
      <xdr:col>15</xdr:col>
      <xdr:colOff>156883</xdr:colOff>
      <xdr:row>35</xdr:row>
      <xdr:rowOff>190499</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8FD991C4-E927-4C87-A98A-8E3817CBCA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729382" y="4090146"/>
              <a:ext cx="5210736" cy="27678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266700</xdr:colOff>
      <xdr:row>1</xdr:row>
      <xdr:rowOff>47625</xdr:rowOff>
    </xdr:from>
    <xdr:to>
      <xdr:col>10</xdr:col>
      <xdr:colOff>590550</xdr:colOff>
      <xdr:row>11</xdr:row>
      <xdr:rowOff>95250</xdr:rowOff>
    </xdr:to>
    <xdr:sp macro="" textlink="">
      <xdr:nvSpPr>
        <xdr:cNvPr id="2" name="TextBox 1">
          <a:extLst>
            <a:ext uri="{FF2B5EF4-FFF2-40B4-BE49-F238E27FC236}">
              <a16:creationId xmlns:a16="http://schemas.microsoft.com/office/drawing/2014/main" id="{09E60BFE-DE51-FDC6-FE69-4319CCD53FB2}"/>
            </a:ext>
          </a:extLst>
        </xdr:cNvPr>
        <xdr:cNvSpPr txBox="1"/>
      </xdr:nvSpPr>
      <xdr:spPr>
        <a:xfrm>
          <a:off x="266700" y="238125"/>
          <a:ext cx="6419850" cy="1952625"/>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algn="ctr"/>
          <a:r>
            <a:rPr lang="en-US" sz="1600" b="1">
              <a:solidFill>
                <a:schemeClr val="accent5">
                  <a:lumMod val="40000"/>
                  <a:lumOff val="60000"/>
                </a:schemeClr>
              </a:solidFill>
              <a:latin typeface="Book Antiqua" panose="02040602050305030304" pitchFamily="18" charset="0"/>
            </a:rPr>
            <a:t>DASHBOARD</a:t>
          </a:r>
          <a:r>
            <a:rPr lang="en-US" sz="1600" b="1" baseline="0">
              <a:solidFill>
                <a:schemeClr val="accent5">
                  <a:lumMod val="40000"/>
                  <a:lumOff val="60000"/>
                </a:schemeClr>
              </a:solidFill>
              <a:latin typeface="Book Antiqua" panose="02040602050305030304" pitchFamily="18" charset="0"/>
            </a:rPr>
            <a:t> INSIGHTS</a:t>
          </a:r>
        </a:p>
        <a:p>
          <a:pPr algn="l"/>
          <a:r>
            <a:rPr lang="en-US" sz="1200">
              <a:latin typeface="Book Antiqua" panose="02040602050305030304" pitchFamily="18" charset="0"/>
            </a:rPr>
            <a:t>-</a:t>
          </a:r>
          <a:r>
            <a:rPr lang="en-US" sz="1200" baseline="0">
              <a:latin typeface="Book Antiqua" panose="02040602050305030304" pitchFamily="18" charset="0"/>
            </a:rPr>
            <a:t> In Africa, The total revenue by month was highest in July and lowest in September.</a:t>
          </a:r>
        </a:p>
        <a:p>
          <a:pPr algn="l"/>
          <a:r>
            <a:rPr lang="en-US" sz="1200" baseline="0">
              <a:latin typeface="Book Antiqua" panose="02040602050305030304" pitchFamily="18" charset="0"/>
            </a:rPr>
            <a:t>- Profits are higher in Africa through the distributor channel compared to the other channels.</a:t>
          </a:r>
        </a:p>
        <a:p>
          <a:pPr algn="l"/>
          <a:r>
            <a:rPr lang="en-US" sz="1200" baseline="0">
              <a:latin typeface="Book Antiqua" panose="02040602050305030304" pitchFamily="18" charset="0"/>
            </a:rPr>
            <a:t>- Americas gains higher profits through online channels and lowest through retail channels</a:t>
          </a:r>
        </a:p>
        <a:p>
          <a:pPr algn="l"/>
          <a:r>
            <a:rPr lang="en-US" sz="1200" baseline="0">
              <a:latin typeface="Book Antiqua" panose="02040602050305030304" pitchFamily="18" charset="0"/>
            </a:rPr>
            <a:t>- In Asia, A Patel sold more products in September and got high profits through the marketplace channel.</a:t>
          </a:r>
        </a:p>
        <a:p>
          <a:pPr algn="l"/>
          <a:r>
            <a:rPr lang="en-US" sz="1200" baseline="0">
              <a:latin typeface="Book Antiqua" panose="02040602050305030304" pitchFamily="18" charset="0"/>
            </a:rPr>
            <a:t>- Europe's high profits are through the Direct channel</a:t>
          </a:r>
        </a:p>
        <a:p>
          <a:pPr algn="l"/>
          <a:r>
            <a:rPr lang="en-US" sz="1200" baseline="0">
              <a:latin typeface="Book Antiqua" panose="02040602050305030304" pitchFamily="18" charset="0"/>
            </a:rPr>
            <a:t>- Discount outliers are with the 5%-20% range.</a:t>
          </a:r>
          <a:endParaRPr lang="en-US" sz="1200">
            <a:latin typeface="Book Antiqua" panose="0204060205030503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vin Warui" refreshedDate="46054.899605902778" createdVersion="8" refreshedVersion="8" minRefreshableVersion="3" recordCount="631" xr:uid="{0737A208-5320-482B-BF64-5AA6F37CD86B}">
  <cacheSource type="worksheet">
    <worksheetSource ref="A1:AL632" sheet="StagingData"/>
  </cacheSource>
  <cacheFields count="41">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7">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3-01-29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40"/>
    </cacheField>
    <cacheField name="RequiredDate" numFmtId="14">
      <sharedItems containsSemiMixedTypes="0" containsNonDate="0" containsDate="1" containsString="0" minDate="2023-01-05T00:00:00" maxDate="2025-10-06T00:00:00"/>
    </cacheField>
    <cacheField name="Quarter" numFmtId="14">
      <sharedItems/>
    </cacheField>
    <cacheField name="Required Date(Corrected)" numFmtId="14">
      <sharedItems containsSemiMixedTypes="0" containsNonDate="0" containsDate="1" containsString="0" minDate="2023-01-05T00:00:00" maxDate="2025-10-06T00:00:00"/>
    </cacheField>
    <cacheField name="Lead Time(Days)" numFmtId="1">
      <sharedItems containsSemiMixedTypes="0" containsString="0" containsNumber="1" containsInteger="1" minValue="0" maxValue="30"/>
    </cacheField>
    <cacheField name="Met7DayTarget" numFmtId="1">
      <sharedItems count="2">
        <s v="Does not Meet Target"/>
        <s v="Meets Target"/>
      </sharedItems>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ount="40">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Unknown"/>
        <s v="Austin"/>
        <s v="Frankfurt"/>
        <s v="Beijing"/>
        <s v="New York"/>
      </sharedItems>
    </cacheField>
    <cacheField name="CustomerSegment" numFmtId="0">
      <sharedItems/>
    </cacheField>
    <cacheField name="Channel" numFmtId="0">
      <sharedItems count="6">
        <s v="Retail"/>
        <s v="Online"/>
        <s v="Marketplace"/>
        <s v="Distributor"/>
        <s v="Direct"/>
        <s v="Unknown"/>
      </sharedItems>
    </cacheField>
    <cacheField name="Salesperson" numFmtId="0">
      <sharedItems count="16">
        <s v="C. Otieno"/>
        <s v="J. Njeri"/>
        <s v="I. Johnson"/>
        <s v="G. Dubois"/>
        <s v="L. Okafor"/>
        <s v="B. Chen"/>
        <s v="E. Garcia"/>
        <s v="O. Wang"/>
        <s v="A. Patel"/>
        <s v="F. Müller"/>
        <s v="H. Kim"/>
        <s v="K. Singh"/>
        <s v="M. Rossi"/>
        <s v="N. Brown"/>
        <s v="D. Smith"/>
        <s v="Unknown"/>
      </sharedItems>
    </cacheField>
    <cacheField name="ProductCategory" numFmtId="0">
      <sharedItems count="7">
        <s v="Components"/>
        <s v="Printers"/>
        <s v="Networking"/>
        <s v="Phones"/>
        <s v="Laptops"/>
        <s v="Monitors"/>
        <s v="Accessories"/>
      </sharedItems>
    </cacheField>
    <cacheField name="PriceBand" numFmtId="0">
      <sharedItems/>
    </cacheField>
    <cacheField name="SKU" numFmtId="0">
      <sharedItems count="629">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43">
      <sharedItems containsSemiMixedTypes="0" containsString="0" containsNumber="1" minValue="5.34" maxValue="1495.79"/>
    </cacheField>
    <cacheField name="UnitPrice" numFmtId="43">
      <sharedItems containsSemiMixedTypes="0" containsString="0" containsNumber="1" minValue="-33.659999999999997" maxValue="3661.07"/>
    </cacheField>
    <cacheField name="UnitPrice(Corrected)" numFmtId="43">
      <sharedItems containsSemiMixedTypes="0" containsString="0" containsNumber="1" minValue="4.22" maxValue="3661.07"/>
    </cacheField>
    <cacheField name="DiscountPct" numFmtId="2">
      <sharedItems containsSemiMixedTypes="0" containsString="0" containsNumber="1" minValue="0" maxValue="0.56499999999999995"/>
    </cacheField>
    <cacheField name="DiscountPct(Corrected)" numFmtId="2">
      <sharedItems containsSemiMixedTypes="0" containsString="0" containsNumber="1" minValue="0" maxValue="0.29899999999999999"/>
    </cacheField>
    <cacheField name="DiscountPct &gt; 20%" numFmtId="9">
      <sharedItems count="2">
        <s v="Less than 20%"/>
        <s v="Greater than 20%"/>
      </sharedItems>
    </cacheField>
    <cacheField name="Quantity" numFmtId="1">
      <sharedItems containsSemiMixedTypes="0" containsString="0" containsNumber="1" containsInteger="1" minValue="2" maxValue="61"/>
    </cacheField>
    <cacheField name="GrossRevenue" numFmtId="43">
      <sharedItems containsSemiMixedTypes="0" containsString="0" containsNumber="1" minValue="18.659839999999999" maxValue="139277.83032000001"/>
    </cacheField>
    <cacheField name="CostofGoods" numFmtId="43">
      <sharedItems containsSemiMixedTypes="0" containsString="0" containsNumber="1" minValue="22" maxValue="83258.290000000008"/>
    </cacheField>
    <cacheField name="GrossProfit" numFmtId="43">
      <sharedItems containsSemiMixedTypes="0" containsString="0" containsNumber="1" minValue="-15655.657510000005" maxValue="65188.659999999996"/>
    </cacheField>
    <cacheField name="Margin%" numFmtId="2">
      <sharedItems containsSemiMixedTypes="0" containsString="0" containsNumber="1" minValue="-0.87167486187856302" maxValue="0.59672531214528945"/>
    </cacheField>
    <cacheField name="DiscountCap" numFmtId="2">
      <sharedItems containsSemiMixedTypes="0" containsString="0" containsNumber="1" minValue="0" maxValue="0.56499999999999995"/>
    </cacheField>
    <cacheField name="Adjusted Unit Price" numFmtId="43">
      <sharedItems containsSemiMixedTypes="0" containsString="0" containsNumber="1" minValue="3.7178199999999997" maxValue="3524"/>
    </cacheField>
    <cacheField name="Adjusted UnitCost" numFmtId="43">
      <sharedItems containsSemiMixedTypes="0" containsString="0" containsNumber="1" minValue="5.34" maxValue="1495.79"/>
    </cacheField>
    <cacheField name="Adjusted Quantity" numFmtId="1">
      <sharedItems containsSemiMixedTypes="0" containsString="0" containsNumber="1" minValue="2.34" maxValue="71.36999999999999"/>
    </cacheField>
    <cacheField name="Adjusted GrossRevenue" numFmtId="43">
      <sharedItems containsSemiMixedTypes="0" containsString="0" containsNumber="1" minValue="22.995647999999996" maxValue="163348.67273399996"/>
    </cacheField>
    <cacheField name="Adjusted CostofGoodsSold" numFmtId="43">
      <sharedItems containsSemiMixedTypes="0" containsString="0" containsNumber="1" minValue="25.74" maxValue="97412.199299999993"/>
    </cacheField>
    <cacheField name="Adjusted Gross Profit" numFmtId="43">
      <sharedItems containsSemiMixedTypes="0" containsString="0" containsNumber="1" minValue="-23158.119347999997" maxValue="76270.732199999984"/>
    </cacheField>
    <cacheField name="Adjusted Margin%" numFmtId="4">
      <sharedItems containsSemiMixedTypes="0" containsString="0" containsNumber="1" minValue="-1.0130877902983273" maxValue="0.59672531214528945"/>
    </cacheField>
    <cacheField name="GrossRevenue Diff" numFmtId="43">
      <sharedItems containsSemiMixedTypes="0" containsString="0" containsNumber="1" minValue="-14558.755271999995" maxValue="28138.14499999999"/>
    </cacheField>
    <cacheField name="GrossProfit Diff" numFmtId="43">
      <sharedItems containsSemiMixedTypes="0" containsString="0" containsNumber="1" minValue="-15655.657510000005" maxValue="65188.659999999996"/>
    </cacheField>
    <cacheField name="Margin Diff" numFmtId="2">
      <sharedItems containsSemiMixedTypes="0" containsString="0" containsNumber="1" minValue="-0.47033200724890839" maxValue="0.16889346006616401"/>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604271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x v="0"/>
    <x v="0"/>
    <d v="2024-04-06T00:00:00"/>
    <s v="Q1-2024"/>
    <d v="2024-04-06T00:00:00"/>
    <n v="26"/>
    <x v="0"/>
    <x v="0"/>
    <x v="0"/>
    <x v="0"/>
    <s v="Corporate"/>
    <x v="0"/>
    <x v="0"/>
    <x v="0"/>
    <s v="Low"/>
    <x v="0"/>
    <n v="279.24"/>
    <n v="608.9"/>
    <n v="608.9"/>
    <n v="0.112"/>
    <n v="0.112"/>
    <x v="0"/>
    <n v="9"/>
    <n v="4866.3287999999993"/>
    <n v="2513.16"/>
    <n v="2353.1687999999995"/>
    <n v="0.48356140670149533"/>
    <n v="0.112"/>
    <n v="540.70320000000004"/>
    <n v="290.40960000000001"/>
    <n v="10.53"/>
    <n v="5693.6046960000003"/>
    <n v="3058.0130880000002"/>
    <n v="2635.5916080000002"/>
    <n v="0.46290386296955521"/>
    <n v="827.27589600000101"/>
    <n v="2353.1687999999995"/>
    <n v="-2.065754373194012E-2"/>
  </r>
  <r>
    <x v="1"/>
    <x v="1"/>
    <d v="2024-10-22T00:00:00"/>
    <s v="Q4-2024"/>
    <d v="2024-11-11T00:00:00"/>
    <n v="19"/>
    <x v="0"/>
    <x v="0"/>
    <x v="1"/>
    <x v="1"/>
    <s v="Education"/>
    <x v="1"/>
    <x v="1"/>
    <x v="1"/>
    <s v="Medium"/>
    <x v="1"/>
    <n v="1084.3900000000001"/>
    <n v="759.33"/>
    <n v="759.33"/>
    <n v="0.23699999999999999"/>
    <n v="0.23699999999999999"/>
    <x v="1"/>
    <n v="31"/>
    <n v="17960.432489999999"/>
    <n v="33616.090000000004"/>
    <n v="-15655.657510000005"/>
    <n v="-0.87167486187856302"/>
    <n v="0.17"/>
    <n v="630.24390000000005"/>
    <n v="1268.7363"/>
    <n v="36.269999999999996"/>
    <n v="22858.946252999998"/>
    <n v="46017.065600999995"/>
    <n v="-23158.119347999997"/>
    <n v="-1.0130877902983273"/>
    <n v="4898.513762999999"/>
    <n v="-15655.657510000005"/>
    <n v="-0.14141292841976427"/>
  </r>
  <r>
    <x v="2"/>
    <x v="2"/>
    <d v="2023-03-25T00:00:00"/>
    <s v="Q1-2023"/>
    <d v="2023-03-25T00:00:00"/>
    <n v="25"/>
    <x v="0"/>
    <x v="0"/>
    <x v="0"/>
    <x v="2"/>
    <s v="Corporate"/>
    <x v="0"/>
    <x v="2"/>
    <x v="2"/>
    <s v="Medium"/>
    <x v="2"/>
    <n v="1460.76"/>
    <n v="-30.66"/>
    <n v="1186.26"/>
    <n v="0.13100000000000001"/>
    <n v="0.13100000000000001"/>
    <x v="0"/>
    <n v="12"/>
    <n v="12370.31928"/>
    <n v="17529.12"/>
    <n v="-5158.8007199999993"/>
    <n v="-0.41703052307959504"/>
    <n v="0.13100000000000001"/>
    <n v="1030.8599400000001"/>
    <n v="1460.76"/>
    <n v="14.04"/>
    <n v="14473.2735576"/>
    <n v="20509.070399999997"/>
    <n v="-6035.7968423999973"/>
    <n v="-0.41703052307959493"/>
    <n v="2102.9542775999998"/>
    <n v="-5158.8007199999993"/>
    <n v="0"/>
  </r>
  <r>
    <x v="3"/>
    <x v="3"/>
    <d v="2025-04-02T00:00:00"/>
    <s v="Q1-2025"/>
    <d v="2025-04-02T00:00:00"/>
    <n v="4"/>
    <x v="1"/>
    <x v="0"/>
    <x v="1"/>
    <x v="3"/>
    <s v="Non-Profit"/>
    <x v="2"/>
    <x v="3"/>
    <x v="3"/>
    <s v="Low"/>
    <x v="3"/>
    <n v="259.93"/>
    <n v="255.94"/>
    <n v="255.94"/>
    <n v="7.1999999999999995E-2"/>
    <n v="7.1999999999999995E-2"/>
    <x v="0"/>
    <n v="22"/>
    <n v="5225.2710400000005"/>
    <n v="5718.46"/>
    <n v="-493.1889599999995"/>
    <n v="-9.4385335463861311E-2"/>
    <n v="7.1999999999999995E-2"/>
    <n v="237.51232000000002"/>
    <n v="259.93"/>
    <n v="25.74"/>
    <n v="6113.5671167999999"/>
    <n v="6690.5981999999995"/>
    <n v="-577.03108319999956"/>
    <n v="-9.4385335463861339E-2"/>
    <n v="888.29607679999935"/>
    <n v="-493.1889599999995"/>
    <n v="0"/>
  </r>
  <r>
    <x v="4"/>
    <x v="4"/>
    <d v="2023-12-31T00:00:00"/>
    <s v="Q4-2023"/>
    <d v="2023-12-31T00:00:00"/>
    <n v="25"/>
    <x v="0"/>
    <x v="1"/>
    <x v="2"/>
    <x v="4"/>
    <s v="Consumer"/>
    <x v="0"/>
    <x v="4"/>
    <x v="1"/>
    <s v="Medium"/>
    <x v="4"/>
    <n v="663.03"/>
    <n v="813.51"/>
    <n v="813.51"/>
    <n v="0.10199999999999999"/>
    <n v="0.10199999999999999"/>
    <x v="0"/>
    <n v="15"/>
    <n v="10957.9797"/>
    <n v="9945.4499999999989"/>
    <n v="1012.529700000001"/>
    <n v="9.2401129379715952E-2"/>
    <n v="0.10199999999999999"/>
    <n v="730.53197999999998"/>
    <n v="663.03"/>
    <n v="17.549999999999997"/>
    <n v="12820.836248999998"/>
    <n v="11636.176499999998"/>
    <n v="1184.6597490000004"/>
    <n v="9.240112937971591E-2"/>
    <n v="1862.8565489999983"/>
    <n v="1012.529700000001"/>
    <n v="0"/>
  </r>
  <r>
    <x v="5"/>
    <x v="5"/>
    <d v="2023-01-05T00:00:00"/>
    <s v="Q1-2023"/>
    <d v="2023-01-05T00:00:00"/>
    <n v="3"/>
    <x v="1"/>
    <x v="2"/>
    <x v="3"/>
    <x v="5"/>
    <s v="Corporate"/>
    <x v="3"/>
    <x v="5"/>
    <x v="4"/>
    <s v="Low"/>
    <x v="5"/>
    <n v="315.87"/>
    <n v="591.67999999999995"/>
    <n v="591.67999999999995"/>
    <n v="0"/>
    <n v="0"/>
    <x v="0"/>
    <n v="7"/>
    <n v="4141.7599999999993"/>
    <n v="2211.09"/>
    <n v="1930.6699999999992"/>
    <n v="0.46614724175229844"/>
    <n v="0"/>
    <n v="591.67999999999995"/>
    <n v="315.87"/>
    <n v="8.19"/>
    <n v="4845.859199999999"/>
    <n v="2586.9753000000001"/>
    <n v="2258.8838999999989"/>
    <n v="0.46614724175229844"/>
    <n v="704.09919999999966"/>
    <n v="1930.6699999999992"/>
    <n v="0"/>
  </r>
  <r>
    <x v="6"/>
    <x v="6"/>
    <d v="2025-01-14T00:00:00"/>
    <s v="Q4-2024"/>
    <d v="2025-01-14T00:00:00"/>
    <n v="18"/>
    <x v="0"/>
    <x v="1"/>
    <x v="4"/>
    <x v="6"/>
    <s v="Small Business"/>
    <x v="2"/>
    <x v="6"/>
    <x v="5"/>
    <s v="Medium"/>
    <x v="6"/>
    <n v="586.07000000000005"/>
    <n v="845.97"/>
    <n v="845.97"/>
    <n v="0.14699999999999999"/>
    <n v="0.14699999999999999"/>
    <x v="0"/>
    <n v="4"/>
    <n v="2886.4496399999998"/>
    <n v="2344.2800000000002"/>
    <n v="542.16963999999962"/>
    <n v="0.18783270370862928"/>
    <n v="0.14699999999999999"/>
    <n v="721.61240999999995"/>
    <n v="586.07000000000005"/>
    <n v="4.68"/>
    <n v="3377.1460787999995"/>
    <n v="2742.8076000000001"/>
    <n v="634.33847879999939"/>
    <n v="0.18783270370862926"/>
    <n v="490.69643879999967"/>
    <n v="542.16963999999962"/>
    <n v="0"/>
  </r>
  <r>
    <x v="7"/>
    <x v="7"/>
    <d v="2023-01-13T00:00:00"/>
    <s v="Q1-2023"/>
    <d v="2023-02-02T00:00:00"/>
    <n v="18"/>
    <x v="0"/>
    <x v="0"/>
    <x v="1"/>
    <x v="7"/>
    <s v="Education"/>
    <x v="1"/>
    <x v="7"/>
    <x v="1"/>
    <s v="Low"/>
    <x v="7"/>
    <n v="28.38"/>
    <n v="47.22"/>
    <n v="47.22"/>
    <n v="0.19400000000000001"/>
    <n v="0.19400000000000001"/>
    <x v="0"/>
    <n v="18"/>
    <n v="685.06776000000002"/>
    <n v="510.84"/>
    <n v="174.22776000000005"/>
    <n v="0.25432193743871417"/>
    <n v="0.17"/>
    <n v="39.192599999999999"/>
    <n v="28.38"/>
    <n v="21.06"/>
    <n v="825.39615599999991"/>
    <n v="597.68279999999993"/>
    <n v="227.71335599999998"/>
    <n v="0.27588371274169105"/>
    <n v="140.32839599999988"/>
    <n v="174.22776000000005"/>
    <n v="2.1561775302976871E-2"/>
  </r>
  <r>
    <x v="8"/>
    <x v="8"/>
    <d v="2024-05-29T00:00:00"/>
    <s v="Q2-2024"/>
    <d v="2024-05-29T00:00:00"/>
    <n v="25"/>
    <x v="0"/>
    <x v="0"/>
    <x v="1"/>
    <x v="7"/>
    <s v="Non-Profit"/>
    <x v="2"/>
    <x v="7"/>
    <x v="5"/>
    <s v="High"/>
    <x v="8"/>
    <n v="1295.3399999999999"/>
    <n v="2530.81"/>
    <n v="2530.81"/>
    <n v="3.1E-2"/>
    <n v="3.1E-2"/>
    <x v="0"/>
    <n v="6"/>
    <n v="14714.12934"/>
    <n v="7772.0399999999991"/>
    <n v="6942.0893400000004"/>
    <n v="0.4717974933880798"/>
    <n v="3.1E-2"/>
    <n v="2452.3548900000001"/>
    <n v="1295.3399999999999"/>
    <n v="7.02"/>
    <n v="17215.531327799999"/>
    <n v="9093.286799999998"/>
    <n v="8122.2445278000014"/>
    <n v="0.4717974933880798"/>
    <n v="2501.4019877999999"/>
    <n v="6942.0893400000004"/>
    <n v="0"/>
  </r>
  <r>
    <x v="9"/>
    <x v="9"/>
    <d v="2025-06-09T00:00:00"/>
    <s v="Q2-2025"/>
    <d v="2025-06-09T00:00:00"/>
    <n v="19"/>
    <x v="0"/>
    <x v="2"/>
    <x v="5"/>
    <x v="8"/>
    <s v="Non-Profit"/>
    <x v="1"/>
    <x v="8"/>
    <x v="0"/>
    <s v="High"/>
    <x v="9"/>
    <n v="1331.38"/>
    <n v="2309.56"/>
    <n v="2309.56"/>
    <n v="0.14899999999999999"/>
    <n v="0.14899999999999999"/>
    <x v="0"/>
    <n v="31"/>
    <n v="60928.502359999999"/>
    <n v="41272.780000000006"/>
    <n v="19655.722359999992"/>
    <n v="0.32260307735553528"/>
    <n v="0.14899999999999999"/>
    <n v="1965.4355599999999"/>
    <n v="1331.38"/>
    <n v="36.269999999999996"/>
    <n v="71286.347761199984"/>
    <n v="48289.152600000001"/>
    <n v="22997.195161199983"/>
    <n v="0.32260307735553523"/>
    <n v="10357.845401199986"/>
    <n v="19655.722359999992"/>
    <n v="0"/>
  </r>
  <r>
    <x v="10"/>
    <x v="10"/>
    <d v="2024-02-09T00:00:00"/>
    <s v="Q1-2024"/>
    <d v="2024-02-09T00:00:00"/>
    <n v="12"/>
    <x v="0"/>
    <x v="3"/>
    <x v="6"/>
    <x v="9"/>
    <s v="Corporate"/>
    <x v="1"/>
    <x v="3"/>
    <x v="6"/>
    <s v="Low"/>
    <x v="10"/>
    <n v="644.16999999999996"/>
    <n v="700.12"/>
    <n v="700.12"/>
    <n v="6.0000000000000001E-3"/>
    <n v="6.0000000000000001E-3"/>
    <x v="0"/>
    <n v="23"/>
    <n v="16006.14344"/>
    <n v="14815.91"/>
    <n v="1190.23344"/>
    <n v="7.436103796405813E-2"/>
    <n v="6.0000000000000001E-3"/>
    <n v="695.91927999999996"/>
    <n v="644.16999999999996"/>
    <n v="26.909999999999997"/>
    <n v="18727.187824799996"/>
    <n v="17334.614699999998"/>
    <n v="1392.5731247999975"/>
    <n v="7.4361037964058005E-2"/>
    <n v="2721.0443847999959"/>
    <n v="1190.23344"/>
    <n v="-1.2490009027033011E-16"/>
  </r>
  <r>
    <x v="11"/>
    <x v="11"/>
    <d v="2025-01-23T00:00:00"/>
    <s v="Q1-2025"/>
    <d v="2025-01-23T00:00:00"/>
    <n v="20"/>
    <x v="0"/>
    <x v="1"/>
    <x v="2"/>
    <x v="4"/>
    <s v="Corporate"/>
    <x v="3"/>
    <x v="9"/>
    <x v="3"/>
    <s v="Low"/>
    <x v="11"/>
    <n v="908.6"/>
    <n v="691.37"/>
    <n v="691.37"/>
    <n v="0.25"/>
    <n v="0.25"/>
    <x v="1"/>
    <n v="20"/>
    <n v="10370.549999999999"/>
    <n v="18172"/>
    <n v="-7801.4500000000007"/>
    <n v="-0.75226964818645115"/>
    <n v="0.17"/>
    <n v="573.83709999999996"/>
    <n v="908.6"/>
    <n v="23.4"/>
    <n v="13427.788139999999"/>
    <n v="21261.239999999998"/>
    <n v="-7833.4518599999992"/>
    <n v="-0.58337618812028713"/>
    <n v="3057.2381399999995"/>
    <n v="-7801.4500000000007"/>
    <n v="0.16889346006616401"/>
  </r>
  <r>
    <x v="12"/>
    <x v="12"/>
    <d v="2025-03-31T00:00:00"/>
    <s v="Q1-2025"/>
    <d v="2025-03-31T00:00:00"/>
    <n v="25"/>
    <x v="0"/>
    <x v="2"/>
    <x v="5"/>
    <x v="10"/>
    <s v="Non-Profit"/>
    <x v="1"/>
    <x v="1"/>
    <x v="0"/>
    <s v="Low"/>
    <x v="12"/>
    <n v="331.57"/>
    <n v="548.4"/>
    <n v="548.4"/>
    <n v="9.4E-2"/>
    <n v="9.4E-2"/>
    <x v="0"/>
    <n v="10"/>
    <n v="4968.5039999999999"/>
    <n v="3315.7"/>
    <n v="1652.8040000000001"/>
    <n v="0.33265626836568918"/>
    <n v="9.4E-2"/>
    <n v="496.85039999999998"/>
    <n v="331.57"/>
    <n v="11.7"/>
    <n v="5813.1496799999995"/>
    <n v="3879.3689999999997"/>
    <n v="1933.7806799999998"/>
    <n v="0.33265626836568912"/>
    <n v="844.64567999999963"/>
    <n v="1652.8040000000001"/>
    <n v="0"/>
  </r>
  <r>
    <x v="13"/>
    <x v="13"/>
    <d v="2024-02-13T00:00:00"/>
    <s v="Q1-2024"/>
    <d v="2024-02-13T00:00:00"/>
    <n v="24"/>
    <x v="0"/>
    <x v="3"/>
    <x v="7"/>
    <x v="11"/>
    <s v="Corporate"/>
    <x v="0"/>
    <x v="10"/>
    <x v="1"/>
    <s v="High"/>
    <x v="13"/>
    <n v="643.53"/>
    <n v="1439.01"/>
    <n v="1439.01"/>
    <n v="0"/>
    <n v="0"/>
    <x v="0"/>
    <n v="15"/>
    <n v="21585.15"/>
    <n v="9652.9499999999989"/>
    <n v="11932.200000000003"/>
    <n v="0.55279671440782208"/>
    <n v="0"/>
    <n v="1439.01"/>
    <n v="643.53"/>
    <n v="17.549999999999997"/>
    <n v="25254.625499999995"/>
    <n v="11293.951499999997"/>
    <n v="13960.673999999997"/>
    <n v="0.55279671440782208"/>
    <n v="3669.4754999999932"/>
    <n v="11932.200000000003"/>
    <n v="0"/>
  </r>
  <r>
    <x v="14"/>
    <x v="14"/>
    <d v="2025-09-30T00:00:00"/>
    <s v="Q3-2025"/>
    <d v="2025-09-30T00:00:00"/>
    <n v="29"/>
    <x v="0"/>
    <x v="2"/>
    <x v="5"/>
    <x v="10"/>
    <s v="Education"/>
    <x v="0"/>
    <x v="11"/>
    <x v="6"/>
    <s v="Low"/>
    <x v="14"/>
    <n v="780.59"/>
    <n v="631.57000000000005"/>
    <n v="631.57000000000005"/>
    <n v="0"/>
    <n v="0"/>
    <x v="0"/>
    <n v="12"/>
    <n v="7578.84"/>
    <n v="9367.08"/>
    <n v="-1788.2399999999998"/>
    <n v="-0.23595167598207639"/>
    <n v="0"/>
    <n v="631.57000000000005"/>
    <n v="780.59"/>
    <n v="14.04"/>
    <n v="8867.2428"/>
    <n v="10959.4836"/>
    <n v="-2092.2407999999996"/>
    <n v="-0.23595167598207636"/>
    <n v="1288.4027999999998"/>
    <n v="-1788.2399999999998"/>
    <n v="0"/>
  </r>
  <r>
    <x v="15"/>
    <x v="15"/>
    <d v="2023-04-22T00:00:00"/>
    <s v="Q2-2023"/>
    <d v="2023-05-12T00:00:00"/>
    <n v="19"/>
    <x v="0"/>
    <x v="0"/>
    <x v="0"/>
    <x v="2"/>
    <s v="Small Business"/>
    <x v="4"/>
    <x v="6"/>
    <x v="4"/>
    <s v="Low"/>
    <x v="15"/>
    <n v="756.51"/>
    <n v="850.8"/>
    <n v="850.8"/>
    <n v="7.3999999999999996E-2"/>
    <n v="7.3999999999999996E-2"/>
    <x v="0"/>
    <n v="9"/>
    <n v="7090.5672000000004"/>
    <n v="6808.59"/>
    <n v="281.97720000000027"/>
    <n v="3.9767932810791252E-2"/>
    <n v="7.3999999999999996E-2"/>
    <n v="787.84079999999994"/>
    <n v="756.51"/>
    <n v="10.53"/>
    <n v="8295.9636239999982"/>
    <n v="7966.050299999999"/>
    <n v="329.91332399999919"/>
    <n v="3.9767932810791128E-2"/>
    <n v="1205.3964239999978"/>
    <n v="281.97720000000027"/>
    <n v="-1.2490009027033011E-16"/>
  </r>
  <r>
    <x v="16"/>
    <x v="16"/>
    <d v="2025-01-08T00:00:00"/>
    <s v="Q4-2024"/>
    <d v="2025-01-08T00:00:00"/>
    <n v="29"/>
    <x v="0"/>
    <x v="3"/>
    <x v="7"/>
    <x v="11"/>
    <s v="Small Business"/>
    <x v="0"/>
    <x v="11"/>
    <x v="1"/>
    <s v="Medium"/>
    <x v="16"/>
    <n v="891.08"/>
    <n v="1040.0999999999999"/>
    <n v="1040.0999999999999"/>
    <n v="0.109"/>
    <n v="0.109"/>
    <x v="0"/>
    <n v="28"/>
    <n v="25948.414799999995"/>
    <n v="24950.240000000002"/>
    <n v="998.17479999999341"/>
    <n v="3.8467660074556598E-2"/>
    <n v="0.109"/>
    <n v="926.7290999999999"/>
    <n v="891.08"/>
    <n v="32.76"/>
    <n v="30359.645315999995"/>
    <n v="29191.7808"/>
    <n v="1167.8645159999942"/>
    <n v="3.846766007455666E-2"/>
    <n v="4411.2305159999996"/>
    <n v="998.17479999999341"/>
    <n v="6.2450045135165055E-17"/>
  </r>
  <r>
    <x v="17"/>
    <x v="17"/>
    <d v="2025-09-16T00:00:00"/>
    <s v="Q3-2025"/>
    <d v="2025-09-16T00:00:00"/>
    <n v="8"/>
    <x v="0"/>
    <x v="1"/>
    <x v="2"/>
    <x v="4"/>
    <s v="Corporate"/>
    <x v="3"/>
    <x v="0"/>
    <x v="3"/>
    <s v="High"/>
    <x v="17"/>
    <n v="1225.57"/>
    <n v="2705.57"/>
    <n v="2705.57"/>
    <n v="0.183"/>
    <n v="0.183"/>
    <x v="0"/>
    <n v="16"/>
    <n v="35367.211040000002"/>
    <n v="19609.12"/>
    <n v="15758.091040000003"/>
    <n v="0.44555650775453404"/>
    <n v="0.17"/>
    <n v="2245.6231000000002"/>
    <n v="1225.57"/>
    <n v="18.72"/>
    <n v="42038.064431999999"/>
    <n v="22942.670399999999"/>
    <n v="19095.394032"/>
    <n v="0.45424056245235456"/>
    <n v="6670.8533919999973"/>
    <n v="15758.091040000003"/>
    <n v="8.6840546978205202E-3"/>
  </r>
  <r>
    <x v="18"/>
    <x v="18"/>
    <d v="2025-08-05T00:00:00"/>
    <s v="Q3-2025"/>
    <d v="2025-08-05T00:00:00"/>
    <n v="16"/>
    <x v="0"/>
    <x v="2"/>
    <x v="5"/>
    <x v="10"/>
    <s v="Enterprise"/>
    <x v="2"/>
    <x v="3"/>
    <x v="6"/>
    <s v="High"/>
    <x v="18"/>
    <n v="1068.17"/>
    <n v="2375.37"/>
    <n v="2375.37"/>
    <n v="0.109"/>
    <n v="0.109"/>
    <x v="0"/>
    <n v="18"/>
    <n v="38096.18406"/>
    <n v="19227.060000000001"/>
    <n v="18869.124059999998"/>
    <n v="0.49530220744108822"/>
    <n v="0.109"/>
    <n v="2116.4546700000001"/>
    <n v="1068.17"/>
    <n v="21.06"/>
    <n v="44572.5353502"/>
    <n v="22495.660199999998"/>
    <n v="22076.875150200001"/>
    <n v="0.49530220744108827"/>
    <n v="6476.3512902000002"/>
    <n v="18869.124059999998"/>
    <n v="0"/>
  </r>
  <r>
    <x v="19"/>
    <x v="9"/>
    <d v="2025-05-19T00:00:00"/>
    <s v="Q2-2025"/>
    <d v="2025-06-08T00:00:00"/>
    <n v="18"/>
    <x v="0"/>
    <x v="3"/>
    <x v="8"/>
    <x v="12"/>
    <s v="Enterprise"/>
    <x v="1"/>
    <x v="12"/>
    <x v="4"/>
    <s v="High"/>
    <x v="19"/>
    <n v="1015.16"/>
    <n v="2148.14"/>
    <n v="2148.14"/>
    <n v="3.7999999999999999E-2"/>
    <n v="3.7999999999999999E-2"/>
    <x v="0"/>
    <n v="19"/>
    <n v="39263.702919999996"/>
    <n v="19288.04"/>
    <n v="19975.662919999995"/>
    <n v="0.50875647059322227"/>
    <n v="3.7999999999999999E-2"/>
    <n v="2066.5106799999999"/>
    <n v="1015.16"/>
    <n v="22.229999999999997"/>
    <n v="45938.53241639999"/>
    <n v="22567.006799999996"/>
    <n v="23371.525616399995"/>
    <n v="0.50875647059322238"/>
    <n v="6674.8294963999942"/>
    <n v="19975.662919999995"/>
    <n v="0"/>
  </r>
  <r>
    <x v="20"/>
    <x v="19"/>
    <d v="2024-07-24T00:00:00"/>
    <s v="Q3-2024"/>
    <d v="2024-08-13T00:00:00"/>
    <n v="19"/>
    <x v="0"/>
    <x v="0"/>
    <x v="0"/>
    <x v="13"/>
    <s v="Non-Profit"/>
    <x v="4"/>
    <x v="1"/>
    <x v="4"/>
    <s v="High"/>
    <x v="20"/>
    <n v="1494.4"/>
    <n v="3661.07"/>
    <n v="3661.07"/>
    <n v="7.1999999999999995E-2"/>
    <n v="7.1999999999999995E-2"/>
    <x v="0"/>
    <n v="7"/>
    <n v="23782.310720000001"/>
    <n v="10460.800000000001"/>
    <n v="13321.51072"/>
    <n v="0.56014366630897339"/>
    <n v="7.1999999999999995E-2"/>
    <n v="3397.4729600000005"/>
    <n v="1494.4"/>
    <n v="8.19"/>
    <n v="27825.303542400001"/>
    <n v="12239.136"/>
    <n v="15586.1675424"/>
    <n v="0.56014366630897339"/>
    <n v="4042.9928223999996"/>
    <n v="13321.51072"/>
    <n v="0"/>
  </r>
  <r>
    <x v="21"/>
    <x v="20"/>
    <d v="2023-05-28T00:00:00"/>
    <s v="Q2-2023"/>
    <d v="2023-05-28T00:00:00"/>
    <n v="17"/>
    <x v="0"/>
    <x v="1"/>
    <x v="9"/>
    <x v="14"/>
    <s v="Enterprise"/>
    <x v="2"/>
    <x v="6"/>
    <x v="2"/>
    <s v="High"/>
    <x v="21"/>
    <n v="1331.19"/>
    <n v="2903.09"/>
    <n v="2903.09"/>
    <n v="0.14299999999999999"/>
    <n v="0.14299999999999999"/>
    <x v="0"/>
    <n v="8"/>
    <n v="19903.585040000002"/>
    <n v="10649.52"/>
    <n v="9254.0650400000013"/>
    <n v="0.46494463290920784"/>
    <n v="0.14299999999999999"/>
    <n v="2487.9481300000002"/>
    <n v="1331.19"/>
    <n v="9.36"/>
    <n v="23287.194496799999"/>
    <n v="12459.938399999999"/>
    <n v="10827.2560968"/>
    <n v="0.46494463290920779"/>
    <n v="3383.6094567999971"/>
    <n v="9254.0650400000013"/>
    <n v="0"/>
  </r>
  <r>
    <x v="22"/>
    <x v="21"/>
    <d v="2025-06-29T00:00:00"/>
    <s v="Q2-2025"/>
    <d v="2025-06-29T00:00:00"/>
    <n v="15"/>
    <x v="0"/>
    <x v="0"/>
    <x v="1"/>
    <x v="1"/>
    <s v="Consumer"/>
    <x v="2"/>
    <x v="12"/>
    <x v="6"/>
    <s v="Medium"/>
    <x v="22"/>
    <n v="730.99"/>
    <n v="1242.8399999999999"/>
    <n v="1242.8399999999999"/>
    <n v="0.12"/>
    <n v="0.12"/>
    <x v="0"/>
    <n v="10"/>
    <n v="10936.992"/>
    <n v="7309.9"/>
    <n v="3627.0920000000006"/>
    <n v="0.33163524303574515"/>
    <n v="0.12"/>
    <n v="1093.6992"/>
    <n v="730.99"/>
    <n v="11.7"/>
    <n v="12796.280639999999"/>
    <n v="8552.5829999999987"/>
    <n v="4243.6976400000003"/>
    <n v="0.33163524303574515"/>
    <n v="1859.2886399999988"/>
    <n v="3627.0920000000006"/>
    <n v="0"/>
  </r>
  <r>
    <x v="23"/>
    <x v="22"/>
    <d v="2024-05-23T00:00:00"/>
    <s v="Q2-2024"/>
    <d v="2024-05-23T00:00:00"/>
    <n v="5"/>
    <x v="1"/>
    <x v="2"/>
    <x v="10"/>
    <x v="15"/>
    <s v="Enterprise"/>
    <x v="0"/>
    <x v="10"/>
    <x v="4"/>
    <s v="High"/>
    <x v="23"/>
    <n v="1274.5899999999999"/>
    <n v="2553.69"/>
    <n v="2553.69"/>
    <n v="0.01"/>
    <n v="0.01"/>
    <x v="0"/>
    <n v="8"/>
    <n v="20225.2248"/>
    <n v="10196.719999999999"/>
    <n v="10028.504800000001"/>
    <n v="0.49584145042481803"/>
    <n v="0.01"/>
    <n v="2528.1531"/>
    <n v="1274.5899999999999"/>
    <n v="9.36"/>
    <n v="23663.513015999997"/>
    <n v="11930.162399999999"/>
    <n v="11733.350615999998"/>
    <n v="0.49584145042481798"/>
    <n v="3438.2882159999972"/>
    <n v="10028.504800000001"/>
    <n v="0"/>
  </r>
  <r>
    <x v="24"/>
    <x v="23"/>
    <d v="2023-02-12T00:00:00"/>
    <s v="Q1-2023"/>
    <d v="2023-02-12T00:00:00"/>
    <n v="5"/>
    <x v="1"/>
    <x v="2"/>
    <x v="5"/>
    <x v="8"/>
    <s v="Education"/>
    <x v="1"/>
    <x v="13"/>
    <x v="0"/>
    <s v="High"/>
    <x v="24"/>
    <n v="948.55"/>
    <n v="2089.16"/>
    <n v="2089.16"/>
    <n v="7.0000000000000001E-3"/>
    <n v="7.0000000000000001E-3"/>
    <x v="0"/>
    <n v="12"/>
    <n v="24894.430559999997"/>
    <n v="11382.599999999999"/>
    <n v="13511.830559999999"/>
    <n v="0.54276519912492427"/>
    <n v="7.0000000000000001E-3"/>
    <n v="2074.5358799999999"/>
    <n v="948.55"/>
    <n v="14.04"/>
    <n v="29126.483755199995"/>
    <n v="13317.641999999998"/>
    <n v="15808.841755199997"/>
    <n v="0.54276519912492427"/>
    <n v="4232.0531951999983"/>
    <n v="13511.830559999999"/>
    <n v="0"/>
  </r>
  <r>
    <x v="25"/>
    <x v="24"/>
    <d v="2024-07-14T00:00:00"/>
    <s v="Q2-2024"/>
    <d v="2024-07-14T00:00:00"/>
    <n v="14"/>
    <x v="0"/>
    <x v="2"/>
    <x v="5"/>
    <x v="10"/>
    <s v="Education"/>
    <x v="0"/>
    <x v="0"/>
    <x v="6"/>
    <s v="High"/>
    <x v="25"/>
    <n v="1491.85"/>
    <n v="2583.02"/>
    <n v="2583.02"/>
    <n v="0.16800000000000001"/>
    <n v="0.16800000000000001"/>
    <x v="0"/>
    <n v="4"/>
    <n v="8596.2905599999995"/>
    <n v="5967.4"/>
    <n v="2628.8905599999998"/>
    <n v="0.30581685689321325"/>
    <n v="0.16800000000000001"/>
    <n v="2149.0726399999999"/>
    <n v="1491.85"/>
    <n v="4.68"/>
    <n v="10057.659955199999"/>
    <n v="6981.8579999999993"/>
    <n v="3075.8019551999996"/>
    <n v="0.30581685689321325"/>
    <n v="1461.3693951999994"/>
    <n v="2628.8905599999998"/>
    <n v="0"/>
  </r>
  <r>
    <x v="26"/>
    <x v="25"/>
    <d v="2024-12-30T00:00:00"/>
    <s v="Q4-2024"/>
    <d v="2024-12-30T00:00:00"/>
    <n v="30"/>
    <x v="0"/>
    <x v="3"/>
    <x v="7"/>
    <x v="11"/>
    <s v="Consumer"/>
    <x v="2"/>
    <x v="9"/>
    <x v="1"/>
    <s v="Low"/>
    <x v="26"/>
    <n v="117.64"/>
    <n v="175.67"/>
    <n v="175.67"/>
    <n v="0"/>
    <n v="0"/>
    <x v="0"/>
    <n v="10"/>
    <n v="1756.6999999999998"/>
    <n v="1176.4000000000001"/>
    <n v="580.29999999999973"/>
    <n v="0.33033528775545046"/>
    <n v="0"/>
    <n v="175.67"/>
    <n v="117.64"/>
    <n v="11.7"/>
    <n v="2055.3389999999999"/>
    <n v="1376.3879999999999"/>
    <n v="678.95100000000002"/>
    <n v="0.33033528775545057"/>
    <n v="298.63900000000012"/>
    <n v="580.29999999999973"/>
    <n v="0"/>
  </r>
  <r>
    <x v="27"/>
    <x v="26"/>
    <d v="2024-07-19T00:00:00"/>
    <s v="Q3-2024"/>
    <d v="2024-07-19T00:00:00"/>
    <n v="0"/>
    <x v="1"/>
    <x v="0"/>
    <x v="0"/>
    <x v="0"/>
    <s v="Small Business"/>
    <x v="0"/>
    <x v="8"/>
    <x v="3"/>
    <s v="Low"/>
    <x v="27"/>
    <n v="857.24"/>
    <n v="758.23"/>
    <n v="758.23"/>
    <n v="0.125"/>
    <n v="0.125"/>
    <x v="0"/>
    <n v="6"/>
    <n v="3980.7075"/>
    <n v="5143.4400000000005"/>
    <n v="-1162.7325000000005"/>
    <n v="-0.29209192084572921"/>
    <n v="0.125"/>
    <n v="663.45125000000007"/>
    <n v="857.24"/>
    <n v="7.02"/>
    <n v="4657.4277750000001"/>
    <n v="6017.8247999999994"/>
    <n v="-1360.3970249999993"/>
    <n v="-0.29209192084572888"/>
    <n v="676.72027500000013"/>
    <n v="-1162.7325000000005"/>
    <n v="0"/>
  </r>
  <r>
    <x v="28"/>
    <x v="27"/>
    <d v="2023-05-14T00:00:00"/>
    <s v="Q2-2023"/>
    <d v="2023-05-14T00:00:00"/>
    <n v="30"/>
    <x v="0"/>
    <x v="0"/>
    <x v="0"/>
    <x v="16"/>
    <s v="Consumer"/>
    <x v="2"/>
    <x v="12"/>
    <x v="3"/>
    <s v="Low"/>
    <x v="28"/>
    <n v="209.25"/>
    <n v="434.8"/>
    <n v="434.8"/>
    <n v="0"/>
    <n v="0"/>
    <x v="0"/>
    <n v="9"/>
    <n v="3913.2000000000003"/>
    <n v="1883.25"/>
    <n v="2029.9500000000003"/>
    <n v="0.51874425022999082"/>
    <n v="0"/>
    <n v="434.8"/>
    <n v="209.25"/>
    <n v="10.53"/>
    <n v="4578.4439999999995"/>
    <n v="2203.4024999999997"/>
    <n v="2375.0414999999998"/>
    <n v="0.51874425022999082"/>
    <n v="665.24399999999923"/>
    <n v="2029.9500000000003"/>
    <n v="0"/>
  </r>
  <r>
    <x v="29"/>
    <x v="28"/>
    <d v="2025-04-11T00:00:00"/>
    <s v="Q2-2025"/>
    <d v="2025-04-11T00:00:00"/>
    <n v="4"/>
    <x v="1"/>
    <x v="3"/>
    <x v="7"/>
    <x v="17"/>
    <s v="Education"/>
    <x v="0"/>
    <x v="6"/>
    <x v="2"/>
    <s v="Medium"/>
    <x v="29"/>
    <n v="754.77"/>
    <n v="1666.18"/>
    <n v="1666.18"/>
    <n v="0.13900000000000001"/>
    <n v="0.13900000000000001"/>
    <x v="0"/>
    <n v="14"/>
    <n v="20084.133720000002"/>
    <n v="10566.779999999999"/>
    <n v="9517.3537200000028"/>
    <n v="0.47387424584424653"/>
    <n v="0.13900000000000001"/>
    <n v="1434.58098"/>
    <n v="754.77"/>
    <n v="16.38"/>
    <n v="23498.436452399998"/>
    <n v="12363.132599999999"/>
    <n v="11135.303852399999"/>
    <n v="0.47387424584424642"/>
    <n v="3414.3027323999959"/>
    <n v="9517.3537200000028"/>
    <n v="0"/>
  </r>
  <r>
    <x v="30"/>
    <x v="6"/>
    <d v="2025-01-15T00:00:00"/>
    <s v="Q4-2024"/>
    <d v="2025-01-15T00:00:00"/>
    <n v="19"/>
    <x v="0"/>
    <x v="1"/>
    <x v="4"/>
    <x v="18"/>
    <s v="Non-Profit"/>
    <x v="3"/>
    <x v="3"/>
    <x v="0"/>
    <s v="Low"/>
    <x v="30"/>
    <n v="495.59"/>
    <n v="631.78"/>
    <n v="631.78"/>
    <n v="8.6999999999999994E-2"/>
    <n v="8.6999999999999994E-2"/>
    <x v="0"/>
    <n v="17"/>
    <n v="9805.8573800000013"/>
    <n v="8425.0299999999988"/>
    <n v="1380.8273800000024"/>
    <n v="0.14081658813601899"/>
    <n v="8.6999999999999994E-2"/>
    <n v="576.81514000000004"/>
    <n v="495.59"/>
    <n v="19.89"/>
    <n v="11472.853134600002"/>
    <n v="9857.2850999999991"/>
    <n v="1615.5680346000026"/>
    <n v="0.14081658813601897"/>
    <n v="1666.9957546000005"/>
    <n v="1380.8273800000024"/>
    <n v="0"/>
  </r>
  <r>
    <x v="31"/>
    <x v="29"/>
    <d v="2023-03-25T00:00:00"/>
    <s v="Q1-2023"/>
    <d v="2023-03-25T00:00:00"/>
    <n v="30"/>
    <x v="0"/>
    <x v="2"/>
    <x v="3"/>
    <x v="19"/>
    <s v="Enterprise"/>
    <x v="1"/>
    <x v="14"/>
    <x v="3"/>
    <s v="High"/>
    <x v="31"/>
    <n v="1242.6600000000001"/>
    <n v="1794.07"/>
    <n v="1794.07"/>
    <n v="8.8999999999999996E-2"/>
    <n v="8.8999999999999996E-2"/>
    <x v="0"/>
    <n v="16"/>
    <n v="26150.364320000001"/>
    <n v="19882.560000000001"/>
    <n v="6267.8043199999993"/>
    <n v="0.23968325042440553"/>
    <n v="8.8999999999999996E-2"/>
    <n v="1634.39777"/>
    <n v="1242.6600000000001"/>
    <n v="18.72"/>
    <n v="30595.926254399998"/>
    <n v="23262.5952"/>
    <n v="7333.3310543999978"/>
    <n v="0.2396832504244055"/>
    <n v="4445.561934399997"/>
    <n v="6267.8043199999993"/>
    <n v="0"/>
  </r>
  <r>
    <x v="32"/>
    <x v="30"/>
    <d v="2025-08-06T00:00:00"/>
    <s v="Q3-2025"/>
    <d v="2025-08-06T00:00:00"/>
    <n v="13"/>
    <x v="0"/>
    <x v="0"/>
    <x v="11"/>
    <x v="20"/>
    <s v="Education"/>
    <x v="2"/>
    <x v="14"/>
    <x v="2"/>
    <s v="High"/>
    <x v="32"/>
    <n v="1463.9"/>
    <n v="2633.02"/>
    <n v="2633.02"/>
    <n v="8.4000000000000005E-2"/>
    <n v="8.4000000000000005E-2"/>
    <x v="0"/>
    <n v="4"/>
    <n v="9647.3852800000004"/>
    <n v="5855.6"/>
    <n v="3791.7852800000001"/>
    <n v="0.39303761277791527"/>
    <n v="8.4000000000000005E-2"/>
    <n v="2411.8463200000001"/>
    <n v="1463.9"/>
    <n v="4.68"/>
    <n v="11287.440777599999"/>
    <n v="6851.0519999999997"/>
    <n v="4436.3887775999992"/>
    <n v="0.39303761277791527"/>
    <n v="1640.0554975999985"/>
    <n v="3791.7852800000001"/>
    <n v="0"/>
  </r>
  <r>
    <x v="33"/>
    <x v="31"/>
    <d v="2024-05-08T00:00:00"/>
    <s v="Q2-2024"/>
    <d v="2024-05-08T00:00:00"/>
    <n v="20"/>
    <x v="0"/>
    <x v="3"/>
    <x v="8"/>
    <x v="21"/>
    <s v="Non-Profit"/>
    <x v="5"/>
    <x v="14"/>
    <x v="4"/>
    <s v="Medium"/>
    <x v="33"/>
    <n v="645.33000000000004"/>
    <n v="1321.85"/>
    <n v="1321.85"/>
    <n v="0"/>
    <n v="0"/>
    <x v="0"/>
    <n v="10"/>
    <n v="13218.5"/>
    <n v="6453.3"/>
    <n v="6765.2"/>
    <n v="0.51179785906116426"/>
    <n v="0"/>
    <n v="1321.85"/>
    <n v="645.33000000000004"/>
    <n v="11.7"/>
    <n v="15465.644999999999"/>
    <n v="7550.3609999999999"/>
    <n v="7915.2839999999987"/>
    <n v="0.51179785906116426"/>
    <n v="2247.1449999999986"/>
    <n v="6765.2"/>
    <n v="0"/>
  </r>
  <r>
    <x v="34"/>
    <x v="32"/>
    <d v="2024-08-21T00:00:00"/>
    <s v="Q3-2024"/>
    <d v="2024-09-10T00:00:00"/>
    <n v="18"/>
    <x v="0"/>
    <x v="0"/>
    <x v="11"/>
    <x v="20"/>
    <s v="Education"/>
    <x v="0"/>
    <x v="6"/>
    <x v="0"/>
    <s v="High"/>
    <x v="34"/>
    <n v="1432.52"/>
    <n v="3036.87"/>
    <n v="3036.87"/>
    <n v="0"/>
    <n v="0"/>
    <x v="0"/>
    <n v="9"/>
    <n v="27331.829999999998"/>
    <n v="12892.68"/>
    <n v="14439.149999999998"/>
    <n v="0.52829064135112791"/>
    <n v="0"/>
    <n v="3036.87"/>
    <n v="1432.52"/>
    <n v="10.53"/>
    <n v="31978.241099999996"/>
    <n v="15084.435599999999"/>
    <n v="16893.805499999995"/>
    <n v="0.52829064135112791"/>
    <n v="4646.4110999999975"/>
    <n v="14439.149999999998"/>
    <n v="0"/>
  </r>
  <r>
    <x v="35"/>
    <x v="33"/>
    <d v="2023-04-22T00:00:00"/>
    <s v="Q1-2023"/>
    <d v="2023-04-22T00:00:00"/>
    <n v="26"/>
    <x v="0"/>
    <x v="1"/>
    <x v="4"/>
    <x v="18"/>
    <s v="Non-Profit"/>
    <x v="2"/>
    <x v="1"/>
    <x v="1"/>
    <s v="Low"/>
    <x v="35"/>
    <n v="178.53"/>
    <n v="199.37"/>
    <n v="199.37"/>
    <n v="0.10100000000000001"/>
    <n v="0.10100000000000001"/>
    <x v="0"/>
    <n v="37"/>
    <n v="6631.6443100000006"/>
    <n v="6605.61"/>
    <n v="26.034310000000914"/>
    <n v="3.9257699573457538E-3"/>
    <n v="0.10100000000000001"/>
    <n v="179.23363000000001"/>
    <n v="178.53"/>
    <n v="43.29"/>
    <n v="7759.0238427000004"/>
    <n v="7728.5636999999997"/>
    <n v="30.460142700000688"/>
    <n v="3.9257699573457053E-3"/>
    <n v="1127.3795326999998"/>
    <n v="26.034310000000914"/>
    <n v="-4.8572257327350599E-17"/>
  </r>
  <r>
    <x v="36"/>
    <x v="34"/>
    <d v="2024-03-25T00:00:00"/>
    <s v="Q1-2024"/>
    <d v="2024-03-25T00:00:00"/>
    <n v="18"/>
    <x v="0"/>
    <x v="3"/>
    <x v="6"/>
    <x v="22"/>
    <s v="Corporate"/>
    <x v="1"/>
    <x v="5"/>
    <x v="0"/>
    <s v="Medium"/>
    <x v="36"/>
    <n v="712.84"/>
    <n v="927.51"/>
    <n v="927.51"/>
    <n v="0.24299999999999999"/>
    <n v="0.24299999999999999"/>
    <x v="1"/>
    <n v="27"/>
    <n v="18957.37689"/>
    <n v="19246.68"/>
    <n v="-289.30311000000074"/>
    <n v="-1.5260714163076427E-2"/>
    <n v="0.17"/>
    <n v="769.83330000000001"/>
    <n v="712.84"/>
    <n v="31.589999999999996"/>
    <n v="24319.033946999996"/>
    <n v="22518.615599999997"/>
    <n v="1800.4183469999989"/>
    <n v="7.4033300456085721E-2"/>
    <n v="5361.6570569999967"/>
    <n v="-289.30311000000074"/>
    <n v="8.9294014619162143E-2"/>
  </r>
  <r>
    <x v="37"/>
    <x v="35"/>
    <d v="2025-07-10T00:00:00"/>
    <s v="Q2-2025"/>
    <d v="2025-07-10T00:00:00"/>
    <n v="16"/>
    <x v="0"/>
    <x v="1"/>
    <x v="9"/>
    <x v="23"/>
    <s v="Enterprise"/>
    <x v="4"/>
    <x v="13"/>
    <x v="0"/>
    <s v="High"/>
    <x v="37"/>
    <n v="757.19"/>
    <n v="1735.41"/>
    <n v="1735.41"/>
    <n v="0.13600000000000001"/>
    <n v="0.13600000000000001"/>
    <x v="0"/>
    <n v="8"/>
    <n v="11995.153920000001"/>
    <n v="6057.52"/>
    <n v="5937.6339200000002"/>
    <n v="0.4950027285685718"/>
    <n v="0.13600000000000001"/>
    <n v="1499.3942400000001"/>
    <n v="757.19"/>
    <n v="9.36"/>
    <n v="14034.330086399999"/>
    <n v="7087.2983999999997"/>
    <n v="6947.0316863999997"/>
    <n v="0.4950027285685718"/>
    <n v="2039.1761663999987"/>
    <n v="5937.6339200000002"/>
    <n v="0"/>
  </r>
  <r>
    <x v="38"/>
    <x v="36"/>
    <d v="2024-05-06T00:00:00"/>
    <s v="Q2-2024"/>
    <d v="2024-05-06T00:00:00"/>
    <n v="17"/>
    <x v="0"/>
    <x v="0"/>
    <x v="1"/>
    <x v="1"/>
    <s v="Non-Profit"/>
    <x v="1"/>
    <x v="8"/>
    <x v="1"/>
    <s v="Medium"/>
    <x v="38"/>
    <n v="865.33"/>
    <n v="1395.64"/>
    <n v="1395.64"/>
    <n v="0.17499999999999999"/>
    <n v="0.17499999999999999"/>
    <x v="0"/>
    <n v="13"/>
    <n v="14968.239"/>
    <n v="11249.29"/>
    <n v="3718.9489999999987"/>
    <n v="0.24845601409758347"/>
    <n v="0.17"/>
    <n v="1158.3812"/>
    <n v="865.33"/>
    <n v="15.209999999999999"/>
    <n v="17618.978051999999"/>
    <n v="13161.6693"/>
    <n v="4457.308751999999"/>
    <n v="0.25298338750663424"/>
    <n v="2650.739051999999"/>
    <n v="3718.9489999999987"/>
    <n v="4.5273734090507667E-3"/>
  </r>
  <r>
    <x v="39"/>
    <x v="37"/>
    <d v="2023-06-24T00:00:00"/>
    <s v="Q2-2023"/>
    <d v="2023-06-24T00:00:00"/>
    <n v="7"/>
    <x v="1"/>
    <x v="2"/>
    <x v="10"/>
    <x v="24"/>
    <s v="Corporate"/>
    <x v="0"/>
    <x v="2"/>
    <x v="1"/>
    <s v="Low"/>
    <x v="39"/>
    <n v="313.99"/>
    <n v="454.42"/>
    <n v="454.42"/>
    <n v="0.129"/>
    <n v="0.129"/>
    <x v="0"/>
    <n v="9"/>
    <n v="3562.1983800000003"/>
    <n v="2825.91"/>
    <n v="736.28838000000042"/>
    <n v="0.20669493988147858"/>
    <n v="0.129"/>
    <n v="395.79982000000001"/>
    <n v="313.99"/>
    <n v="10.53"/>
    <n v="4167.7721045999997"/>
    <n v="3306.3146999999999"/>
    <n v="861.45740459999979"/>
    <n v="0.20669493988147844"/>
    <n v="605.57372459999942"/>
    <n v="736.28838000000042"/>
    <n v="0"/>
  </r>
  <r>
    <x v="40"/>
    <x v="38"/>
    <d v="2024-09-19T00:00:00"/>
    <s v="Q3-2024"/>
    <d v="2024-09-19T00:00:00"/>
    <n v="23"/>
    <x v="0"/>
    <x v="3"/>
    <x v="6"/>
    <x v="9"/>
    <s v="Small Business"/>
    <x v="4"/>
    <x v="14"/>
    <x v="5"/>
    <s v="High"/>
    <x v="40"/>
    <n v="1024.01"/>
    <n v="1580.97"/>
    <n v="1580.97"/>
    <n v="3.6999999999999998E-2"/>
    <n v="3.6999999999999998E-2"/>
    <x v="0"/>
    <n v="27"/>
    <n v="41106.800970000004"/>
    <n v="27648.27"/>
    <n v="13458.530970000003"/>
    <n v="0.3274039976942531"/>
    <n v="3.6999999999999998E-2"/>
    <n v="1522.4741099999999"/>
    <n v="1024.01"/>
    <n v="31.589999999999996"/>
    <n v="48094.957134899989"/>
    <n v="32348.475899999998"/>
    <n v="15746.481234899991"/>
    <n v="0.32740399769425299"/>
    <n v="6988.156164899985"/>
    <n v="13458.530970000003"/>
    <n v="0"/>
  </r>
  <r>
    <x v="41"/>
    <x v="39"/>
    <d v="2024-02-02T00:00:00"/>
    <s v="Q1-2024"/>
    <d v="2024-02-02T00:00:00"/>
    <n v="22"/>
    <x v="0"/>
    <x v="0"/>
    <x v="11"/>
    <x v="25"/>
    <s v="Consumer"/>
    <x v="1"/>
    <x v="11"/>
    <x v="2"/>
    <s v="Medium"/>
    <x v="41"/>
    <n v="1206.2"/>
    <n v="1759.79"/>
    <n v="1759.79"/>
    <n v="0"/>
    <n v="0"/>
    <x v="0"/>
    <n v="6"/>
    <n v="10558.74"/>
    <n v="7237.2000000000007"/>
    <n v="3321.5399999999991"/>
    <n v="0.31457730751964713"/>
    <n v="0"/>
    <n v="1759.79"/>
    <n v="1206.2"/>
    <n v="7.02"/>
    <n v="12353.725799999998"/>
    <n v="8467.5239999999994"/>
    <n v="3886.2017999999989"/>
    <n v="0.31457730751964719"/>
    <n v="1794.9857999999986"/>
    <n v="3321.5399999999991"/>
    <n v="0"/>
  </r>
  <r>
    <x v="42"/>
    <x v="40"/>
    <d v="2024-11-14T00:00:00"/>
    <s v="Q4-2024"/>
    <d v="2024-11-14T00:00:00"/>
    <n v="20"/>
    <x v="0"/>
    <x v="0"/>
    <x v="0"/>
    <x v="13"/>
    <s v="Corporate"/>
    <x v="4"/>
    <x v="10"/>
    <x v="1"/>
    <s v="High"/>
    <x v="42"/>
    <n v="1396.48"/>
    <n v="3204.5"/>
    <n v="3204.5"/>
    <n v="0.318"/>
    <n v="0.12"/>
    <x v="0"/>
    <n v="14"/>
    <n v="39479.440000000002"/>
    <n v="19550.72"/>
    <n v="19928.72"/>
    <n v="0.5047873019475454"/>
    <n v="0.318"/>
    <n v="2185.4689999999996"/>
    <n v="1396.48"/>
    <n v="16.38"/>
    <n v="35797.982219999991"/>
    <n v="22874.342399999998"/>
    <n v="12923.639819999993"/>
    <n v="0.36101587348070358"/>
    <n v="-3681.4577800000116"/>
    <n v="19928.72"/>
    <n v="-0.14377142846684182"/>
  </r>
  <r>
    <x v="43"/>
    <x v="41"/>
    <d v="2025-06-20T00:00:00"/>
    <s v="Q2-2025"/>
    <d v="2025-06-20T00:00:00"/>
    <n v="22"/>
    <x v="0"/>
    <x v="3"/>
    <x v="6"/>
    <x v="9"/>
    <s v="Corporate"/>
    <x v="4"/>
    <x v="8"/>
    <x v="1"/>
    <s v="Medium"/>
    <x v="43"/>
    <n v="483.47"/>
    <n v="1135.43"/>
    <n v="1135.43"/>
    <n v="0.14599999999999999"/>
    <n v="0.14599999999999999"/>
    <x v="0"/>
    <n v="11"/>
    <n v="10666.229420000001"/>
    <n v="5318.17"/>
    <n v="5348.0594200000014"/>
    <n v="0.50140112399719983"/>
    <n v="0.14599999999999999"/>
    <n v="969.65722000000005"/>
    <n v="483.47"/>
    <n v="12.87"/>
    <n v="12479.488421399999"/>
    <n v="6222.2588999999998"/>
    <n v="6257.2295213999996"/>
    <n v="0.50140112399719972"/>
    <n v="1813.2590013999979"/>
    <n v="5348.0594200000014"/>
    <n v="0"/>
  </r>
  <r>
    <x v="44"/>
    <x v="42"/>
    <d v="2024-06-02T00:00:00"/>
    <s v="Q2-2024"/>
    <d v="2024-06-02T00:00:00"/>
    <n v="13"/>
    <x v="0"/>
    <x v="2"/>
    <x v="3"/>
    <x v="26"/>
    <s v="Enterprise"/>
    <x v="2"/>
    <x v="11"/>
    <x v="0"/>
    <s v="Medium"/>
    <x v="44"/>
    <n v="675.43"/>
    <n v="996.36"/>
    <n v="996.36"/>
    <n v="0.182"/>
    <n v="0.182"/>
    <x v="0"/>
    <n v="22"/>
    <n v="17930.494560000003"/>
    <n v="14859.46"/>
    <n v="3071.0345600000037"/>
    <n v="0.17127439233332575"/>
    <n v="0.17"/>
    <n v="826.97879999999998"/>
    <n v="675.43"/>
    <n v="25.74"/>
    <n v="21286.434311999998"/>
    <n v="17385.568199999998"/>
    <n v="3900.8661119999997"/>
    <n v="0.1832559673839281"/>
    <n v="3355.9397519999948"/>
    <n v="3071.0345600000037"/>
    <n v="1.198157505060235E-2"/>
  </r>
  <r>
    <x v="45"/>
    <x v="43"/>
    <d v="2023-04-30T00:00:00"/>
    <s v="Q2-2023"/>
    <d v="2023-04-30T00:00:00"/>
    <n v="11"/>
    <x v="0"/>
    <x v="1"/>
    <x v="4"/>
    <x v="18"/>
    <s v="Small Business"/>
    <x v="0"/>
    <x v="8"/>
    <x v="2"/>
    <s v="Medium"/>
    <x v="45"/>
    <n v="826.55"/>
    <n v="1397.05"/>
    <n v="1397.05"/>
    <n v="0.16900000000000001"/>
    <n v="0.16900000000000001"/>
    <x v="0"/>
    <n v="28"/>
    <n v="32506.559399999998"/>
    <n v="23143.399999999998"/>
    <n v="9363.1594000000005"/>
    <n v="0.28803907804527601"/>
    <n v="0.16900000000000001"/>
    <n v="1160.9485499999998"/>
    <n v="826.55"/>
    <n v="32.76"/>
    <n v="38032.674497999993"/>
    <n v="27077.777999999998"/>
    <n v="10954.896497999995"/>
    <n v="0.2880390780452759"/>
    <n v="5526.1150979999948"/>
    <n v="9363.1594000000005"/>
    <n v="0"/>
  </r>
  <r>
    <x v="46"/>
    <x v="44"/>
    <d v="2023-07-03T00:00:00"/>
    <s v="Q2-2023"/>
    <d v="2023-07-03T00:00:00"/>
    <n v="10"/>
    <x v="0"/>
    <x v="0"/>
    <x v="1"/>
    <x v="7"/>
    <s v="Consumer"/>
    <x v="1"/>
    <x v="1"/>
    <x v="1"/>
    <s v="Low"/>
    <x v="46"/>
    <n v="337.75"/>
    <n v="548.89"/>
    <n v="548.89"/>
    <n v="0"/>
    <n v="0"/>
    <x v="0"/>
    <n v="13"/>
    <n v="7135.57"/>
    <n v="4390.75"/>
    <n v="2744.8199999999997"/>
    <n v="0.38466723751571352"/>
    <n v="0"/>
    <n v="548.89"/>
    <n v="337.75"/>
    <n v="15.209999999999999"/>
    <n v="8348.6168999999991"/>
    <n v="5137.1774999999998"/>
    <n v="3211.4393999999993"/>
    <n v="0.38466723751571347"/>
    <n v="1213.0468999999994"/>
    <n v="2744.8199999999997"/>
    <n v="0"/>
  </r>
  <r>
    <x v="47"/>
    <x v="45"/>
    <d v="2024-05-28T00:00:00"/>
    <s v="Q2-2024"/>
    <d v="2024-05-28T00:00:00"/>
    <n v="14"/>
    <x v="0"/>
    <x v="3"/>
    <x v="8"/>
    <x v="12"/>
    <s v="Consumer"/>
    <x v="0"/>
    <x v="5"/>
    <x v="2"/>
    <s v="High"/>
    <x v="47"/>
    <n v="1421.14"/>
    <n v="3524"/>
    <n v="3524"/>
    <n v="0"/>
    <n v="0"/>
    <x v="0"/>
    <n v="31"/>
    <n v="109244"/>
    <n v="44055.340000000004"/>
    <n v="65188.659999999996"/>
    <n v="0.59672531214528945"/>
    <n v="0"/>
    <n v="3524"/>
    <n v="1421.14"/>
    <n v="36.269999999999996"/>
    <n v="127815.47999999998"/>
    <n v="51544.747799999997"/>
    <n v="76270.732199999984"/>
    <n v="0.59672531214528945"/>
    <n v="18571.479999999981"/>
    <n v="65188.659999999996"/>
    <n v="0"/>
  </r>
  <r>
    <x v="48"/>
    <x v="46"/>
    <d v="2024-11-08T00:00:00"/>
    <s v="Q4-2024"/>
    <d v="2024-11-08T00:00:00"/>
    <n v="25"/>
    <x v="0"/>
    <x v="0"/>
    <x v="1"/>
    <x v="3"/>
    <s v="Enterprise"/>
    <x v="1"/>
    <x v="7"/>
    <x v="2"/>
    <s v="Medium"/>
    <x v="48"/>
    <n v="859.35"/>
    <n v="1825.61"/>
    <n v="1825.61"/>
    <n v="0.187"/>
    <n v="0.187"/>
    <x v="0"/>
    <n v="24"/>
    <n v="35621.302319999995"/>
    <n v="20624.400000000001"/>
    <n v="14996.902319999994"/>
    <n v="0.42100937762681989"/>
    <n v="0.17"/>
    <n v="1515.2562999999998"/>
    <n v="859.35"/>
    <n v="28.08"/>
    <n v="42548.396903999994"/>
    <n v="24130.547999999999"/>
    <n v="18417.848903999995"/>
    <n v="0.43286822169952366"/>
    <n v="6927.0945839999986"/>
    <n v="14996.902319999994"/>
    <n v="1.1858844072703767E-2"/>
  </r>
  <r>
    <x v="49"/>
    <x v="47"/>
    <d v="2023-08-01T00:00:00"/>
    <s v="Q3-2023"/>
    <d v="2023-08-01T00:00:00"/>
    <n v="22"/>
    <x v="0"/>
    <x v="3"/>
    <x v="7"/>
    <x v="11"/>
    <s v="Consumer"/>
    <x v="2"/>
    <x v="5"/>
    <x v="1"/>
    <s v="High"/>
    <x v="49"/>
    <n v="1303.56"/>
    <n v="1791.37"/>
    <n v="1791.37"/>
    <n v="0.126"/>
    <n v="0.126"/>
    <x v="0"/>
    <n v="22"/>
    <n v="34444.462359999998"/>
    <n v="28678.32"/>
    <n v="5766.142359999998"/>
    <n v="0.16740404596055358"/>
    <n v="0.126"/>
    <n v="1565.6573799999999"/>
    <n v="1303.56"/>
    <n v="25.74"/>
    <n v="40300.020961199996"/>
    <n v="33553.634399999995"/>
    <n v="6746.3865612000009"/>
    <n v="0.16740404596055369"/>
    <n v="5855.5586011999985"/>
    <n v="5766.142359999998"/>
    <n v="0"/>
  </r>
  <r>
    <x v="50"/>
    <x v="48"/>
    <d v="2024-11-22T00:00:00"/>
    <s v="Q4-2024"/>
    <d v="2024-11-22T00:00:00"/>
    <n v="16"/>
    <x v="0"/>
    <x v="2"/>
    <x v="3"/>
    <x v="5"/>
    <s v="Non-Profit"/>
    <x v="3"/>
    <x v="14"/>
    <x v="6"/>
    <s v="High"/>
    <x v="50"/>
    <n v="1454.11"/>
    <n v="2629.75"/>
    <n v="2629.75"/>
    <n v="0.29199999999999998"/>
    <n v="0.29199999999999998"/>
    <x v="1"/>
    <n v="8"/>
    <n v="14894.903999999999"/>
    <n v="11632.88"/>
    <n v="3262.0239999999994"/>
    <n v="0.21900268709351867"/>
    <n v="0.17"/>
    <n v="2182.6925000000001"/>
    <n v="1454.11"/>
    <n v="9.36"/>
    <n v="20430.001799999998"/>
    <n v="13610.469599999999"/>
    <n v="6819.5321999999996"/>
    <n v="0.33379988248459186"/>
    <n v="5535.0977999999996"/>
    <n v="3262.0239999999994"/>
    <n v="0.11479719539107319"/>
  </r>
  <r>
    <x v="51"/>
    <x v="49"/>
    <d v="2024-11-06T00:00:00"/>
    <s v="Q4-2024"/>
    <d v="2024-11-06T00:00:00"/>
    <n v="20"/>
    <x v="0"/>
    <x v="1"/>
    <x v="4"/>
    <x v="6"/>
    <s v="Enterprise"/>
    <x v="3"/>
    <x v="7"/>
    <x v="5"/>
    <s v="Low"/>
    <x v="51"/>
    <n v="72.94"/>
    <n v="106.3"/>
    <n v="106.3"/>
    <n v="0.29499999999999998"/>
    <n v="0.29499999999999998"/>
    <x v="1"/>
    <n v="8"/>
    <n v="599.53200000000004"/>
    <n v="583.52"/>
    <n v="16.012000000000057"/>
    <n v="2.6707498515508857E-2"/>
    <n v="0.17"/>
    <n v="88.228999999999999"/>
    <n v="72.94"/>
    <n v="9.36"/>
    <n v="825.82343999999989"/>
    <n v="682.71839999999997"/>
    <n v="143.10503999999992"/>
    <n v="0.17328769452220918"/>
    <n v="226.29143999999985"/>
    <n v="16.012000000000057"/>
    <n v="0.14658019600670033"/>
  </r>
  <r>
    <x v="52"/>
    <x v="50"/>
    <d v="2023-04-05T00:00:00"/>
    <s v="Q1-2023"/>
    <d v="2023-04-05T00:00:00"/>
    <n v="5"/>
    <x v="1"/>
    <x v="0"/>
    <x v="0"/>
    <x v="16"/>
    <s v="Education"/>
    <x v="2"/>
    <x v="5"/>
    <x v="4"/>
    <s v="Low"/>
    <x v="52"/>
    <n v="533.26"/>
    <n v="385.72"/>
    <n v="385.72"/>
    <n v="0"/>
    <n v="0"/>
    <x v="0"/>
    <n v="15"/>
    <n v="5785.8"/>
    <n v="7998.9"/>
    <n v="-2213.0999999999995"/>
    <n v="-0.38250544436378708"/>
    <n v="0"/>
    <n v="385.72"/>
    <n v="533.26"/>
    <n v="17.549999999999997"/>
    <n v="6769.3859999999995"/>
    <n v="9358.7129999999979"/>
    <n v="-2589.3269999999984"/>
    <n v="-0.38250544436378697"/>
    <n v="983.58599999999933"/>
    <n v="-2213.0999999999995"/>
    <n v="0"/>
  </r>
  <r>
    <x v="53"/>
    <x v="51"/>
    <d v="2025-02-16T00:00:00"/>
    <s v="Q1-2025"/>
    <d v="2025-02-16T00:00:00"/>
    <n v="26"/>
    <x v="0"/>
    <x v="3"/>
    <x v="7"/>
    <x v="17"/>
    <s v="Corporate"/>
    <x v="3"/>
    <x v="7"/>
    <x v="4"/>
    <s v="Low"/>
    <x v="53"/>
    <n v="204.11"/>
    <n v="236.87"/>
    <n v="236.87"/>
    <n v="0.182"/>
    <n v="0.182"/>
    <x v="0"/>
    <n v="13"/>
    <n v="2518.8755800000004"/>
    <n v="2653.4300000000003"/>
    <n v="-134.55441999999994"/>
    <n v="-5.3418446337075494E-2"/>
    <n v="0.17"/>
    <n v="196.60210000000001"/>
    <n v="204.11"/>
    <n v="15.209999999999999"/>
    <n v="2990.3179409999998"/>
    <n v="3104.5131000000001"/>
    <n v="-114.19515900000033"/>
    <n v="-3.8188300124973346E-2"/>
    <n v="471.44236099999944"/>
    <n v="-134.55441999999994"/>
    <n v="1.5230146212102148E-2"/>
  </r>
  <r>
    <x v="54"/>
    <x v="52"/>
    <d v="2023-09-01T00:00:00"/>
    <s v="Q3-2023"/>
    <d v="2023-09-01T00:00:00"/>
    <n v="2"/>
    <x v="1"/>
    <x v="3"/>
    <x v="6"/>
    <x v="22"/>
    <s v="Corporate"/>
    <x v="4"/>
    <x v="13"/>
    <x v="2"/>
    <s v="Low"/>
    <x v="54"/>
    <n v="44.42"/>
    <n v="41.9"/>
    <n v="41.9"/>
    <n v="0.14399999999999999"/>
    <n v="0.14399999999999999"/>
    <x v="0"/>
    <n v="6"/>
    <n v="215.19839999999996"/>
    <n v="266.52"/>
    <n v="-51.321600000000018"/>
    <n v="-0.23848504449847224"/>
    <n v="0.14399999999999999"/>
    <n v="35.866399999999999"/>
    <n v="44.42"/>
    <n v="7.02"/>
    <n v="251.78212799999997"/>
    <n v="311.82839999999999"/>
    <n v="-60.046272000000016"/>
    <n v="-0.23848504449847219"/>
    <n v="36.583728000000008"/>
    <n v="-51.321600000000018"/>
    <n v="0"/>
  </r>
  <r>
    <x v="55"/>
    <x v="53"/>
    <d v="2025-04-30T00:00:00"/>
    <s v="Q2-2025"/>
    <d v="2025-04-30T00:00:00"/>
    <n v="24"/>
    <x v="0"/>
    <x v="2"/>
    <x v="5"/>
    <x v="10"/>
    <s v="Education"/>
    <x v="1"/>
    <x v="11"/>
    <x v="5"/>
    <s v="Medium"/>
    <x v="55"/>
    <n v="855.78"/>
    <n v="977.38"/>
    <n v="977.38"/>
    <n v="0.14699999999999999"/>
    <n v="0.14699999999999999"/>
    <x v="0"/>
    <n v="38"/>
    <n v="31680.795320000001"/>
    <n v="32519.64"/>
    <n v="-838.84467999999833"/>
    <n v="-2.6478018355506307E-2"/>
    <n v="0.14699999999999999"/>
    <n v="833.70514000000003"/>
    <n v="855.78"/>
    <n v="44.459999999999994"/>
    <n v="37066.530524399997"/>
    <n v="38047.97879999999"/>
    <n v="-981.44827559999248"/>
    <n v="-2.6478018355506158E-2"/>
    <n v="5385.7352043999963"/>
    <n v="-838.84467999999833"/>
    <n v="1.4918621893400541E-16"/>
  </r>
  <r>
    <x v="56"/>
    <x v="54"/>
    <d v="2025-03-01T00:00:00"/>
    <s v="Q1-2025"/>
    <d v="2025-03-01T00:00:00"/>
    <n v="20"/>
    <x v="0"/>
    <x v="2"/>
    <x v="5"/>
    <x v="8"/>
    <s v="Corporate"/>
    <x v="3"/>
    <x v="5"/>
    <x v="4"/>
    <s v="High"/>
    <x v="56"/>
    <n v="1154.6400000000001"/>
    <n v="2794.13"/>
    <n v="2794.13"/>
    <n v="3.5000000000000003E-2"/>
    <n v="3.5000000000000003E-2"/>
    <x v="0"/>
    <n v="11"/>
    <n v="29659.68995"/>
    <n v="12701.04"/>
    <n v="16958.649949999999"/>
    <n v="0.57177435025749479"/>
    <n v="3.5000000000000003E-2"/>
    <n v="2696.33545"/>
    <n v="1154.6400000000001"/>
    <n v="12.87"/>
    <n v="34701.837241499998"/>
    <n v="14860.2168"/>
    <n v="19841.620441499996"/>
    <n v="0.57177435025749479"/>
    <n v="5042.1472914999977"/>
    <n v="16958.649949999999"/>
    <n v="0"/>
  </r>
  <r>
    <x v="57"/>
    <x v="55"/>
    <d v="2024-12-18T00:00:00"/>
    <s v="Q4-2024"/>
    <d v="2024-12-18T00:00:00"/>
    <n v="1"/>
    <x v="1"/>
    <x v="3"/>
    <x v="6"/>
    <x v="22"/>
    <s v="Education"/>
    <x v="0"/>
    <x v="4"/>
    <x v="6"/>
    <s v="Low"/>
    <x v="57"/>
    <n v="346.82"/>
    <n v="701.95"/>
    <n v="701.95"/>
    <n v="0.14699999999999999"/>
    <n v="0.14699999999999999"/>
    <x v="0"/>
    <n v="8"/>
    <n v="4790.1068000000005"/>
    <n v="2774.56"/>
    <n v="2015.5468000000005"/>
    <n v="0.42077283120284509"/>
    <n v="0.14699999999999999"/>
    <n v="598.76335000000006"/>
    <n v="346.82"/>
    <n v="9.36"/>
    <n v="5604.4249559999998"/>
    <n v="3246.2351999999996"/>
    <n v="2358.1897560000002"/>
    <n v="0.42077283120284503"/>
    <n v="814.31815599999936"/>
    <n v="2015.5468000000005"/>
    <n v="0"/>
  </r>
  <r>
    <x v="58"/>
    <x v="56"/>
    <d v="2025-06-18T00:00:00"/>
    <s v="Q2-2025"/>
    <d v="2025-06-18T00:00:00"/>
    <n v="9"/>
    <x v="0"/>
    <x v="3"/>
    <x v="7"/>
    <x v="11"/>
    <s v="Small Business"/>
    <x v="2"/>
    <x v="10"/>
    <x v="6"/>
    <s v="Medium"/>
    <x v="58"/>
    <n v="1225.5"/>
    <n v="-5.27"/>
    <n v="1186.26"/>
    <n v="7.4999999999999997E-2"/>
    <n v="7.4999999999999997E-2"/>
    <x v="0"/>
    <n v="56"/>
    <n v="61448.268000000004"/>
    <n v="68628"/>
    <n v="-7179.7319999999963"/>
    <n v="-0.1168418937373466"/>
    <n v="7.4999999999999997E-2"/>
    <n v="1097.2905000000001"/>
    <n v="1225.5"/>
    <n v="65.52"/>
    <n v="71894.473559999999"/>
    <n v="80294.759999999995"/>
    <n v="-8400.2864399999962"/>
    <n v="-0.11684189373734662"/>
    <n v="10446.205559999995"/>
    <n v="-7179.7319999999963"/>
    <n v="0"/>
  </r>
  <r>
    <x v="59"/>
    <x v="57"/>
    <d v="2025-05-13T00:00:00"/>
    <s v="Q2-2025"/>
    <d v="2025-05-13T00:00:00"/>
    <n v="11"/>
    <x v="0"/>
    <x v="0"/>
    <x v="0"/>
    <x v="16"/>
    <s v="Small Business"/>
    <x v="1"/>
    <x v="8"/>
    <x v="6"/>
    <s v="Medium"/>
    <x v="59"/>
    <n v="1057.5999999999999"/>
    <n v="1437.06"/>
    <n v="1437.06"/>
    <n v="0.20499999999999999"/>
    <n v="0.20499999999999999"/>
    <x v="1"/>
    <n v="4"/>
    <n v="4569.8508000000002"/>
    <n v="4230.3999999999996"/>
    <n v="339.45080000000053"/>
    <n v="7.4280499485891424E-2"/>
    <n v="0.17"/>
    <n v="1192.7597999999998"/>
    <n v="1057.5999999999999"/>
    <n v="4.68"/>
    <n v="5582.1158639999985"/>
    <n v="4949.5679999999993"/>
    <n v="632.54786399999921"/>
    <n v="0.1133168639654018"/>
    <n v="1012.2650639999983"/>
    <n v="339.45080000000053"/>
    <n v="3.903636447951038E-2"/>
  </r>
  <r>
    <x v="60"/>
    <x v="58"/>
    <d v="2024-04-09T00:00:00"/>
    <s v="Q1-2024"/>
    <d v="2024-04-09T00:00:00"/>
    <n v="30"/>
    <x v="0"/>
    <x v="3"/>
    <x v="7"/>
    <x v="17"/>
    <s v="Corporate"/>
    <x v="4"/>
    <x v="2"/>
    <x v="0"/>
    <s v="High"/>
    <x v="60"/>
    <n v="1176.56"/>
    <n v="1911.89"/>
    <n v="1911.89"/>
    <n v="0.11899999999999999"/>
    <n v="0.11899999999999999"/>
    <x v="0"/>
    <n v="20"/>
    <n v="33687.501800000005"/>
    <n v="23531.199999999997"/>
    <n v="10156.301800000008"/>
    <n v="0.30148575160892477"/>
    <n v="0.11899999999999999"/>
    <n v="1684.37509"/>
    <n v="1176.56"/>
    <n v="23.4"/>
    <n v="39414.377106"/>
    <n v="27531.503999999997"/>
    <n v="11882.873106000003"/>
    <n v="0.30148575160892466"/>
    <n v="5726.8753059999945"/>
    <n v="10156.301800000008"/>
    <n v="0"/>
  </r>
  <r>
    <x v="61"/>
    <x v="59"/>
    <d v="2025-09-12T00:00:00"/>
    <s v="Q3-2025"/>
    <d v="2025-09-12T00:00:00"/>
    <n v="2"/>
    <x v="1"/>
    <x v="1"/>
    <x v="2"/>
    <x v="27"/>
    <s v="Consumer"/>
    <x v="1"/>
    <x v="7"/>
    <x v="0"/>
    <s v="High"/>
    <x v="61"/>
    <n v="1470.15"/>
    <n v="2593.7800000000002"/>
    <n v="2593.7800000000002"/>
    <n v="0.11"/>
    <n v="0.11"/>
    <x v="0"/>
    <n v="12"/>
    <n v="27701.570400000001"/>
    <n v="17641.800000000003"/>
    <n v="10059.770399999998"/>
    <n v="0.36314801849645306"/>
    <n v="0.11"/>
    <n v="2308.4642000000003"/>
    <n v="1470.15"/>
    <n v="14.04"/>
    <n v="32410.837368000004"/>
    <n v="20640.905999999999"/>
    <n v="11769.931368000005"/>
    <n v="0.36314801849645328"/>
    <n v="4709.2669680000035"/>
    <n v="10059.770399999998"/>
    <n v="0"/>
  </r>
  <r>
    <x v="62"/>
    <x v="60"/>
    <d v="2025-05-25T00:00:00"/>
    <s v="Q2-2025"/>
    <d v="2025-05-25T00:00:00"/>
    <n v="28"/>
    <x v="0"/>
    <x v="3"/>
    <x v="7"/>
    <x v="28"/>
    <s v="Small Business"/>
    <x v="2"/>
    <x v="2"/>
    <x v="3"/>
    <s v="Medium"/>
    <x v="62"/>
    <n v="603.45000000000005"/>
    <n v="1244.08"/>
    <n v="1244.08"/>
    <n v="0.2"/>
    <n v="0.2"/>
    <x v="0"/>
    <n v="11"/>
    <n v="10947.904"/>
    <n v="6637.9500000000007"/>
    <n v="4309.9539999999997"/>
    <n v="0.39367846119220623"/>
    <n v="0.17"/>
    <n v="1032.5863999999999"/>
    <n v="603.45000000000005"/>
    <n v="12.87"/>
    <n v="13289.386967999999"/>
    <n v="7766.4014999999999"/>
    <n v="5522.9854679999989"/>
    <n v="0.41559369753465664"/>
    <n v="2341.4829679999984"/>
    <n v="4309.9539999999997"/>
    <n v="2.1915236342450406E-2"/>
  </r>
  <r>
    <x v="63"/>
    <x v="61"/>
    <d v="2024-11-18T00:00:00"/>
    <s v="Q4-2024"/>
    <d v="2024-11-18T00:00:00"/>
    <n v="16"/>
    <x v="0"/>
    <x v="1"/>
    <x v="4"/>
    <x v="29"/>
    <s v="Small Business"/>
    <x v="3"/>
    <x v="7"/>
    <x v="5"/>
    <s v="High"/>
    <x v="63"/>
    <n v="1233.58"/>
    <n v="1912.51"/>
    <n v="1912.51"/>
    <n v="0.255"/>
    <n v="0.255"/>
    <x v="1"/>
    <n v="51"/>
    <n v="72665.817450000002"/>
    <n v="62912.579999999994"/>
    <n v="9753.2374500000078"/>
    <n v="0.134220432553601"/>
    <n v="0.17"/>
    <n v="1587.3833"/>
    <n v="1233.58"/>
    <n v="59.669999999999995"/>
    <n v="94719.161510999984"/>
    <n v="73607.718599999993"/>
    <n v="21111.442910999991"/>
    <n v="0.22288460512341279"/>
    <n v="22053.344060999982"/>
    <n v="9753.2374500000078"/>
    <n v="8.8664172569811794E-2"/>
  </r>
  <r>
    <x v="64"/>
    <x v="62"/>
    <d v="2023-02-26T00:00:00"/>
    <s v="Q1-2023"/>
    <d v="2023-02-26T00:00:00"/>
    <n v="11"/>
    <x v="0"/>
    <x v="0"/>
    <x v="11"/>
    <x v="20"/>
    <s v="Non-Profit"/>
    <x v="0"/>
    <x v="11"/>
    <x v="4"/>
    <s v="Low"/>
    <x v="64"/>
    <n v="498.5"/>
    <n v="755.87"/>
    <n v="755.87"/>
    <n v="0.13"/>
    <n v="0.13"/>
    <x v="0"/>
    <n v="40"/>
    <n v="26304.275999999998"/>
    <n v="19940"/>
    <n v="6364.275999999998"/>
    <n v="0.24194834330357537"/>
    <n v="0.13"/>
    <n v="657.6069"/>
    <n v="498.5"/>
    <n v="46.8"/>
    <n v="30776.002919999999"/>
    <n v="23329.8"/>
    <n v="7446.2029199999997"/>
    <n v="0.24194834330357542"/>
    <n v="4471.726920000001"/>
    <n v="6364.275999999998"/>
    <n v="0"/>
  </r>
  <r>
    <x v="65"/>
    <x v="63"/>
    <d v="2023-12-26T00:00:00"/>
    <s v="Q4-2023"/>
    <d v="2023-12-26T00:00:00"/>
    <n v="23"/>
    <x v="0"/>
    <x v="2"/>
    <x v="5"/>
    <x v="30"/>
    <s v="Education"/>
    <x v="0"/>
    <x v="7"/>
    <x v="3"/>
    <s v="Medium"/>
    <x v="65"/>
    <n v="1303.1099999999999"/>
    <n v="1145.67"/>
    <n v="1145.67"/>
    <n v="0.184"/>
    <n v="0.184"/>
    <x v="0"/>
    <n v="13"/>
    <n v="12153.267360000002"/>
    <n v="16940.43"/>
    <n v="-4787.1626399999986"/>
    <n v="-0.39389922875851208"/>
    <n v="0.17"/>
    <n v="950.90610000000004"/>
    <n v="1303.1099999999999"/>
    <n v="15.209999999999999"/>
    <n v="14463.281781"/>
    <n v="19820.303099999997"/>
    <n v="-5357.0213189999977"/>
    <n v="-0.37038767550234442"/>
    <n v="2310.014420999998"/>
    <n v="-4787.1626399999986"/>
    <n v="2.3511553256167661E-2"/>
  </r>
  <r>
    <x v="66"/>
    <x v="64"/>
    <d v="2023-04-09T00:00:00"/>
    <s v="Q1-2023"/>
    <d v="2023-04-09T00:00:00"/>
    <n v="21"/>
    <x v="0"/>
    <x v="3"/>
    <x v="8"/>
    <x v="31"/>
    <s v="Consumer"/>
    <x v="0"/>
    <x v="4"/>
    <x v="6"/>
    <s v="Medium"/>
    <x v="66"/>
    <n v="1082.17"/>
    <n v="1234.0999999999999"/>
    <n v="1234.0999999999999"/>
    <n v="0.189"/>
    <n v="0.189"/>
    <x v="0"/>
    <n v="16"/>
    <n v="16013.681599999998"/>
    <n v="17314.72"/>
    <n v="-1301.0384000000031"/>
    <n v="-8.124542703534228E-2"/>
    <n v="0.17"/>
    <n v="1024.3029999999999"/>
    <n v="1082.17"/>
    <n v="18.72"/>
    <n v="19174.952159999997"/>
    <n v="20258.222399999999"/>
    <n v="-1083.2702400000016"/>
    <n v="-5.6494025693569282E-2"/>
    <n v="3161.270559999999"/>
    <n v="-1301.0384000000031"/>
    <n v="2.4751401341772998E-2"/>
  </r>
  <r>
    <x v="67"/>
    <x v="65"/>
    <d v="2024-06-06T00:00:00"/>
    <s v="Q2-2024"/>
    <d v="2024-06-06T00:00:00"/>
    <n v="15"/>
    <x v="0"/>
    <x v="1"/>
    <x v="2"/>
    <x v="32"/>
    <s v="Corporate"/>
    <x v="3"/>
    <x v="0"/>
    <x v="5"/>
    <s v="Medium"/>
    <x v="67"/>
    <n v="673.88"/>
    <n v="1228.01"/>
    <n v="1228.01"/>
    <n v="0.105"/>
    <n v="0.105"/>
    <x v="0"/>
    <n v="13"/>
    <n v="14287.896349999999"/>
    <n v="8760.44"/>
    <n v="5527.4563499999986"/>
    <n v="0.38686285332689996"/>
    <n v="0.105"/>
    <n v="1099.0689500000001"/>
    <n v="673.88"/>
    <n v="15.209999999999999"/>
    <n v="16716.838729499999"/>
    <n v="10249.7148"/>
    <n v="6467.1239294999996"/>
    <n v="0.38686285332690001"/>
    <n v="2428.9423795000002"/>
    <n v="5527.4563499999986"/>
    <n v="0"/>
  </r>
  <r>
    <x v="68"/>
    <x v="66"/>
    <d v="2023-09-07T00:00:00"/>
    <s v="Q3-2023"/>
    <d v="2023-09-07T00:00:00"/>
    <n v="19"/>
    <x v="0"/>
    <x v="0"/>
    <x v="11"/>
    <x v="20"/>
    <s v="Enterprise"/>
    <x v="0"/>
    <x v="14"/>
    <x v="5"/>
    <s v="Low"/>
    <x v="68"/>
    <n v="494.61"/>
    <n v="605.23"/>
    <n v="605.23"/>
    <n v="0.20399999999999999"/>
    <n v="0.20399999999999999"/>
    <x v="1"/>
    <n v="18"/>
    <n v="8671.7354400000004"/>
    <n v="8902.98"/>
    <n v="-231.24455999999918"/>
    <n v="-2.6666468505639647E-2"/>
    <n v="0.17"/>
    <n v="502.34089999999998"/>
    <n v="494.61"/>
    <n v="21.06"/>
    <n v="10579.299353999999"/>
    <n v="10416.4866"/>
    <n v="162.81275399999868"/>
    <n v="1.538974827651887E-2"/>
    <n v="1907.5639139999985"/>
    <n v="-231.24455999999918"/>
    <n v="4.2056216782158519E-2"/>
  </r>
  <r>
    <x v="69"/>
    <x v="67"/>
    <d v="2023-05-10T00:00:00"/>
    <s v="Q2-2023"/>
    <d v="2023-05-10T00:00:00"/>
    <n v="19"/>
    <x v="0"/>
    <x v="1"/>
    <x v="9"/>
    <x v="23"/>
    <s v="Corporate"/>
    <x v="0"/>
    <x v="8"/>
    <x v="0"/>
    <s v="High"/>
    <x v="69"/>
    <n v="882.33"/>
    <n v="1880.15"/>
    <n v="1880.15"/>
    <n v="0.05"/>
    <n v="0.05"/>
    <x v="0"/>
    <n v="5"/>
    <n v="8930.7124999999996"/>
    <n v="4411.6500000000005"/>
    <n v="4519.0624999999991"/>
    <n v="0.50601365792482955"/>
    <n v="0.05"/>
    <n v="1786.1424999999999"/>
    <n v="882.33"/>
    <n v="5.85"/>
    <n v="10448.933625"/>
    <n v="5161.6305000000002"/>
    <n v="5287.3031249999995"/>
    <n v="0.50601365792482955"/>
    <n v="1518.221125"/>
    <n v="4519.0624999999991"/>
    <n v="0"/>
  </r>
  <r>
    <x v="70"/>
    <x v="68"/>
    <d v="2024-03-21T00:00:00"/>
    <s v="Q1-2024"/>
    <d v="2024-03-21T00:00:00"/>
    <n v="3"/>
    <x v="1"/>
    <x v="3"/>
    <x v="6"/>
    <x v="22"/>
    <s v="Small Business"/>
    <x v="1"/>
    <x v="12"/>
    <x v="6"/>
    <s v="Medium"/>
    <x v="70"/>
    <n v="910.63"/>
    <n v="1269.4000000000001"/>
    <n v="1269.4000000000001"/>
    <n v="6.8000000000000005E-2"/>
    <n v="6.8000000000000005E-2"/>
    <x v="0"/>
    <n v="9"/>
    <n v="10647.727199999999"/>
    <n v="8195.67"/>
    <n v="2452.0571999999993"/>
    <n v="0.23028925834989455"/>
    <n v="6.8000000000000005E-2"/>
    <n v="1183.0808"/>
    <n v="910.63"/>
    <n v="10.53"/>
    <n v="12457.840823999999"/>
    <n v="9588.9339"/>
    <n v="2868.906923999999"/>
    <n v="0.23028925834989455"/>
    <n v="1810.1136239999996"/>
    <n v="2452.0571999999993"/>
    <n v="0"/>
  </r>
  <r>
    <x v="71"/>
    <x v="69"/>
    <d v="2025-05-06T00:00:00"/>
    <s v="Q2-2025"/>
    <d v="2025-05-06T00:00:00"/>
    <n v="27"/>
    <x v="0"/>
    <x v="2"/>
    <x v="5"/>
    <x v="10"/>
    <s v="Enterprise"/>
    <x v="2"/>
    <x v="9"/>
    <x v="4"/>
    <s v="Low"/>
    <x v="71"/>
    <n v="264.19"/>
    <n v="620.92999999999995"/>
    <n v="620.92999999999995"/>
    <n v="0.14199999999999999"/>
    <n v="0.14199999999999999"/>
    <x v="0"/>
    <n v="12"/>
    <n v="6393.0952799999995"/>
    <n v="3170.2799999999997"/>
    <n v="3222.8152799999998"/>
    <n v="0.50410875152794532"/>
    <n v="0.14199999999999999"/>
    <n v="532.75793999999996"/>
    <n v="264.19"/>
    <n v="14.04"/>
    <n v="7479.921477599999"/>
    <n v="3709.2275999999997"/>
    <n v="3770.6938775999993"/>
    <n v="0.50410875152794532"/>
    <n v="1086.8261975999994"/>
    <n v="3222.8152799999998"/>
    <n v="0"/>
  </r>
  <r>
    <x v="72"/>
    <x v="70"/>
    <d v="2024-05-07T00:00:00"/>
    <s v="Q2-2024"/>
    <d v="2024-05-07T00:00:00"/>
    <n v="25"/>
    <x v="0"/>
    <x v="0"/>
    <x v="11"/>
    <x v="20"/>
    <s v="Education"/>
    <x v="3"/>
    <x v="8"/>
    <x v="4"/>
    <s v="Medium"/>
    <x v="72"/>
    <n v="1376.51"/>
    <n v="1455.91"/>
    <n v="1455.91"/>
    <n v="0.185"/>
    <n v="0.185"/>
    <x v="0"/>
    <n v="17"/>
    <n v="20171.63305"/>
    <n v="23400.67"/>
    <n v="-3229.0369499999979"/>
    <n v="-0.1600781127634085"/>
    <n v="0.17"/>
    <n v="1208.4052999999999"/>
    <n v="1376.51"/>
    <n v="19.89"/>
    <n v="24035.181417"/>
    <n v="27378.783900000002"/>
    <n v="-3343.6024830000024"/>
    <n v="-0.13911284566527482"/>
    <n v="3863.5483669999994"/>
    <n v="-3229.0369499999979"/>
    <n v="2.0965267098133678E-2"/>
  </r>
  <r>
    <x v="73"/>
    <x v="71"/>
    <d v="2024-12-20T00:00:00"/>
    <s v="Q4-2024"/>
    <d v="2024-12-20T00:00:00"/>
    <n v="5"/>
    <x v="1"/>
    <x v="1"/>
    <x v="9"/>
    <x v="14"/>
    <s v="Small Business"/>
    <x v="4"/>
    <x v="1"/>
    <x v="2"/>
    <s v="Low"/>
    <x v="73"/>
    <n v="717.55"/>
    <n v="546.42999999999995"/>
    <n v="546.42999999999995"/>
    <n v="4.7E-2"/>
    <n v="4.7E-2"/>
    <x v="0"/>
    <n v="18"/>
    <n v="9373.460219999999"/>
    <n v="12915.9"/>
    <n v="-3542.4397800000006"/>
    <n v="-0.37792231437026369"/>
    <n v="4.7E-2"/>
    <n v="520.7477899999999"/>
    <n v="717.55"/>
    <n v="21.06"/>
    <n v="10966.948457399998"/>
    <n v="15111.602999999997"/>
    <n v="-4144.6545425999993"/>
    <n v="-0.37792231437026358"/>
    <n v="1593.488237399999"/>
    <n v="-3542.4397800000006"/>
    <n v="0"/>
  </r>
  <r>
    <x v="74"/>
    <x v="72"/>
    <d v="2023-05-18T00:00:00"/>
    <s v="Q2-2023"/>
    <d v="2023-06-07T00:00:00"/>
    <n v="18"/>
    <x v="0"/>
    <x v="0"/>
    <x v="11"/>
    <x v="25"/>
    <s v="Corporate"/>
    <x v="3"/>
    <x v="8"/>
    <x v="0"/>
    <s v="Medium"/>
    <x v="74"/>
    <n v="917.88"/>
    <n v="1347.92"/>
    <n v="1347.92"/>
    <n v="0.34300000000000003"/>
    <n v="0.12"/>
    <x v="0"/>
    <n v="5"/>
    <n v="5930.848"/>
    <n v="4589.3999999999996"/>
    <n v="1341.4480000000003"/>
    <n v="0.22618148365967233"/>
    <n v="0.34300000000000003"/>
    <n v="885.58344000000011"/>
    <n v="917.88"/>
    <n v="5.85"/>
    <n v="5180.6631240000006"/>
    <n v="5369.598"/>
    <n v="-188.93487599999935"/>
    <n v="-3.6469245630880227E-2"/>
    <n v="-750.18487599999935"/>
    <n v="1341.4480000000003"/>
    <n v="-0.26265072929055255"/>
  </r>
  <r>
    <x v="75"/>
    <x v="73"/>
    <d v="2023-10-08T00:00:00"/>
    <s v="Q3-2023"/>
    <d v="2023-10-08T00:00:00"/>
    <n v="20"/>
    <x v="0"/>
    <x v="1"/>
    <x v="4"/>
    <x v="18"/>
    <s v="Small Business"/>
    <x v="4"/>
    <x v="5"/>
    <x v="0"/>
    <s v="Medium"/>
    <x v="75"/>
    <n v="825.64"/>
    <n v="1108.43"/>
    <n v="1108.43"/>
    <n v="0.114"/>
    <n v="0.114"/>
    <x v="0"/>
    <n v="7"/>
    <n v="6874.4828600000001"/>
    <n v="5779.48"/>
    <n v="1095.0028600000005"/>
    <n v="0.15928512475773349"/>
    <n v="0.114"/>
    <n v="982.06898000000001"/>
    <n v="825.64"/>
    <n v="8.19"/>
    <n v="8043.1449462"/>
    <n v="6761.9915999999994"/>
    <n v="1281.1533462000007"/>
    <n v="0.15928512475773349"/>
    <n v="1168.6620862"/>
    <n v="1095.0028600000005"/>
    <n v="0"/>
  </r>
  <r>
    <x v="76"/>
    <x v="74"/>
    <d v="2024-09-25T00:00:00"/>
    <s v="Q3-2024"/>
    <d v="2024-09-25T00:00:00"/>
    <n v="28"/>
    <x v="0"/>
    <x v="2"/>
    <x v="5"/>
    <x v="30"/>
    <s v="Non-Profit"/>
    <x v="1"/>
    <x v="15"/>
    <x v="6"/>
    <s v="High"/>
    <x v="76"/>
    <n v="1394.65"/>
    <n v="3144.1"/>
    <n v="3144.1"/>
    <n v="0.13400000000000001"/>
    <n v="0.13400000000000001"/>
    <x v="0"/>
    <n v="13"/>
    <n v="35396.277799999996"/>
    <n v="18130.45"/>
    <n v="17265.827799999995"/>
    <n v="0.4877865378263021"/>
    <n v="0.13400000000000001"/>
    <n v="2722.7905999999998"/>
    <n v="1394.65"/>
    <n v="15.209999999999999"/>
    <n v="41413.645025999991"/>
    <n v="21212.626499999998"/>
    <n v="20201.018525999993"/>
    <n v="0.4877865378263021"/>
    <n v="6017.3672259999948"/>
    <n v="17265.827799999995"/>
    <n v="0"/>
  </r>
  <r>
    <x v="77"/>
    <x v="24"/>
    <d v="2024-06-28T00:00:00"/>
    <s v="Q2-2024"/>
    <d v="2024-07-18T00:00:00"/>
    <n v="18"/>
    <x v="0"/>
    <x v="2"/>
    <x v="5"/>
    <x v="30"/>
    <s v="Small Business"/>
    <x v="4"/>
    <x v="4"/>
    <x v="6"/>
    <s v="High"/>
    <x v="77"/>
    <n v="1112.98"/>
    <n v="2095.73"/>
    <n v="2095.73"/>
    <n v="7.1999999999999995E-2"/>
    <n v="7.1999999999999995E-2"/>
    <x v="0"/>
    <n v="17"/>
    <n v="33062.236480000007"/>
    <n v="18920.66"/>
    <n v="14141.576480000007"/>
    <n v="0.42772594916724777"/>
    <n v="7.1999999999999995E-2"/>
    <n v="1944.83744"/>
    <n v="1112.98"/>
    <n v="19.89"/>
    <n v="38682.816681600001"/>
    <n v="22137.172200000001"/>
    <n v="16545.6444816"/>
    <n v="0.4277259491672476"/>
    <n v="5620.5802015999943"/>
    <n v="14141.576480000007"/>
    <n v="0"/>
  </r>
  <r>
    <x v="78"/>
    <x v="75"/>
    <d v="2023-06-16T00:00:00"/>
    <s v="Q2-2023"/>
    <d v="2023-06-16T00:00:00"/>
    <n v="2"/>
    <x v="1"/>
    <x v="3"/>
    <x v="8"/>
    <x v="31"/>
    <s v="Non-Profit"/>
    <x v="4"/>
    <x v="11"/>
    <x v="0"/>
    <s v="Medium"/>
    <x v="78"/>
    <n v="357.36"/>
    <n v="703.62"/>
    <n v="703.62"/>
    <n v="0.25700000000000001"/>
    <n v="0.25700000000000001"/>
    <x v="1"/>
    <n v="20"/>
    <n v="10455.7932"/>
    <n v="7147.2000000000007"/>
    <n v="3308.5931999999993"/>
    <n v="0.31643636563125593"/>
    <n v="0.17"/>
    <n v="584.00459999999998"/>
    <n v="357.36"/>
    <n v="23.4"/>
    <n v="13665.707639999999"/>
    <n v="8362.2240000000002"/>
    <n v="5303.4836399999986"/>
    <n v="0.38808701164340137"/>
    <n v="3209.9144399999986"/>
    <n v="3308.5931999999993"/>
    <n v="7.1650646012145436E-2"/>
  </r>
  <r>
    <x v="79"/>
    <x v="76"/>
    <d v="2024-12-21T00:00:00"/>
    <s v="Q4-2024"/>
    <d v="2024-12-21T00:00:00"/>
    <n v="30"/>
    <x v="0"/>
    <x v="3"/>
    <x v="7"/>
    <x v="11"/>
    <s v="Small Business"/>
    <x v="4"/>
    <x v="2"/>
    <x v="5"/>
    <s v="High"/>
    <x v="79"/>
    <n v="1122.68"/>
    <n v="1997.19"/>
    <n v="1997.19"/>
    <n v="0.186"/>
    <n v="0.186"/>
    <x v="0"/>
    <n v="3"/>
    <n v="4877.1379800000004"/>
    <n v="3368.04"/>
    <n v="1509.0979800000005"/>
    <n v="0.30942285951073306"/>
    <n v="0.17"/>
    <n v="1657.6677"/>
    <n v="1122.68"/>
    <n v="3.51"/>
    <n v="5818.4136269999999"/>
    <n v="3940.6068"/>
    <n v="1877.8068269999999"/>
    <n v="0.32273518992980316"/>
    <n v="941.27564699999948"/>
    <n v="1509.0979800000005"/>
    <n v="1.3312330419070095E-2"/>
  </r>
  <r>
    <x v="80"/>
    <x v="77"/>
    <d v="2023-02-11T00:00:00"/>
    <s v="Q1-2023"/>
    <d v="2023-02-11T00:00:00"/>
    <n v="3"/>
    <x v="1"/>
    <x v="0"/>
    <x v="11"/>
    <x v="33"/>
    <s v="Corporate"/>
    <x v="4"/>
    <x v="12"/>
    <x v="2"/>
    <s v="High"/>
    <x v="80"/>
    <n v="1410.05"/>
    <n v="2763.95"/>
    <n v="2763.95"/>
    <n v="0.161"/>
    <n v="0.161"/>
    <x v="0"/>
    <n v="26"/>
    <n v="60292.805299999993"/>
    <n v="36661.299999999996"/>
    <n v="23631.505299999997"/>
    <n v="0.39194569206750779"/>
    <n v="0.161"/>
    <n v="2318.9540499999998"/>
    <n v="1410.05"/>
    <n v="30.419999999999998"/>
    <n v="70542.582200999997"/>
    <n v="42893.720999999998"/>
    <n v="27648.861201"/>
    <n v="0.39194569206750779"/>
    <n v="10249.776901000005"/>
    <n v="23631.505299999997"/>
    <n v="0"/>
  </r>
  <r>
    <x v="81"/>
    <x v="66"/>
    <d v="2023-09-12T00:00:00"/>
    <s v="Q3-2023"/>
    <d v="2023-09-12T00:00:00"/>
    <n v="24"/>
    <x v="0"/>
    <x v="2"/>
    <x v="3"/>
    <x v="26"/>
    <s v="Enterprise"/>
    <x v="0"/>
    <x v="2"/>
    <x v="1"/>
    <s v="High"/>
    <x v="81"/>
    <n v="1183.95"/>
    <n v="1503.53"/>
    <n v="1503.53"/>
    <n v="0.24099999999999999"/>
    <n v="0.24099999999999999"/>
    <x v="1"/>
    <n v="16"/>
    <n v="18258.868320000001"/>
    <n v="18943.2"/>
    <n v="-684.33167999999932"/>
    <n v="-3.7479413729623705E-2"/>
    <n v="0.17"/>
    <n v="1247.9298999999999"/>
    <n v="1183.95"/>
    <n v="18.72"/>
    <n v="23361.247727999995"/>
    <n v="22163.543999999998"/>
    <n v="1197.7037279999968"/>
    <n v="5.1268825276163221E-2"/>
    <n v="5102.3794079999934"/>
    <n v="-684.33167999999932"/>
    <n v="8.8748239005786933E-2"/>
  </r>
  <r>
    <x v="82"/>
    <x v="78"/>
    <d v="2025-05-24T00:00:00"/>
    <s v="Q2-2025"/>
    <d v="2025-05-24T00:00:00"/>
    <n v="10"/>
    <x v="0"/>
    <x v="3"/>
    <x v="7"/>
    <x v="28"/>
    <s v="Small Business"/>
    <x v="2"/>
    <x v="11"/>
    <x v="0"/>
    <s v="Low"/>
    <x v="82"/>
    <n v="170.39"/>
    <n v="388.04"/>
    <n v="388.04"/>
    <n v="8.4000000000000005E-2"/>
    <n v="8.4000000000000005E-2"/>
    <x v="0"/>
    <n v="15"/>
    <n v="5331.6696000000002"/>
    <n v="2555.85"/>
    <n v="2775.8196000000003"/>
    <n v="0.52062858508711796"/>
    <n v="8.4000000000000005E-2"/>
    <n v="355.44464000000005"/>
    <n v="170.39"/>
    <n v="17.549999999999997"/>
    <n v="6238.0534319999997"/>
    <n v="2990.3444999999992"/>
    <n v="3247.7089320000005"/>
    <n v="0.52062858508711807"/>
    <n v="906.38383199999953"/>
    <n v="2775.8196000000003"/>
    <n v="0"/>
  </r>
  <r>
    <x v="83"/>
    <x v="79"/>
    <d v="2025-04-22T00:00:00"/>
    <s v="Q2-2025"/>
    <d v="2025-05-12T00:00:00"/>
    <n v="19"/>
    <x v="0"/>
    <x v="2"/>
    <x v="10"/>
    <x v="24"/>
    <s v="Non-Profit"/>
    <x v="3"/>
    <x v="14"/>
    <x v="5"/>
    <s v="Low"/>
    <x v="83"/>
    <n v="23.24"/>
    <n v="44.57"/>
    <n v="44.57"/>
    <n v="0.215"/>
    <n v="0.215"/>
    <x v="1"/>
    <n v="15"/>
    <n v="524.81174999999996"/>
    <n v="348.59999999999997"/>
    <n v="176.21174999999999"/>
    <n v="0.33576182316802167"/>
    <n v="0.17"/>
    <n v="36.993099999999998"/>
    <n v="23.24"/>
    <n v="17.549999999999997"/>
    <n v="649.22890499999983"/>
    <n v="407.86199999999991"/>
    <n v="241.36690499999992"/>
    <n v="0.37177473636975539"/>
    <n v="124.41715499999987"/>
    <n v="176.21174999999999"/>
    <n v="3.6012913201733721E-2"/>
  </r>
  <r>
    <x v="84"/>
    <x v="80"/>
    <d v="2025-04-17T00:00:00"/>
    <s v="Q1-2025"/>
    <d v="2025-04-17T00:00:00"/>
    <n v="23"/>
    <x v="0"/>
    <x v="3"/>
    <x v="8"/>
    <x v="21"/>
    <s v="Consumer"/>
    <x v="0"/>
    <x v="10"/>
    <x v="2"/>
    <s v="Medium"/>
    <x v="84"/>
    <n v="1421.19"/>
    <n v="1808.26"/>
    <n v="1808.26"/>
    <n v="0.104"/>
    <n v="0.104"/>
    <x v="0"/>
    <n v="13"/>
    <n v="21062.61248"/>
    <n v="18475.47"/>
    <n v="2587.1424799999986"/>
    <n v="0.12283103449093123"/>
    <n v="0.104"/>
    <n v="1620.2009600000001"/>
    <n v="1421.19"/>
    <n v="15.209999999999999"/>
    <n v="24643.256601600002"/>
    <n v="21616.299899999998"/>
    <n v="3026.9567016000037"/>
    <n v="0.12283103449093144"/>
    <n v="3580.6441216000021"/>
    <n v="2587.1424799999986"/>
    <n v="2.0816681711721685E-16"/>
  </r>
  <r>
    <x v="85"/>
    <x v="81"/>
    <d v="2023-12-23T00:00:00"/>
    <s v="Q4-2023"/>
    <d v="2023-12-23T00:00:00"/>
    <n v="1"/>
    <x v="1"/>
    <x v="0"/>
    <x v="11"/>
    <x v="33"/>
    <s v="Non-Profit"/>
    <x v="2"/>
    <x v="14"/>
    <x v="0"/>
    <s v="Medium"/>
    <x v="85"/>
    <n v="1186.18"/>
    <n v="1285.0899999999999"/>
    <n v="1285.0899999999999"/>
    <n v="7.0000000000000007E-2"/>
    <n v="7.0000000000000007E-2"/>
    <x v="0"/>
    <n v="11"/>
    <n v="13146.470699999998"/>
    <n v="13047.980000000001"/>
    <n v="98.49069999999665"/>
    <n v="7.4917977796121861E-3"/>
    <n v="7.0000000000000007E-2"/>
    <n v="1195.1336999999999"/>
    <n v="1186.18"/>
    <n v="12.87"/>
    <n v="15381.370718999997"/>
    <n v="15266.1366"/>
    <n v="115.23411899999701"/>
    <n v="7.4917977796122468E-3"/>
    <n v="2234.9000189999988"/>
    <n v="98.49069999999665"/>
    <n v="6.0715321659188248E-17"/>
  </r>
  <r>
    <x v="86"/>
    <x v="82"/>
    <d v="2024-04-25T00:00:00"/>
    <s v="Q2-2024"/>
    <d v="2024-04-25T00:00:00"/>
    <n v="19"/>
    <x v="0"/>
    <x v="1"/>
    <x v="9"/>
    <x v="23"/>
    <s v="Corporate"/>
    <x v="0"/>
    <x v="11"/>
    <x v="0"/>
    <s v="High"/>
    <x v="86"/>
    <n v="1366.48"/>
    <n v="1678.14"/>
    <n v="1678.14"/>
    <n v="0.154"/>
    <n v="0.154"/>
    <x v="0"/>
    <n v="10"/>
    <n v="14197.064400000001"/>
    <n v="13664.8"/>
    <n v="532.26440000000184"/>
    <n v="3.7491159087790132E-2"/>
    <n v="0.154"/>
    <n v="1419.7064399999999"/>
    <n v="1366.48"/>
    <n v="11.7"/>
    <n v="16610.565347999996"/>
    <n v="15987.815999999999"/>
    <n v="622.74934799999755"/>
    <n v="3.7491159087789869E-2"/>
    <n v="2413.5009479999953"/>
    <n v="532.26440000000184"/>
    <n v="-2.6367796834847468E-16"/>
  </r>
  <r>
    <x v="87"/>
    <x v="83"/>
    <d v="2025-08-19T00:00:00"/>
    <s v="Q3-2025"/>
    <d v="2025-08-19T00:00:00"/>
    <n v="12"/>
    <x v="0"/>
    <x v="0"/>
    <x v="0"/>
    <x v="16"/>
    <s v="Corporate"/>
    <x v="5"/>
    <x v="12"/>
    <x v="0"/>
    <s v="Low"/>
    <x v="87"/>
    <n v="601.51"/>
    <n v="679.35"/>
    <n v="679.35"/>
    <n v="0.188"/>
    <n v="0.188"/>
    <x v="0"/>
    <n v="3"/>
    <n v="1654.8966000000003"/>
    <n v="1804.53"/>
    <n v="-149.63339999999971"/>
    <n v="-9.0418579626062243E-2"/>
    <n v="0.17"/>
    <n v="563.8605"/>
    <n v="601.51"/>
    <n v="3.51"/>
    <n v="1979.150355"/>
    <n v="2111.3000999999999"/>
    <n v="-132.14974499999994"/>
    <n v="-6.6770947778750214E-2"/>
    <n v="324.25375499999973"/>
    <n v="-149.63339999999971"/>
    <n v="2.3647631847312028E-2"/>
  </r>
  <r>
    <x v="88"/>
    <x v="84"/>
    <d v="2024-01-25T00:00:00"/>
    <s v="Q1-2024"/>
    <d v="2024-01-25T00:00:00"/>
    <n v="4"/>
    <x v="1"/>
    <x v="1"/>
    <x v="4"/>
    <x v="18"/>
    <s v="Consumer"/>
    <x v="4"/>
    <x v="0"/>
    <x v="5"/>
    <s v="Medium"/>
    <x v="88"/>
    <n v="523.70000000000005"/>
    <n v="1109.92"/>
    <n v="1109.92"/>
    <n v="0.03"/>
    <n v="0.03"/>
    <x v="0"/>
    <n v="11"/>
    <n v="11842.8464"/>
    <n v="5760.7000000000007"/>
    <n v="6082.1463999999996"/>
    <n v="0.51357133197302973"/>
    <n v="0.03"/>
    <n v="1076.6224"/>
    <n v="523.70000000000005"/>
    <n v="12.87"/>
    <n v="13856.130287999998"/>
    <n v="6740.0190000000002"/>
    <n v="7116.1112879999982"/>
    <n v="0.51357133197302962"/>
    <n v="2013.2838879999981"/>
    <n v="6082.1463999999996"/>
    <n v="0"/>
  </r>
  <r>
    <x v="89"/>
    <x v="85"/>
    <d v="2023-07-02T00:00:00"/>
    <s v="Q2-2023"/>
    <d v="2023-07-02T00:00:00"/>
    <n v="3"/>
    <x v="1"/>
    <x v="1"/>
    <x v="2"/>
    <x v="32"/>
    <s v="Education"/>
    <x v="2"/>
    <x v="9"/>
    <x v="5"/>
    <s v="Low"/>
    <x v="89"/>
    <n v="55.65"/>
    <n v="83.57"/>
    <n v="83.57"/>
    <n v="6.6000000000000003E-2"/>
    <n v="6.6000000000000003E-2"/>
    <x v="0"/>
    <n v="8"/>
    <n v="624.43503999999996"/>
    <n v="445.2"/>
    <n v="179.23503999999997"/>
    <n v="0.2870355257449998"/>
    <n v="6.6000000000000003E-2"/>
    <n v="78.054379999999995"/>
    <n v="55.65"/>
    <n v="9.36"/>
    <n v="730.5889967999999"/>
    <n v="520.8839999999999"/>
    <n v="209.7049968"/>
    <n v="0.28703552574499985"/>
    <n v="106.15395679999995"/>
    <n v="179.23503999999997"/>
    <n v="0"/>
  </r>
  <r>
    <x v="90"/>
    <x v="86"/>
    <d v="2025-05-15T00:00:00"/>
    <s v="Q2-2025"/>
    <d v="2025-05-15T00:00:00"/>
    <n v="17"/>
    <x v="0"/>
    <x v="1"/>
    <x v="2"/>
    <x v="32"/>
    <s v="Education"/>
    <x v="4"/>
    <x v="13"/>
    <x v="2"/>
    <s v="Medium"/>
    <x v="90"/>
    <n v="691.19"/>
    <n v="1284.3"/>
    <n v="1284.3"/>
    <n v="7.3999999999999996E-2"/>
    <n v="7.3999999999999996E-2"/>
    <x v="0"/>
    <n v="7"/>
    <n v="8324.8326000000015"/>
    <n v="4838.33"/>
    <n v="3486.5026000000016"/>
    <n v="0.41880753253825198"/>
    <n v="7.3999999999999996E-2"/>
    <n v="1189.2618"/>
    <n v="691.19"/>
    <n v="8.19"/>
    <n v="9740.054141999999"/>
    <n v="5660.8460999999998"/>
    <n v="4079.2080419999993"/>
    <n v="0.41880753253825187"/>
    <n v="1415.2215419999975"/>
    <n v="3486.5026000000016"/>
    <n v="0"/>
  </r>
  <r>
    <x v="91"/>
    <x v="56"/>
    <d v="2025-06-25T00:00:00"/>
    <s v="Q2-2025"/>
    <d v="2025-06-25T00:00:00"/>
    <n v="16"/>
    <x v="0"/>
    <x v="1"/>
    <x v="4"/>
    <x v="34"/>
    <s v="Enterprise"/>
    <x v="3"/>
    <x v="12"/>
    <x v="3"/>
    <s v="Medium"/>
    <x v="91"/>
    <n v="527.33000000000004"/>
    <n v="911.72"/>
    <n v="911.72"/>
    <n v="0.14399999999999999"/>
    <n v="0.14399999999999999"/>
    <x v="0"/>
    <n v="25"/>
    <n v="19510.808000000001"/>
    <n v="13183.250000000002"/>
    <n v="6327.5579999999991"/>
    <n v="0.32431040272652978"/>
    <n v="0.14399999999999999"/>
    <n v="780.43232"/>
    <n v="527.33000000000004"/>
    <n v="29.25"/>
    <n v="22827.645359999999"/>
    <n v="15424.402500000002"/>
    <n v="7403.2428599999967"/>
    <n v="0.32431040272652972"/>
    <n v="3316.8373599999977"/>
    <n v="6327.5579999999991"/>
    <n v="0"/>
  </r>
  <r>
    <x v="92"/>
    <x v="87"/>
    <d v="2023-06-23T00:00:00"/>
    <s v="Q2-2023"/>
    <d v="2023-07-13T00:00:00"/>
    <n v="19"/>
    <x v="0"/>
    <x v="2"/>
    <x v="5"/>
    <x v="30"/>
    <s v="Non-Profit"/>
    <x v="0"/>
    <x v="6"/>
    <x v="1"/>
    <s v="Medium"/>
    <x v="92"/>
    <n v="804.01"/>
    <n v="1405.07"/>
    <n v="1405.07"/>
    <n v="9.6000000000000002E-2"/>
    <n v="9.6000000000000002E-2"/>
    <x v="0"/>
    <n v="8"/>
    <n v="10161.46624"/>
    <n v="6432.08"/>
    <n v="3729.3862399999998"/>
    <n v="0.36701260939287439"/>
    <n v="9.6000000000000002E-2"/>
    <n v="1270.18328"/>
    <n v="804.01"/>
    <n v="9.36"/>
    <n v="11888.9155008"/>
    <n v="7525.5335999999998"/>
    <n v="4363.3819008"/>
    <n v="0.36701260939287439"/>
    <n v="1727.4492608"/>
    <n v="3729.3862399999998"/>
    <n v="0"/>
  </r>
  <r>
    <x v="93"/>
    <x v="88"/>
    <d v="2024-11-02T00:00:00"/>
    <s v="Q4-2024"/>
    <d v="2024-11-02T00:00:00"/>
    <n v="29"/>
    <x v="0"/>
    <x v="0"/>
    <x v="1"/>
    <x v="7"/>
    <s v="Corporate"/>
    <x v="3"/>
    <x v="9"/>
    <x v="6"/>
    <s v="Medium"/>
    <x v="93"/>
    <n v="412.09"/>
    <n v="968.94"/>
    <n v="968.94"/>
    <n v="9.9000000000000005E-2"/>
    <n v="9.9000000000000005E-2"/>
    <x v="0"/>
    <n v="23"/>
    <n v="20079.343620000003"/>
    <n v="9478.07"/>
    <n v="10601.273620000004"/>
    <n v="0.52796913189137418"/>
    <n v="9.9000000000000005E-2"/>
    <n v="873.01494000000002"/>
    <n v="412.09"/>
    <n v="26.909999999999997"/>
    <n v="23492.832035399999"/>
    <n v="11089.341899999998"/>
    <n v="12403.490135400001"/>
    <n v="0.52796913189137418"/>
    <n v="3413.4884153999956"/>
    <n v="10601.273620000004"/>
    <n v="0"/>
  </r>
  <r>
    <x v="94"/>
    <x v="59"/>
    <d v="2025-09-30T00:00:00"/>
    <s v="Q3-2025"/>
    <d v="2025-09-30T00:00:00"/>
    <n v="20"/>
    <x v="0"/>
    <x v="0"/>
    <x v="0"/>
    <x v="13"/>
    <s v="Corporate"/>
    <x v="4"/>
    <x v="4"/>
    <x v="3"/>
    <s v="Medium"/>
    <x v="94"/>
    <n v="1009.48"/>
    <n v="1088.81"/>
    <n v="1088.81"/>
    <n v="0.16"/>
    <n v="0.16"/>
    <x v="0"/>
    <n v="6"/>
    <n v="5487.6023999999998"/>
    <n v="6056.88"/>
    <n v="-569.27760000000035"/>
    <n v="-0.10373885688219693"/>
    <n v="0.16"/>
    <n v="914.60039999999992"/>
    <n v="1009.48"/>
    <n v="7.02"/>
    <n v="6420.4948079999995"/>
    <n v="7086.5495999999994"/>
    <n v="-666.05479199999991"/>
    <n v="-0.10373885688219685"/>
    <n v="932.8924079999997"/>
    <n v="-569.27760000000035"/>
    <n v="0"/>
  </r>
  <r>
    <x v="95"/>
    <x v="89"/>
    <d v="2023-04-27T00:00:00"/>
    <s v="Q2-2023"/>
    <d v="2023-04-27T00:00:00"/>
    <n v="21"/>
    <x v="0"/>
    <x v="3"/>
    <x v="8"/>
    <x v="31"/>
    <s v="Enterprise"/>
    <x v="3"/>
    <x v="2"/>
    <x v="1"/>
    <s v="High"/>
    <x v="95"/>
    <n v="1084.79"/>
    <n v="2484.9899999999998"/>
    <n v="2484.9899999999998"/>
    <n v="3.4000000000000002E-2"/>
    <n v="3.4000000000000002E-2"/>
    <x v="0"/>
    <n v="18"/>
    <n v="43209.006119999991"/>
    <n v="19526.22"/>
    <n v="23682.78611999999"/>
    <n v="0.54809837685755114"/>
    <n v="3.4000000000000002E-2"/>
    <n v="2400.5003399999996"/>
    <n v="1084.79"/>
    <n v="21.06"/>
    <n v="50554.537160399988"/>
    <n v="22845.677399999997"/>
    <n v="27708.859760399992"/>
    <n v="0.54809837685755125"/>
    <n v="7345.5310403999974"/>
    <n v="23682.78611999999"/>
    <n v="0"/>
  </r>
  <r>
    <x v="96"/>
    <x v="90"/>
    <d v="2025-08-16T00:00:00"/>
    <s v="Q3-2025"/>
    <d v="2025-08-16T00:00:00"/>
    <n v="15"/>
    <x v="0"/>
    <x v="1"/>
    <x v="4"/>
    <x v="35"/>
    <s v="Enterprise"/>
    <x v="4"/>
    <x v="7"/>
    <x v="5"/>
    <s v="Low"/>
    <x v="96"/>
    <n v="24.44"/>
    <n v="28.69"/>
    <n v="28.69"/>
    <n v="0.14599999999999999"/>
    <n v="0.14599999999999999"/>
    <x v="0"/>
    <n v="6"/>
    <n v="147.00756000000001"/>
    <n v="146.64000000000001"/>
    <n v="0.36755999999999744"/>
    <n v="2.5002795774584476E-3"/>
    <n v="0.14599999999999999"/>
    <n v="24.501260000000002"/>
    <n v="24.44"/>
    <n v="7.02"/>
    <n v="171.99884520000001"/>
    <n v="171.56880000000001"/>
    <n v="0.43004519999999502"/>
    <n v="2.5002795774584363E-3"/>
    <n v="24.991285199999993"/>
    <n v="0.36755999999999744"/>
    <n v="-1.1275702593849246E-17"/>
  </r>
  <r>
    <x v="97"/>
    <x v="91"/>
    <d v="2024-05-26T00:00:00"/>
    <s v="Q2-2024"/>
    <d v="2024-06-15T00:00:00"/>
    <n v="18"/>
    <x v="0"/>
    <x v="0"/>
    <x v="1"/>
    <x v="7"/>
    <s v="Enterprise"/>
    <x v="1"/>
    <x v="9"/>
    <x v="6"/>
    <s v="High"/>
    <x v="97"/>
    <n v="1227.08"/>
    <n v="1896.62"/>
    <n v="1896.62"/>
    <n v="0"/>
    <n v="0"/>
    <x v="0"/>
    <n v="18"/>
    <n v="34139.159999999996"/>
    <n v="22087.439999999999"/>
    <n v="12051.719999999998"/>
    <n v="0.353017473189147"/>
    <n v="0"/>
    <n v="1896.62"/>
    <n v="1227.08"/>
    <n v="21.06"/>
    <n v="39942.817199999998"/>
    <n v="25842.304799999998"/>
    <n v="14100.5124"/>
    <n v="0.353017473189147"/>
    <n v="5803.6572000000015"/>
    <n v="12051.719999999998"/>
    <n v="0"/>
  </r>
  <r>
    <x v="98"/>
    <x v="92"/>
    <d v="2025-08-18T00:00:00"/>
    <s v="Q3-2025"/>
    <d v="2025-08-18T00:00:00"/>
    <n v="27"/>
    <x v="0"/>
    <x v="1"/>
    <x v="9"/>
    <x v="14"/>
    <s v="Non-Profit"/>
    <x v="2"/>
    <x v="12"/>
    <x v="2"/>
    <s v="Low"/>
    <x v="98"/>
    <n v="547.32000000000005"/>
    <n v="419.17"/>
    <n v="419.17"/>
    <n v="9.1999999999999998E-2"/>
    <n v="9.1999999999999998E-2"/>
    <x v="0"/>
    <n v="14"/>
    <n v="5328.4890400000004"/>
    <n v="7662.4800000000005"/>
    <n v="-2333.9909600000001"/>
    <n v="-0.43802116181137907"/>
    <n v="9.1999999999999998E-2"/>
    <n v="380.60636000000005"/>
    <n v="547.32000000000005"/>
    <n v="16.38"/>
    <n v="6234.3321768000005"/>
    <n v="8965.1016"/>
    <n v="-2730.7694231999994"/>
    <n v="-0.43802116181137896"/>
    <n v="905.84313680000014"/>
    <n v="-2333.9909600000001"/>
    <n v="0"/>
  </r>
  <r>
    <x v="99"/>
    <x v="2"/>
    <d v="2023-03-20T00:00:00"/>
    <s v="Q1-2023"/>
    <d v="2023-03-20T00:00:00"/>
    <n v="20"/>
    <x v="0"/>
    <x v="3"/>
    <x v="6"/>
    <x v="9"/>
    <s v="Small Business"/>
    <x v="4"/>
    <x v="10"/>
    <x v="4"/>
    <s v="High"/>
    <x v="99"/>
    <n v="1200.78"/>
    <n v="2001.17"/>
    <n v="2001.17"/>
    <n v="0.29199999999999998"/>
    <n v="0.29199999999999998"/>
    <x v="1"/>
    <n v="18"/>
    <n v="25502.910479999999"/>
    <n v="21614.04"/>
    <n v="3888.8704799999978"/>
    <n v="0.15248732034132906"/>
    <n v="0.17"/>
    <n v="1660.9711"/>
    <n v="1200.78"/>
    <n v="21.06"/>
    <n v="34980.051366"/>
    <n v="25288.426799999997"/>
    <n v="9691.6245660000022"/>
    <n v="0.27706147325501335"/>
    <n v="9477.140886000001"/>
    <n v="3888.8704799999978"/>
    <n v="0.12457415291368429"/>
  </r>
  <r>
    <x v="100"/>
    <x v="93"/>
    <d v="2025-02-15T00:00:00"/>
    <s v="Q1-2025"/>
    <d v="2025-02-15T00:00:00"/>
    <n v="19"/>
    <x v="0"/>
    <x v="1"/>
    <x v="9"/>
    <x v="14"/>
    <s v="Non-Profit"/>
    <x v="4"/>
    <x v="4"/>
    <x v="3"/>
    <s v="High"/>
    <x v="100"/>
    <n v="1253.22"/>
    <n v="3104.71"/>
    <n v="3104.71"/>
    <n v="0"/>
    <n v="0"/>
    <x v="0"/>
    <n v="17"/>
    <n v="52780.07"/>
    <n v="21304.74"/>
    <n v="31475.329999999998"/>
    <n v="0.59634877331538205"/>
    <n v="0"/>
    <n v="3104.71"/>
    <n v="1253.22"/>
    <n v="19.89"/>
    <n v="61752.681900000003"/>
    <n v="24926.5458"/>
    <n v="36826.136100000003"/>
    <n v="0.59634877331538216"/>
    <n v="8972.6119000000035"/>
    <n v="31475.329999999998"/>
    <n v="0"/>
  </r>
  <r>
    <x v="101"/>
    <x v="94"/>
    <d v="2024-01-22T00:00:00"/>
    <s v="Q1-2024"/>
    <d v="2024-01-22T00:00:00"/>
    <n v="9"/>
    <x v="0"/>
    <x v="1"/>
    <x v="4"/>
    <x v="29"/>
    <s v="Enterprise"/>
    <x v="2"/>
    <x v="1"/>
    <x v="0"/>
    <s v="Low"/>
    <x v="101"/>
    <n v="313.60000000000002"/>
    <n v="334.28"/>
    <n v="334.28"/>
    <n v="0.14000000000000001"/>
    <n v="0.14000000000000001"/>
    <x v="0"/>
    <n v="22"/>
    <n v="6324.5775999999996"/>
    <n v="6899.2000000000007"/>
    <n v="-574.62240000000111"/>
    <n v="-9.0855458868905517E-2"/>
    <n v="0.14000000000000001"/>
    <n v="287.48079999999999"/>
    <n v="313.60000000000002"/>
    <n v="25.74"/>
    <n v="7399.755791999999"/>
    <n v="8072.0640000000003"/>
    <n v="-672.30820800000129"/>
    <n v="-9.0855458868905517E-2"/>
    <n v="1075.1781919999994"/>
    <n v="-574.62240000000111"/>
    <n v="0"/>
  </r>
  <r>
    <x v="102"/>
    <x v="95"/>
    <d v="2025-04-04T00:00:00"/>
    <s v="Q1-2025"/>
    <d v="2025-04-04T00:00:00"/>
    <n v="4"/>
    <x v="1"/>
    <x v="0"/>
    <x v="0"/>
    <x v="16"/>
    <s v="Corporate"/>
    <x v="4"/>
    <x v="0"/>
    <x v="4"/>
    <s v="High"/>
    <x v="102"/>
    <n v="862.08"/>
    <n v="1952.83"/>
    <n v="1952.83"/>
    <n v="0"/>
    <n v="0"/>
    <x v="0"/>
    <n v="7"/>
    <n v="13669.81"/>
    <n v="6034.56"/>
    <n v="7635.2499999999991"/>
    <n v="0.5585483631447693"/>
    <n v="0"/>
    <n v="1952.83"/>
    <n v="862.08"/>
    <n v="8.19"/>
    <n v="15993.677699999998"/>
    <n v="7060.4351999999999"/>
    <n v="8933.2424999999985"/>
    <n v="0.5585483631447693"/>
    <n v="2323.8676999999989"/>
    <n v="7635.2499999999991"/>
    <n v="0"/>
  </r>
  <r>
    <x v="103"/>
    <x v="96"/>
    <d v="2024-12-28T00:00:00"/>
    <s v="Q4-2024"/>
    <d v="2024-12-28T00:00:00"/>
    <n v="23"/>
    <x v="0"/>
    <x v="2"/>
    <x v="3"/>
    <x v="26"/>
    <s v="Corporate"/>
    <x v="4"/>
    <x v="9"/>
    <x v="6"/>
    <s v="Low"/>
    <x v="103"/>
    <n v="107.03"/>
    <n v="242.29"/>
    <n v="242.29"/>
    <n v="0.18"/>
    <n v="0.18"/>
    <x v="0"/>
    <n v="30"/>
    <n v="5960.3340000000007"/>
    <n v="3210.9"/>
    <n v="2749.4340000000007"/>
    <n v="0.46128857879440988"/>
    <n v="0.17"/>
    <n v="201.10069999999999"/>
    <n v="107.03"/>
    <n v="35.099999999999994"/>
    <n v="7058.6345699999983"/>
    <n v="3756.7529999999992"/>
    <n v="3301.8815699999991"/>
    <n v="0.4677790778450796"/>
    <n v="1098.3005699999976"/>
    <n v="2749.4340000000007"/>
    <n v="6.4904990506697291E-3"/>
  </r>
  <r>
    <x v="104"/>
    <x v="97"/>
    <d v="2024-10-05T00:00:00"/>
    <s v="Q3-2024"/>
    <d v="2024-10-05T00:00:00"/>
    <n v="21"/>
    <x v="0"/>
    <x v="1"/>
    <x v="9"/>
    <x v="23"/>
    <s v="Small Business"/>
    <x v="1"/>
    <x v="10"/>
    <x v="4"/>
    <s v="High"/>
    <x v="104"/>
    <n v="1405.56"/>
    <n v="2968.87"/>
    <n v="2968.87"/>
    <n v="0.16900000000000001"/>
    <n v="0.16900000000000001"/>
    <x v="0"/>
    <n v="5"/>
    <n v="12335.654849999999"/>
    <n v="7027.7999999999993"/>
    <n v="5307.8548499999997"/>
    <n v="0.4302856163327235"/>
    <n v="0.16900000000000001"/>
    <n v="2467.1309699999997"/>
    <n v="1405.56"/>
    <n v="5.85"/>
    <n v="14432.716174499998"/>
    <n v="8222.5259999999998"/>
    <n v="6210.1901744999977"/>
    <n v="0.43028561633272344"/>
    <n v="2097.0613244999986"/>
    <n v="5307.8548499999997"/>
    <n v="0"/>
  </r>
  <r>
    <x v="105"/>
    <x v="98"/>
    <d v="2024-05-27T00:00:00"/>
    <s v="Q2-2024"/>
    <d v="2024-05-27T00:00:00"/>
    <n v="6"/>
    <x v="1"/>
    <x v="0"/>
    <x v="11"/>
    <x v="20"/>
    <s v="Non-Profit"/>
    <x v="1"/>
    <x v="12"/>
    <x v="0"/>
    <s v="Medium"/>
    <x v="105"/>
    <n v="1157.51"/>
    <n v="1394.3"/>
    <n v="1394.3"/>
    <n v="0.27800000000000002"/>
    <n v="0.27800000000000002"/>
    <x v="1"/>
    <n v="12"/>
    <n v="12080.215199999999"/>
    <n v="13890.119999999999"/>
    <n v="-1809.9048000000003"/>
    <n v="-0.14982388724333326"/>
    <n v="0.17"/>
    <n v="1157.269"/>
    <n v="1157.51"/>
    <n v="14.04"/>
    <n v="16248.056759999999"/>
    <n v="16251.440399999999"/>
    <n v="-3.383640000000014"/>
    <n v="-2.0824890323684555E-4"/>
    <n v="4167.8415600000008"/>
    <n v="-1809.9048000000003"/>
    <n v="0.14961563834009642"/>
  </r>
  <r>
    <x v="106"/>
    <x v="20"/>
    <d v="2023-06-07T00:00:00"/>
    <s v="Q2-2023"/>
    <d v="2023-06-07T00:00:00"/>
    <n v="27"/>
    <x v="0"/>
    <x v="0"/>
    <x v="0"/>
    <x v="13"/>
    <s v="Corporate"/>
    <x v="1"/>
    <x v="1"/>
    <x v="3"/>
    <s v="Low"/>
    <x v="106"/>
    <n v="12.85"/>
    <n v="15.41"/>
    <n v="15.41"/>
    <n v="0.13700000000000001"/>
    <n v="0.13700000000000001"/>
    <x v="0"/>
    <n v="39"/>
    <n v="518.65436999999997"/>
    <n v="501.15"/>
    <n v="17.504369999999994"/>
    <n v="3.3749585489851353E-2"/>
    <n v="0.13700000000000001"/>
    <n v="13.298830000000001"/>
    <n v="12.85"/>
    <n v="45.629999999999995"/>
    <n v="606.82561290000001"/>
    <n v="586.3454999999999"/>
    <n v="20.480112900000108"/>
    <n v="3.374958548985154E-2"/>
    <n v="88.171242900000038"/>
    <n v="17.504369999999994"/>
    <n v="1.8735013540549517E-16"/>
  </r>
  <r>
    <x v="107"/>
    <x v="99"/>
    <d v="2024-09-04T00:00:00"/>
    <s v="Q3-2024"/>
    <d v="2024-09-04T00:00:00"/>
    <n v="21"/>
    <x v="0"/>
    <x v="3"/>
    <x v="8"/>
    <x v="31"/>
    <s v="Non-Profit"/>
    <x v="1"/>
    <x v="1"/>
    <x v="3"/>
    <s v="High"/>
    <x v="107"/>
    <n v="1138.8"/>
    <n v="2250.81"/>
    <n v="2250.81"/>
    <n v="0.123"/>
    <n v="0.123"/>
    <x v="0"/>
    <n v="12"/>
    <n v="23687.524440000001"/>
    <n v="13665.599999999999"/>
    <n v="10021.924440000003"/>
    <n v="0.42308872188756258"/>
    <n v="0.123"/>
    <n v="1973.96037"/>
    <n v="1138.8"/>
    <n v="14.04"/>
    <n v="27714.403594799998"/>
    <n v="15988.751999999999"/>
    <n v="11725.6515948"/>
    <n v="0.42308872188756252"/>
    <n v="4026.8791547999972"/>
    <n v="10021.924440000003"/>
    <n v="0"/>
  </r>
  <r>
    <x v="108"/>
    <x v="100"/>
    <d v="2024-11-08T00:00:00"/>
    <s v="Q4-2024"/>
    <d v="2024-11-08T00:00:00"/>
    <n v="23"/>
    <x v="0"/>
    <x v="1"/>
    <x v="2"/>
    <x v="4"/>
    <s v="Small Business"/>
    <x v="0"/>
    <x v="1"/>
    <x v="2"/>
    <s v="Low"/>
    <x v="108"/>
    <n v="82.14"/>
    <n v="166.04"/>
    <n v="166.04"/>
    <n v="0"/>
    <n v="0"/>
    <x v="0"/>
    <n v="10"/>
    <n v="1660.3999999999999"/>
    <n v="821.4"/>
    <n v="838.99999999999989"/>
    <n v="0.50529992772825827"/>
    <n v="0"/>
    <n v="166.04"/>
    <n v="82.14"/>
    <n v="11.7"/>
    <n v="1942.6679999999999"/>
    <n v="961.0379999999999"/>
    <n v="981.63"/>
    <n v="0.50529992772825827"/>
    <n v="282.26800000000003"/>
    <n v="838.99999999999989"/>
    <n v="0"/>
  </r>
  <r>
    <x v="109"/>
    <x v="101"/>
    <d v="2024-06-08T00:00:00"/>
    <s v="Q2-2024"/>
    <d v="2024-06-08T00:00:00"/>
    <n v="6"/>
    <x v="1"/>
    <x v="0"/>
    <x v="0"/>
    <x v="0"/>
    <s v="Consumer"/>
    <x v="2"/>
    <x v="8"/>
    <x v="6"/>
    <s v="Low"/>
    <x v="109"/>
    <n v="292.94"/>
    <n v="356.55"/>
    <n v="356.55"/>
    <n v="0.22900000000000001"/>
    <n v="0.22900000000000001"/>
    <x v="1"/>
    <n v="2"/>
    <n v="549.80010000000004"/>
    <n v="585.88"/>
    <n v="-36.079899999999952"/>
    <n v="-6.5623669402751925E-2"/>
    <n v="0.17"/>
    <n v="295.93649999999997"/>
    <n v="292.94"/>
    <n v="2.34"/>
    <n v="692.49140999999986"/>
    <n v="685.4796"/>
    <n v="7.0118099999998549"/>
    <n v="1.0125483000575929E-2"/>
    <n v="142.69130999999982"/>
    <n v="-36.079899999999952"/>
    <n v="7.5749152403327857E-2"/>
  </r>
  <r>
    <x v="110"/>
    <x v="102"/>
    <d v="2024-07-07T00:00:00"/>
    <s v="Q2-2024"/>
    <d v="2024-07-07T00:00:00"/>
    <n v="28"/>
    <x v="0"/>
    <x v="1"/>
    <x v="9"/>
    <x v="14"/>
    <s v="Corporate"/>
    <x v="1"/>
    <x v="1"/>
    <x v="0"/>
    <s v="Medium"/>
    <x v="110"/>
    <n v="550.22"/>
    <n v="1025.05"/>
    <n v="1025.05"/>
    <n v="0"/>
    <n v="0"/>
    <x v="0"/>
    <n v="27"/>
    <n v="27676.35"/>
    <n v="14855.94"/>
    <n v="12820.409999999998"/>
    <n v="0.46322618408858102"/>
    <n v="0"/>
    <n v="1025.05"/>
    <n v="550.22"/>
    <n v="31.589999999999996"/>
    <n v="32381.329499999996"/>
    <n v="17381.449799999999"/>
    <n v="14999.879699999998"/>
    <n v="0.46322618408858102"/>
    <n v="4704.9794999999976"/>
    <n v="12820.409999999998"/>
    <n v="0"/>
  </r>
  <r>
    <x v="111"/>
    <x v="103"/>
    <d v="2024-06-11T00:00:00"/>
    <s v="Q2-2024"/>
    <d v="2024-06-11T00:00:00"/>
    <n v="1"/>
    <x v="1"/>
    <x v="3"/>
    <x v="8"/>
    <x v="12"/>
    <s v="Small Business"/>
    <x v="2"/>
    <x v="12"/>
    <x v="4"/>
    <s v="Medium"/>
    <x v="111"/>
    <n v="1187.1300000000001"/>
    <n v="1795.17"/>
    <n v="1795.17"/>
    <n v="1.2E-2"/>
    <n v="1.2E-2"/>
    <x v="0"/>
    <n v="17"/>
    <n v="30151.675319999998"/>
    <n v="20181.210000000003"/>
    <n v="9970.4653199999957"/>
    <n v="0.33067699271046663"/>
    <n v="1.2E-2"/>
    <n v="1773.62796"/>
    <n v="1187.1300000000001"/>
    <n v="19.89"/>
    <n v="35277.4601244"/>
    <n v="23612.015700000004"/>
    <n v="11665.444424399997"/>
    <n v="0.33067699271046663"/>
    <n v="5125.784804400002"/>
    <n v="9970.4653199999957"/>
    <n v="0"/>
  </r>
  <r>
    <x v="112"/>
    <x v="104"/>
    <d v="2024-07-26T00:00:00"/>
    <s v="Q2-2024"/>
    <d v="2024-07-26T00:00:00"/>
    <n v="27"/>
    <x v="0"/>
    <x v="0"/>
    <x v="11"/>
    <x v="25"/>
    <s v="Enterprise"/>
    <x v="3"/>
    <x v="5"/>
    <x v="2"/>
    <s v="Low"/>
    <x v="112"/>
    <n v="5.36"/>
    <n v="4.37"/>
    <n v="4.37"/>
    <n v="0.11799999999999999"/>
    <n v="0.11799999999999999"/>
    <x v="0"/>
    <n v="9"/>
    <n v="34.689059999999998"/>
    <n v="48.24"/>
    <n v="-13.550940000000004"/>
    <n v="-0.39064016148030545"/>
    <n v="0.11799999999999999"/>
    <n v="3.8543400000000001"/>
    <n v="5.36"/>
    <n v="10.53"/>
    <n v="40.5862002"/>
    <n v="56.440800000000003"/>
    <n v="-15.854599800000003"/>
    <n v="-0.39064016148030539"/>
    <n v="5.8971402000000026"/>
    <n v="-13.550940000000004"/>
    <n v="0"/>
  </r>
  <r>
    <x v="113"/>
    <x v="105"/>
    <d v="2025-01-24T00:00:00"/>
    <s v="Q1-2025"/>
    <d v="2025-01-24T00:00:00"/>
    <n v="7"/>
    <x v="1"/>
    <x v="2"/>
    <x v="10"/>
    <x v="36"/>
    <s v="Enterprise"/>
    <x v="1"/>
    <x v="3"/>
    <x v="6"/>
    <s v="Low"/>
    <x v="113"/>
    <n v="142.09"/>
    <n v="218.5"/>
    <n v="218.5"/>
    <n v="0.11899999999999999"/>
    <n v="0.11899999999999999"/>
    <x v="0"/>
    <n v="11"/>
    <n v="2117.4834999999998"/>
    <n v="1562.99"/>
    <n v="554.49349999999981"/>
    <n v="0.26186437816398561"/>
    <n v="0.11899999999999999"/>
    <n v="192.49850000000001"/>
    <n v="142.09"/>
    <n v="12.87"/>
    <n v="2477.4556950000001"/>
    <n v="1828.6983"/>
    <n v="648.75739500000009"/>
    <n v="0.26186437816398572"/>
    <n v="359.97219500000028"/>
    <n v="554.49349999999981"/>
    <n v="0"/>
  </r>
  <r>
    <x v="114"/>
    <x v="106"/>
    <d v="2023-12-05T00:00:00"/>
    <s v="Q4-2023"/>
    <d v="2023-12-05T00:00:00"/>
    <n v="15"/>
    <x v="0"/>
    <x v="1"/>
    <x v="2"/>
    <x v="27"/>
    <s v="Enterprise"/>
    <x v="0"/>
    <x v="4"/>
    <x v="2"/>
    <s v="Low"/>
    <x v="114"/>
    <n v="354.24"/>
    <n v="249.87"/>
    <n v="249.87"/>
    <n v="0"/>
    <n v="0"/>
    <x v="0"/>
    <n v="6"/>
    <n v="1499.22"/>
    <n v="2125.44"/>
    <n v="-626.22"/>
    <n v="-0.41769720254532355"/>
    <n v="0"/>
    <n v="249.87"/>
    <n v="354.24"/>
    <n v="7.02"/>
    <n v="1754.0873999999999"/>
    <n v="2486.7647999999999"/>
    <n v="-732.67740000000003"/>
    <n v="-0.41769720254532361"/>
    <n v="254.86739999999986"/>
    <n v="-626.22"/>
    <n v="0"/>
  </r>
  <r>
    <x v="115"/>
    <x v="107"/>
    <d v="2023-03-05T00:00:00"/>
    <s v="Q1-2023"/>
    <d v="2023-03-05T00:00:00"/>
    <n v="3"/>
    <x v="1"/>
    <x v="2"/>
    <x v="5"/>
    <x v="10"/>
    <s v="Enterprise"/>
    <x v="4"/>
    <x v="3"/>
    <x v="5"/>
    <s v="High"/>
    <x v="115"/>
    <n v="1473.58"/>
    <n v="3436.52"/>
    <n v="3436.52"/>
    <n v="0.108"/>
    <n v="0.108"/>
    <x v="0"/>
    <n v="8"/>
    <n v="24523.006720000001"/>
    <n v="11788.64"/>
    <n v="12734.366720000002"/>
    <n v="0.51928243813652564"/>
    <n v="0.108"/>
    <n v="3065.3758400000002"/>
    <n v="1473.58"/>
    <n v="9.36"/>
    <n v="28691.917862400001"/>
    <n v="13792.708799999999"/>
    <n v="14899.209062400003"/>
    <n v="0.51928243813652564"/>
    <n v="4168.9111424000002"/>
    <n v="12734.366720000002"/>
    <n v="0"/>
  </r>
  <r>
    <x v="116"/>
    <x v="108"/>
    <d v="2025-06-10T00:00:00"/>
    <s v="Q2-2025"/>
    <d v="2025-06-10T00:00:00"/>
    <n v="7"/>
    <x v="1"/>
    <x v="2"/>
    <x v="3"/>
    <x v="5"/>
    <s v="Consumer"/>
    <x v="3"/>
    <x v="7"/>
    <x v="1"/>
    <s v="Low"/>
    <x v="116"/>
    <n v="75.180000000000007"/>
    <n v="53.45"/>
    <n v="53.45"/>
    <n v="0.157"/>
    <n v="0.157"/>
    <x v="0"/>
    <n v="17"/>
    <n v="765.99195000000009"/>
    <n v="1278.0600000000002"/>
    <n v="-512.06805000000008"/>
    <n v="-0.66850317421743144"/>
    <n v="0.157"/>
    <n v="45.058350000000004"/>
    <n v="75.180000000000007"/>
    <n v="19.89"/>
    <n v="896.2105815000001"/>
    <n v="1495.3302000000001"/>
    <n v="-599.1196185"/>
    <n v="-0.66850317421743133"/>
    <n v="130.21863150000001"/>
    <n v="-512.06805000000008"/>
    <n v="0"/>
  </r>
  <r>
    <x v="117"/>
    <x v="6"/>
    <d v="2025-01-02T00:00:00"/>
    <s v="Q4-2024"/>
    <d v="2025-01-02T00:00:00"/>
    <n v="6"/>
    <x v="1"/>
    <x v="3"/>
    <x v="6"/>
    <x v="37"/>
    <s v="Education"/>
    <x v="4"/>
    <x v="9"/>
    <x v="4"/>
    <s v="High"/>
    <x v="117"/>
    <n v="1391.99"/>
    <n v="3469.7"/>
    <n v="3469.7"/>
    <n v="0.184"/>
    <n v="0.184"/>
    <x v="0"/>
    <n v="23"/>
    <n v="65119.329599999997"/>
    <n v="32015.77"/>
    <n v="33103.559599999993"/>
    <n v="0.50835227886006973"/>
    <n v="0.17"/>
    <n v="2879.8509999999997"/>
    <n v="1391.99"/>
    <n v="26.909999999999997"/>
    <n v="77496.790409999987"/>
    <n v="37458.450899999996"/>
    <n v="40038.339509999991"/>
    <n v="0.51664513198773132"/>
    <n v="12377.46080999999"/>
    <n v="33103.559599999993"/>
    <n v="8.2928531276615924E-3"/>
  </r>
  <r>
    <x v="118"/>
    <x v="109"/>
    <d v="2023-06-19T00:00:00"/>
    <s v="Q2-2023"/>
    <d v="2023-06-19T00:00:00"/>
    <n v="10"/>
    <x v="0"/>
    <x v="1"/>
    <x v="9"/>
    <x v="38"/>
    <s v="Enterprise"/>
    <x v="0"/>
    <x v="9"/>
    <x v="5"/>
    <s v="Low"/>
    <x v="118"/>
    <n v="339.61"/>
    <n v="621.02"/>
    <n v="621.02"/>
    <n v="7.0999999999999994E-2"/>
    <n v="7.0999999999999994E-2"/>
    <x v="0"/>
    <n v="10"/>
    <n v="5769.2758000000003"/>
    <n v="3396.1000000000004"/>
    <n v="2373.1758"/>
    <n v="0.41134726129750981"/>
    <n v="7.0999999999999994E-2"/>
    <n v="576.92758000000003"/>
    <n v="339.61"/>
    <n v="11.7"/>
    <n v="6750.052686"/>
    <n v="3973.4369999999999"/>
    <n v="2776.6156860000001"/>
    <n v="0.41134726129750981"/>
    <n v="980.77688599999965"/>
    <n v="2373.1758"/>
    <n v="0"/>
  </r>
  <r>
    <x v="119"/>
    <x v="110"/>
    <d v="2025-07-18T00:00:00"/>
    <s v="Q3-2025"/>
    <d v="2025-07-18T00:00:00"/>
    <n v="9"/>
    <x v="0"/>
    <x v="2"/>
    <x v="3"/>
    <x v="26"/>
    <s v="Education"/>
    <x v="3"/>
    <x v="2"/>
    <x v="4"/>
    <s v="Low"/>
    <x v="119"/>
    <n v="57.96"/>
    <n v="88.51"/>
    <n v="88.51"/>
    <n v="4.2999999999999997E-2"/>
    <n v="4.2999999999999997E-2"/>
    <x v="0"/>
    <n v="7"/>
    <n v="592.92849000000001"/>
    <n v="405.72"/>
    <n v="187.20848999999998"/>
    <n v="0.3157353595877978"/>
    <n v="4.2999999999999997E-2"/>
    <n v="84.704070000000002"/>
    <n v="57.96"/>
    <n v="8.19"/>
    <n v="693.72633329999996"/>
    <n v="474.69239999999996"/>
    <n v="219.0339333"/>
    <n v="0.31573535958779786"/>
    <n v="100.79784329999995"/>
    <n v="187.20848999999998"/>
    <n v="0"/>
  </r>
  <r>
    <x v="120"/>
    <x v="111"/>
    <d v="2025-07-12T00:00:00"/>
    <s v="Q2-2025"/>
    <d v="2025-07-12T00:00:00"/>
    <n v="23"/>
    <x v="0"/>
    <x v="3"/>
    <x v="8"/>
    <x v="35"/>
    <s v="Non-Profit"/>
    <x v="4"/>
    <x v="15"/>
    <x v="2"/>
    <s v="High"/>
    <x v="120"/>
    <n v="801.24"/>
    <n v="1959.09"/>
    <n v="1959.09"/>
    <n v="0.123"/>
    <n v="0.123"/>
    <x v="0"/>
    <n v="23"/>
    <n v="39516.804389999998"/>
    <n v="18428.52"/>
    <n v="21088.284389999997"/>
    <n v="0.53365358650651762"/>
    <n v="0.123"/>
    <n v="1718.12193"/>
    <n v="801.24"/>
    <n v="26.909999999999997"/>
    <n v="46234.661136299997"/>
    <n v="21561.368399999996"/>
    <n v="24673.292736300002"/>
    <n v="0.53365358650651773"/>
    <n v="6717.8567462999999"/>
    <n v="21088.284389999997"/>
    <n v="0"/>
  </r>
  <r>
    <x v="121"/>
    <x v="112"/>
    <d v="2023-12-13T00:00:00"/>
    <s v="Q4-2023"/>
    <d v="2023-12-13T00:00:00"/>
    <n v="24"/>
    <x v="0"/>
    <x v="3"/>
    <x v="7"/>
    <x v="17"/>
    <s v="Non-Profit"/>
    <x v="4"/>
    <x v="10"/>
    <x v="5"/>
    <s v="High"/>
    <x v="121"/>
    <n v="1297.42"/>
    <n v="2742.97"/>
    <n v="2742.97"/>
    <n v="6.9000000000000006E-2"/>
    <n v="6.9000000000000006E-2"/>
    <x v="0"/>
    <n v="9"/>
    <n v="22983.34563"/>
    <n v="11676.78"/>
    <n v="11306.565629999999"/>
    <n v="0.49194602961727291"/>
    <n v="6.9000000000000006E-2"/>
    <n v="2553.70507"/>
    <n v="1297.42"/>
    <n v="10.53"/>
    <n v="26890.514387099996"/>
    <n v="13661.8326"/>
    <n v="13228.681787099997"/>
    <n v="0.49194602961727285"/>
    <n v="3907.1687570999966"/>
    <n v="11306.565629999999"/>
    <n v="0"/>
  </r>
  <r>
    <x v="122"/>
    <x v="113"/>
    <d v="2024-01-20T00:00:00"/>
    <s v="Q4-2023"/>
    <d v="2024-01-20T00:00:00"/>
    <n v="22"/>
    <x v="0"/>
    <x v="0"/>
    <x v="0"/>
    <x v="0"/>
    <s v="Corporate"/>
    <x v="4"/>
    <x v="4"/>
    <x v="3"/>
    <s v="High"/>
    <x v="122"/>
    <n v="1395.49"/>
    <n v="1679.42"/>
    <n v="1679.42"/>
    <n v="0.20300000000000001"/>
    <n v="0.20300000000000001"/>
    <x v="1"/>
    <n v="12"/>
    <n v="16061.972879999999"/>
    <n v="16745.88"/>
    <n v="-683.90712000000167"/>
    <n v="-4.2579272490964493E-2"/>
    <n v="0.17"/>
    <n v="1393.9186"/>
    <n v="1395.49"/>
    <n v="14.04"/>
    <n v="19570.617144"/>
    <n v="19592.679599999999"/>
    <n v="-22.062455999999656"/>
    <n v="-1.1273255124079524E-3"/>
    <n v="3508.6442640000005"/>
    <n v="-683.90712000000167"/>
    <n v="4.1451946978556538E-2"/>
  </r>
  <r>
    <x v="123"/>
    <x v="61"/>
    <d v="2024-11-29T00:00:00"/>
    <s v="Q4-2024"/>
    <d v="2024-11-29T00:00:00"/>
    <n v="27"/>
    <x v="0"/>
    <x v="2"/>
    <x v="5"/>
    <x v="10"/>
    <s v="Small Business"/>
    <x v="4"/>
    <x v="2"/>
    <x v="2"/>
    <s v="Medium"/>
    <x v="123"/>
    <n v="1363.51"/>
    <n v="1433.9"/>
    <n v="1433.9"/>
    <n v="5.7000000000000002E-2"/>
    <n v="5.7000000000000002E-2"/>
    <x v="0"/>
    <n v="8"/>
    <n v="10817.3416"/>
    <n v="10908.08"/>
    <n v="-90.738400000000183"/>
    <n v="-8.3882346842037592E-3"/>
    <n v="5.7000000000000002E-2"/>
    <n v="1352.1677"/>
    <n v="1363.51"/>
    <n v="9.36"/>
    <n v="12656.289671999999"/>
    <n v="12762.453599999999"/>
    <n v="-106.16392799999994"/>
    <n v="-8.3882346842037384E-3"/>
    <n v="1838.9480719999992"/>
    <n v="-90.738400000000183"/>
    <n v="2.0816681711721685E-17"/>
  </r>
  <r>
    <x v="124"/>
    <x v="114"/>
    <d v="2023-09-04T00:00:00"/>
    <s v="Q3-2023"/>
    <d v="2023-09-04T00:00:00"/>
    <n v="14"/>
    <x v="0"/>
    <x v="2"/>
    <x v="3"/>
    <x v="19"/>
    <s v="Education"/>
    <x v="3"/>
    <x v="9"/>
    <x v="0"/>
    <s v="Low"/>
    <x v="124"/>
    <n v="178.19"/>
    <n v="284.43"/>
    <n v="284.43"/>
    <n v="8.8999999999999996E-2"/>
    <n v="8.8999999999999996E-2"/>
    <x v="0"/>
    <n v="8"/>
    <n v="2072.9258400000003"/>
    <n v="1425.52"/>
    <n v="647.40584000000035"/>
    <n v="0.31231500302972742"/>
    <n v="8.8999999999999996E-2"/>
    <n v="259.11573000000004"/>
    <n v="178.19"/>
    <n v="9.36"/>
    <n v="2425.3232328000004"/>
    <n v="1667.8583999999998"/>
    <n v="757.46483280000052"/>
    <n v="0.31231500302972748"/>
    <n v="352.39739280000003"/>
    <n v="647.40584000000035"/>
    <n v="0"/>
  </r>
  <r>
    <x v="125"/>
    <x v="115"/>
    <d v="2023-09-06T00:00:00"/>
    <s v="Q3-2023"/>
    <d v="2023-09-06T00:00:00"/>
    <n v="25"/>
    <x v="0"/>
    <x v="1"/>
    <x v="9"/>
    <x v="23"/>
    <s v="Small Business"/>
    <x v="0"/>
    <x v="5"/>
    <x v="0"/>
    <s v="Low"/>
    <x v="125"/>
    <n v="950.77"/>
    <n v="694.78"/>
    <n v="694.78"/>
    <n v="8.4000000000000005E-2"/>
    <n v="8.4000000000000005E-2"/>
    <x v="0"/>
    <n v="14"/>
    <n v="8909.8587200000002"/>
    <n v="13310.779999999999"/>
    <n v="-4400.9212799999987"/>
    <n v="-0.49393839097821279"/>
    <n v="8.4000000000000005E-2"/>
    <n v="636.41848000000005"/>
    <n v="950.77"/>
    <n v="16.38"/>
    <n v="10424.5347024"/>
    <n v="15573.612599999999"/>
    <n v="-5149.0778975999983"/>
    <n v="-0.49393839097821279"/>
    <n v="1514.6759824000001"/>
    <n v="-4400.9212799999987"/>
    <n v="0"/>
  </r>
  <r>
    <x v="126"/>
    <x v="116"/>
    <d v="2024-06-26T00:00:00"/>
    <s v="Q2-2024"/>
    <d v="2024-06-26T00:00:00"/>
    <n v="19"/>
    <x v="0"/>
    <x v="3"/>
    <x v="6"/>
    <x v="9"/>
    <s v="Non-Profit"/>
    <x v="2"/>
    <x v="12"/>
    <x v="0"/>
    <s v="High"/>
    <x v="126"/>
    <n v="1064.32"/>
    <n v="1848.39"/>
    <n v="1848.39"/>
    <n v="7.2999999999999995E-2"/>
    <n v="7.2999999999999995E-2"/>
    <x v="0"/>
    <n v="38"/>
    <n v="65111.38614000001"/>
    <n v="40444.159999999996"/>
    <n v="24667.226140000013"/>
    <n v="0.3788465827921631"/>
    <n v="7.2999999999999995E-2"/>
    <n v="1713.4575300000001"/>
    <n v="1064.32"/>
    <n v="44.459999999999994"/>
    <n v="76180.321783799998"/>
    <n v="47319.667199999989"/>
    <n v="28860.654583800009"/>
    <n v="0.37884658279216304"/>
    <n v="11068.935643799989"/>
    <n v="24667.226140000013"/>
    <n v="0"/>
  </r>
  <r>
    <x v="127"/>
    <x v="117"/>
    <d v="2025-08-14T00:00:00"/>
    <s v="Q3-2025"/>
    <d v="2025-08-14T00:00:00"/>
    <n v="9"/>
    <x v="0"/>
    <x v="3"/>
    <x v="8"/>
    <x v="21"/>
    <s v="Non-Profit"/>
    <x v="4"/>
    <x v="6"/>
    <x v="0"/>
    <s v="Low"/>
    <x v="127"/>
    <n v="41.76"/>
    <n v="45.19"/>
    <n v="45.19"/>
    <n v="0.17899999999999999"/>
    <n v="0.17899999999999999"/>
    <x v="0"/>
    <n v="23"/>
    <n v="853.32276999999988"/>
    <n v="960.4799999999999"/>
    <n v="-107.15723000000003"/>
    <n v="-0.12557643340514638"/>
    <n v="0.17"/>
    <n v="37.5077"/>
    <n v="41.76"/>
    <n v="26.909999999999997"/>
    <n v="1009.3322069999998"/>
    <n v="1123.7615999999998"/>
    <n v="-114.429393"/>
    <n v="-0.11337138774171705"/>
    <n v="156.00943699999993"/>
    <n v="-107.15723000000003"/>
    <n v="1.2205045663429323E-2"/>
  </r>
  <r>
    <x v="128"/>
    <x v="118"/>
    <d v="2024-06-13T00:00:00"/>
    <s v="Q2-2024"/>
    <d v="2024-06-13T00:00:00"/>
    <n v="14"/>
    <x v="0"/>
    <x v="2"/>
    <x v="10"/>
    <x v="24"/>
    <s v="Small Business"/>
    <x v="0"/>
    <x v="9"/>
    <x v="3"/>
    <s v="Low"/>
    <x v="128"/>
    <n v="157.78"/>
    <n v="361.1"/>
    <n v="361.1"/>
    <n v="0.187"/>
    <n v="0.187"/>
    <x v="0"/>
    <n v="9"/>
    <n v="2642.1686999999997"/>
    <n v="1420.02"/>
    <n v="1222.1486999999997"/>
    <n v="0.46255513510549112"/>
    <n v="0.17"/>
    <n v="299.71300000000002"/>
    <n v="157.78"/>
    <n v="10.53"/>
    <n v="3155.9778900000001"/>
    <n v="1661.4233999999999"/>
    <n v="1494.5544900000002"/>
    <n v="0.47356304197682453"/>
    <n v="513.8091900000004"/>
    <n v="1222.1486999999997"/>
    <n v="1.1007906871333406E-2"/>
  </r>
  <r>
    <x v="129"/>
    <x v="119"/>
    <d v="2023-01-30T00:00:00"/>
    <s v="Q1-2023"/>
    <d v="2023-01-30T00:00:00"/>
    <n v="8"/>
    <x v="0"/>
    <x v="2"/>
    <x v="10"/>
    <x v="24"/>
    <s v="Small Business"/>
    <x v="1"/>
    <x v="8"/>
    <x v="2"/>
    <s v="Medium"/>
    <x v="129"/>
    <n v="413.52"/>
    <n v="1004.34"/>
    <n v="1004.34"/>
    <n v="0.111"/>
    <n v="0.111"/>
    <x v="0"/>
    <n v="18"/>
    <n v="16071.44868"/>
    <n v="7443.36"/>
    <n v="8628.0886800000007"/>
    <n v="0.53685817948304593"/>
    <n v="0.111"/>
    <n v="892.85826000000009"/>
    <n v="413.52"/>
    <n v="21.06"/>
    <n v="18803.594955600001"/>
    <n v="8708.7311999999984"/>
    <n v="10094.863755600003"/>
    <n v="0.53685817948304593"/>
    <n v="2732.1462756000019"/>
    <n v="8628.0886800000007"/>
    <n v="0"/>
  </r>
  <r>
    <x v="130"/>
    <x v="120"/>
    <d v="2025-02-28T00:00:00"/>
    <s v="Q1-2025"/>
    <d v="2025-02-28T00:00:00"/>
    <n v="16"/>
    <x v="0"/>
    <x v="2"/>
    <x v="5"/>
    <x v="8"/>
    <s v="Non-Profit"/>
    <x v="4"/>
    <x v="5"/>
    <x v="5"/>
    <s v="Medium"/>
    <x v="130"/>
    <n v="414.95"/>
    <n v="1027.73"/>
    <n v="1027.73"/>
    <n v="6.3E-2"/>
    <n v="6.3E-2"/>
    <x v="0"/>
    <n v="8"/>
    <n v="7703.8640800000003"/>
    <n v="3319.6"/>
    <n v="4384.2640800000008"/>
    <n v="0.56909935513815568"/>
    <n v="6.3E-2"/>
    <n v="962.98301000000004"/>
    <n v="414.95"/>
    <n v="9.36"/>
    <n v="9013.5209735999997"/>
    <n v="3883.9319999999998"/>
    <n v="5129.5889735999999"/>
    <n v="0.56909935513815557"/>
    <n v="1309.6568935999994"/>
    <n v="4384.2640800000008"/>
    <n v="0"/>
  </r>
  <r>
    <x v="131"/>
    <x v="121"/>
    <d v="2025-03-24T00:00:00"/>
    <s v="Q1-2025"/>
    <d v="2025-03-24T00:00:00"/>
    <n v="21"/>
    <x v="0"/>
    <x v="0"/>
    <x v="1"/>
    <x v="7"/>
    <s v="Enterprise"/>
    <x v="4"/>
    <x v="10"/>
    <x v="6"/>
    <s v="Low"/>
    <x v="131"/>
    <n v="555.95000000000005"/>
    <n v="468.09"/>
    <n v="468.09"/>
    <n v="0.14199999999999999"/>
    <n v="0.14199999999999999"/>
    <x v="0"/>
    <n v="11"/>
    <n v="4417.8334199999999"/>
    <n v="6115.4500000000007"/>
    <n v="-1697.6165800000008"/>
    <n v="-0.38426450674095375"/>
    <n v="0.14199999999999999"/>
    <n v="401.62121999999999"/>
    <n v="555.95000000000005"/>
    <n v="12.87"/>
    <n v="5168.8651013999997"/>
    <n v="7155.0765000000001"/>
    <n v="-1986.2113986000004"/>
    <n v="-0.38426450674095369"/>
    <n v="751.0316813999998"/>
    <n v="-1697.6165800000008"/>
    <n v="0"/>
  </r>
  <r>
    <x v="132"/>
    <x v="122"/>
    <d v="2023-01-31T00:00:00"/>
    <s v="Q1-2023"/>
    <d v="2023-01-31T00:00:00"/>
    <n v="4"/>
    <x v="1"/>
    <x v="3"/>
    <x v="8"/>
    <x v="31"/>
    <s v="Enterprise"/>
    <x v="1"/>
    <x v="13"/>
    <x v="4"/>
    <s v="Low"/>
    <x v="132"/>
    <n v="941.2"/>
    <n v="668.02"/>
    <n v="668.02"/>
    <n v="0.22"/>
    <n v="0.22"/>
    <x v="1"/>
    <n v="16"/>
    <n v="8336.8896000000004"/>
    <n v="15059.2"/>
    <n v="-6722.3104000000003"/>
    <n v="-0.80633314371825193"/>
    <n v="0.17"/>
    <n v="554.45659999999998"/>
    <n v="941.2"/>
    <n v="18.72"/>
    <n v="10379.427551999999"/>
    <n v="17619.263999999999"/>
    <n v="-7239.836448"/>
    <n v="-0.69751789409667053"/>
    <n v="2042.5379519999988"/>
    <n v="-6722.3104000000003"/>
    <n v="0.1088152496215814"/>
  </r>
  <r>
    <x v="133"/>
    <x v="123"/>
    <d v="2025-01-15T00:00:00"/>
    <s v="Q1-2025"/>
    <d v="2025-01-15T00:00:00"/>
    <n v="6"/>
    <x v="1"/>
    <x v="1"/>
    <x v="9"/>
    <x v="38"/>
    <s v="Education"/>
    <x v="1"/>
    <x v="0"/>
    <x v="3"/>
    <s v="Low"/>
    <x v="133"/>
    <n v="304.77999999999997"/>
    <n v="537.27"/>
    <n v="537.27"/>
    <n v="0.187"/>
    <n v="0.187"/>
    <x v="0"/>
    <n v="8"/>
    <n v="3494.4040799999998"/>
    <n v="2438.2399999999998"/>
    <n v="1056.16408"/>
    <n v="0.3022444044307549"/>
    <n v="0.17"/>
    <n v="445.93409999999994"/>
    <n v="304.77999999999997"/>
    <n v="9.36"/>
    <n v="4173.9431759999989"/>
    <n v="2852.7407999999996"/>
    <n v="1321.2023759999993"/>
    <n v="0.31653578409904054"/>
    <n v="679.53909599999906"/>
    <n v="1056.16408"/>
    <n v="1.4291379668285642E-2"/>
  </r>
  <r>
    <x v="134"/>
    <x v="124"/>
    <d v="2024-12-26T00:00:00"/>
    <s v="Q4-2024"/>
    <d v="2024-12-26T00:00:00"/>
    <n v="5"/>
    <x v="1"/>
    <x v="2"/>
    <x v="10"/>
    <x v="24"/>
    <s v="Consumer"/>
    <x v="2"/>
    <x v="12"/>
    <x v="1"/>
    <s v="Low"/>
    <x v="134"/>
    <n v="699.57"/>
    <n v="572.71"/>
    <n v="572.71"/>
    <n v="0.192"/>
    <n v="0.192"/>
    <x v="0"/>
    <n v="26"/>
    <n v="12031.491680000001"/>
    <n v="18188.82"/>
    <n v="-6157.3283199999987"/>
    <n v="-0.51176765805651114"/>
    <n v="0.17"/>
    <n v="475.34930000000003"/>
    <n v="699.57"/>
    <n v="30.419999999999998"/>
    <n v="14460.125706000001"/>
    <n v="21280.919399999999"/>
    <n v="-6820.7936939999981"/>
    <n v="-0.47169670808392888"/>
    <n v="2428.6340259999997"/>
    <n v="-6157.3283199999987"/>
    <n v="4.0070949972582259E-2"/>
  </r>
  <r>
    <x v="135"/>
    <x v="125"/>
    <d v="2023-04-17T00:00:00"/>
    <s v="Q2-2023"/>
    <d v="2023-04-17T00:00:00"/>
    <n v="5"/>
    <x v="1"/>
    <x v="3"/>
    <x v="7"/>
    <x v="17"/>
    <s v="Enterprise"/>
    <x v="4"/>
    <x v="6"/>
    <x v="5"/>
    <s v="High"/>
    <x v="135"/>
    <n v="1087.81"/>
    <n v="2323.87"/>
    <n v="2323.87"/>
    <n v="9.4E-2"/>
    <n v="9.4E-2"/>
    <x v="0"/>
    <n v="13"/>
    <n v="27370.540859999997"/>
    <n v="14141.529999999999"/>
    <n v="13229.010859999999"/>
    <n v="0.48333026839572651"/>
    <n v="9.4E-2"/>
    <n v="2105.4262199999998"/>
    <n v="1087.81"/>
    <n v="15.209999999999999"/>
    <n v="32023.532806199997"/>
    <n v="16545.590099999998"/>
    <n v="15477.9427062"/>
    <n v="0.48333026839572657"/>
    <n v="4652.9919461999998"/>
    <n v="13229.010859999999"/>
    <n v="0"/>
  </r>
  <r>
    <x v="136"/>
    <x v="126"/>
    <d v="2025-01-12T00:00:00"/>
    <s v="Q4-2024"/>
    <d v="2025-01-12T00:00:00"/>
    <n v="29"/>
    <x v="0"/>
    <x v="1"/>
    <x v="9"/>
    <x v="14"/>
    <s v="Education"/>
    <x v="1"/>
    <x v="1"/>
    <x v="0"/>
    <s v="Medium"/>
    <x v="136"/>
    <n v="1412.15"/>
    <n v="1631.04"/>
    <n v="1631.04"/>
    <n v="8.9999999999999993E-3"/>
    <n v="8.9999999999999993E-3"/>
    <x v="0"/>
    <n v="6"/>
    <n v="9698.1638399999993"/>
    <n v="8472.9000000000015"/>
    <n v="1225.2638399999978"/>
    <n v="0.12633977526203535"/>
    <n v="8.9999999999999993E-3"/>
    <n v="1616.3606399999999"/>
    <n v="1412.15"/>
    <n v="7.02"/>
    <n v="11346.851692799999"/>
    <n v="9913.2929999999997"/>
    <n v="1433.5586927999993"/>
    <n v="0.12633977526203555"/>
    <n v="1648.6878527999997"/>
    <n v="1225.2638399999978"/>
    <n v="0"/>
  </r>
  <r>
    <x v="137"/>
    <x v="50"/>
    <d v="2023-04-12T00:00:00"/>
    <s v="Q1-2023"/>
    <d v="2023-04-12T00:00:00"/>
    <n v="12"/>
    <x v="0"/>
    <x v="0"/>
    <x v="0"/>
    <x v="13"/>
    <s v="Small Business"/>
    <x v="1"/>
    <x v="0"/>
    <x v="3"/>
    <s v="Low"/>
    <x v="137"/>
    <n v="304.22000000000003"/>
    <n v="393.31"/>
    <n v="393.31"/>
    <n v="0.26500000000000001"/>
    <n v="0.26500000000000001"/>
    <x v="1"/>
    <n v="15"/>
    <n v="4336.2427499999994"/>
    <n v="4563.3"/>
    <n v="-227.05725000000075"/>
    <n v="-5.2362670424759034E-2"/>
    <n v="0.17"/>
    <n v="326.44729999999998"/>
    <n v="304.22000000000003"/>
    <n v="17.549999999999997"/>
    <n v="5729.1501149999986"/>
    <n v="5339.0609999999997"/>
    <n v="390.08911499999886"/>
    <n v="6.8088478599761554E-2"/>
    <n v="1392.9073649999991"/>
    <n v="-227.05725000000075"/>
    <n v="0.12045114902452059"/>
  </r>
  <r>
    <x v="138"/>
    <x v="127"/>
    <d v="2024-12-15T00:00:00"/>
    <s v="Q4-2024"/>
    <d v="2024-12-15T00:00:00"/>
    <n v="25"/>
    <x v="0"/>
    <x v="3"/>
    <x v="7"/>
    <x v="28"/>
    <s v="Corporate"/>
    <x v="1"/>
    <x v="3"/>
    <x v="1"/>
    <s v="High"/>
    <x v="138"/>
    <n v="1203.58"/>
    <n v="1856.16"/>
    <n v="1856.16"/>
    <n v="0.129"/>
    <n v="0.129"/>
    <x v="0"/>
    <n v="22"/>
    <n v="35567.737920000007"/>
    <n v="26478.76"/>
    <n v="9088.9779200000085"/>
    <n v="0.25553994860295032"/>
    <n v="0.129"/>
    <n v="1616.7153600000001"/>
    <n v="1203.58"/>
    <n v="25.74"/>
    <n v="41614.2533664"/>
    <n v="30980.149199999996"/>
    <n v="10634.104166400004"/>
    <n v="0.25553994860295021"/>
    <n v="6046.5154463999934"/>
    <n v="9088.9779200000085"/>
    <n v="0"/>
  </r>
  <r>
    <x v="139"/>
    <x v="128"/>
    <d v="2024-02-14T00:00:00"/>
    <s v="Q1-2024"/>
    <d v="2024-02-14T00:00:00"/>
    <n v="0"/>
    <x v="1"/>
    <x v="1"/>
    <x v="9"/>
    <x v="38"/>
    <s v="Corporate"/>
    <x v="3"/>
    <x v="4"/>
    <x v="6"/>
    <s v="Low"/>
    <x v="139"/>
    <n v="65.930000000000007"/>
    <n v="84.9"/>
    <n v="84.9"/>
    <n v="0.25900000000000001"/>
    <n v="0.25900000000000001"/>
    <x v="1"/>
    <n v="23"/>
    <n v="1446.9507000000001"/>
    <n v="1516.39"/>
    <n v="-69.439300000000003"/>
    <n v="-4.7990093926489688E-2"/>
    <n v="0.17"/>
    <n v="70.466999999999999"/>
    <n v="65.930000000000007"/>
    <n v="26.909999999999997"/>
    <n v="1896.2669699999997"/>
    <n v="1774.1762999999999"/>
    <n v="122.09066999999982"/>
    <n v="6.4384747470447076E-2"/>
    <n v="449.31626999999958"/>
    <n v="-69.439300000000003"/>
    <n v="0.11237484139693676"/>
  </r>
  <r>
    <x v="140"/>
    <x v="129"/>
    <d v="2023-05-18T00:00:00"/>
    <s v="Q2-2023"/>
    <d v="2023-05-18T00:00:00"/>
    <n v="16"/>
    <x v="0"/>
    <x v="1"/>
    <x v="4"/>
    <x v="18"/>
    <s v="Small Business"/>
    <x v="2"/>
    <x v="11"/>
    <x v="5"/>
    <s v="High"/>
    <x v="140"/>
    <n v="1463.92"/>
    <n v="2252.2399999999998"/>
    <n v="2252.2399999999998"/>
    <n v="0.11799999999999999"/>
    <n v="0.11799999999999999"/>
    <x v="0"/>
    <n v="44"/>
    <n v="87404.929919999995"/>
    <n v="64412.480000000003"/>
    <n v="22992.449919999992"/>
    <n v="0.26305667130040061"/>
    <n v="0.11799999999999999"/>
    <n v="1986.4756799999998"/>
    <n v="1463.92"/>
    <n v="51.48"/>
    <n v="102263.76800639999"/>
    <n v="75362.601599999995"/>
    <n v="26901.166406399992"/>
    <n v="0.26305667130040067"/>
    <n v="14858.838086399992"/>
    <n v="22992.449919999992"/>
    <n v="0"/>
  </r>
  <r>
    <x v="141"/>
    <x v="130"/>
    <d v="2025-01-11T00:00:00"/>
    <s v="Q4-2024"/>
    <d v="2025-01-11T00:00:00"/>
    <n v="19"/>
    <x v="0"/>
    <x v="3"/>
    <x v="6"/>
    <x v="9"/>
    <s v="Education"/>
    <x v="0"/>
    <x v="11"/>
    <x v="3"/>
    <s v="Medium"/>
    <x v="141"/>
    <n v="501.81"/>
    <n v="921.62"/>
    <n v="921.62"/>
    <n v="0.01"/>
    <n v="0.01"/>
    <x v="0"/>
    <n v="9"/>
    <n v="8211.6342000000004"/>
    <n v="4516.29"/>
    <n v="3695.3442000000005"/>
    <n v="0.45001325071202031"/>
    <n v="0.01"/>
    <n v="912.40380000000005"/>
    <n v="501.81"/>
    <n v="10.53"/>
    <n v="9607.6120140000003"/>
    <n v="5284.0592999999999"/>
    <n v="4323.5527140000004"/>
    <n v="0.45001325071202031"/>
    <n v="1395.9778139999999"/>
    <n v="3695.3442000000005"/>
    <n v="0"/>
  </r>
  <r>
    <x v="142"/>
    <x v="131"/>
    <d v="2023-08-25T00:00:00"/>
    <s v="Q3-2023"/>
    <d v="2023-08-25T00:00:00"/>
    <n v="30"/>
    <x v="0"/>
    <x v="2"/>
    <x v="10"/>
    <x v="39"/>
    <s v="Consumer"/>
    <x v="0"/>
    <x v="12"/>
    <x v="6"/>
    <s v="High"/>
    <x v="142"/>
    <n v="1261.48"/>
    <n v="1643.18"/>
    <n v="1643.18"/>
    <n v="0.151"/>
    <n v="0.151"/>
    <x v="0"/>
    <n v="23"/>
    <n v="32086.37586"/>
    <n v="29014.04"/>
    <n v="3072.3358599999992"/>
    <n v="9.5752037357079045E-2"/>
    <n v="0.151"/>
    <n v="1395.0598199999999"/>
    <n v="1261.48"/>
    <n v="26.909999999999997"/>
    <n v="37541.059756199997"/>
    <n v="33946.426799999994"/>
    <n v="3594.6329562000028"/>
    <n v="9.5752037357079156E-2"/>
    <n v="5454.6838961999965"/>
    <n v="3072.3358599999992"/>
    <n v="1.1102230246251565E-16"/>
  </r>
  <r>
    <x v="143"/>
    <x v="132"/>
    <d v="2024-07-06T00:00:00"/>
    <s v="Q2-2024"/>
    <d v="2024-07-06T00:00:00"/>
    <n v="21"/>
    <x v="0"/>
    <x v="2"/>
    <x v="3"/>
    <x v="5"/>
    <s v="Enterprise"/>
    <x v="3"/>
    <x v="4"/>
    <x v="1"/>
    <s v="High"/>
    <x v="143"/>
    <n v="817.23"/>
    <n v="1467.17"/>
    <n v="1467.17"/>
    <n v="0.245"/>
    <n v="0.245"/>
    <x v="1"/>
    <n v="9"/>
    <n v="9969.4201499999999"/>
    <n v="7355.07"/>
    <n v="2614.3501500000002"/>
    <n v="0.26223693160328893"/>
    <n v="0.17"/>
    <n v="1217.7511"/>
    <n v="817.23"/>
    <n v="10.53"/>
    <n v="12822.919082999999"/>
    <n v="8605.4318999999996"/>
    <n v="4217.4871829999993"/>
    <n v="0.32890226910901577"/>
    <n v="2853.4989329999989"/>
    <n v="2614.3501500000002"/>
    <n v="6.666533750572684E-2"/>
  </r>
  <r>
    <x v="144"/>
    <x v="133"/>
    <d v="2023-07-14T00:00:00"/>
    <s v="Q3-2023"/>
    <d v="2023-07-14T00:00:00"/>
    <n v="9"/>
    <x v="0"/>
    <x v="2"/>
    <x v="5"/>
    <x v="10"/>
    <s v="Enterprise"/>
    <x v="4"/>
    <x v="5"/>
    <x v="2"/>
    <s v="Medium"/>
    <x v="144"/>
    <n v="578.85"/>
    <n v="998.76"/>
    <n v="998.76"/>
    <n v="8.2000000000000003E-2"/>
    <n v="8.2000000000000003E-2"/>
    <x v="0"/>
    <n v="28"/>
    <n v="25672.127039999999"/>
    <n v="16207.800000000001"/>
    <n v="9464.3270399999983"/>
    <n v="0.36866158480960831"/>
    <n v="8.2000000000000003E-2"/>
    <n v="916.86167999999998"/>
    <n v="578.85"/>
    <n v="32.76"/>
    <n v="30036.388636799998"/>
    <n v="18963.126"/>
    <n v="11073.262636799998"/>
    <n v="0.36866158480960831"/>
    <n v="4364.2615967999991"/>
    <n v="9464.3270399999983"/>
    <n v="0"/>
  </r>
  <r>
    <x v="145"/>
    <x v="134"/>
    <d v="2023-11-29T00:00:00"/>
    <s v="Q4-2023"/>
    <d v="2023-12-19T00:00:00"/>
    <n v="19"/>
    <x v="0"/>
    <x v="0"/>
    <x v="11"/>
    <x v="25"/>
    <s v="Small Business"/>
    <x v="2"/>
    <x v="6"/>
    <x v="4"/>
    <s v="Low"/>
    <x v="145"/>
    <n v="275.56"/>
    <n v="630.72"/>
    <n v="630.72"/>
    <n v="0.107"/>
    <n v="0.107"/>
    <x v="0"/>
    <n v="23"/>
    <n v="12954.358080000002"/>
    <n v="6337.88"/>
    <n v="6616.4780800000017"/>
    <n v="0.5107530638831933"/>
    <n v="0.107"/>
    <n v="563.23296000000005"/>
    <n v="275.56"/>
    <n v="26.909999999999997"/>
    <n v="15156.5989536"/>
    <n v="7415.3195999999989"/>
    <n v="7741.2793536000008"/>
    <n v="0.5107530638831933"/>
    <n v="2202.2408735999979"/>
    <n v="6616.4780800000017"/>
    <n v="0"/>
  </r>
  <r>
    <x v="146"/>
    <x v="135"/>
    <d v="2025-09-28T00:00:00"/>
    <s v="Q3-2025"/>
    <d v="2025-09-28T00:00:00"/>
    <n v="17"/>
    <x v="0"/>
    <x v="0"/>
    <x v="0"/>
    <x v="2"/>
    <s v="Non-Profit"/>
    <x v="3"/>
    <x v="1"/>
    <x v="4"/>
    <s v="Low"/>
    <x v="146"/>
    <n v="891.46"/>
    <n v="728.61"/>
    <n v="728.61"/>
    <n v="0.185"/>
    <n v="0.185"/>
    <x v="0"/>
    <n v="6"/>
    <n v="3562.9028999999996"/>
    <n v="5348.76"/>
    <n v="-1785.8571000000006"/>
    <n v="-0.50123653383874167"/>
    <n v="0.17"/>
    <n v="604.74630000000002"/>
    <n v="891.46"/>
    <n v="7.02"/>
    <n v="4245.3190260000001"/>
    <n v="6258.0491999999995"/>
    <n v="-2012.7301739999994"/>
    <n v="-0.47410575310671582"/>
    <n v="682.41612600000053"/>
    <n v="-1785.8571000000006"/>
    <n v="2.713078073202585E-2"/>
  </r>
  <r>
    <x v="147"/>
    <x v="136"/>
    <d v="2024-04-24T00:00:00"/>
    <s v="Q2-2024"/>
    <d v="2024-04-24T00:00:00"/>
    <n v="20"/>
    <x v="0"/>
    <x v="3"/>
    <x v="6"/>
    <x v="37"/>
    <s v="Non-Profit"/>
    <x v="4"/>
    <x v="7"/>
    <x v="6"/>
    <s v="Medium"/>
    <x v="147"/>
    <n v="683.42"/>
    <n v="951.51"/>
    <n v="951.51"/>
    <n v="0"/>
    <n v="0"/>
    <x v="0"/>
    <n v="14"/>
    <n v="13321.14"/>
    <n v="9567.8799999999992"/>
    <n v="3753.26"/>
    <n v="0.28175216235247136"/>
    <n v="0"/>
    <n v="951.51"/>
    <n v="683.42"/>
    <n v="16.38"/>
    <n v="15585.733799999998"/>
    <n v="11194.419599999999"/>
    <n v="4391.3141999999989"/>
    <n v="0.2817521623524713"/>
    <n v="2264.5937999999987"/>
    <n v="3753.26"/>
    <n v="0"/>
  </r>
  <r>
    <x v="148"/>
    <x v="137"/>
    <d v="2023-09-16T00:00:00"/>
    <s v="Q3-2023"/>
    <d v="2023-09-16T00:00:00"/>
    <n v="2"/>
    <x v="1"/>
    <x v="3"/>
    <x v="7"/>
    <x v="17"/>
    <s v="Non-Profit"/>
    <x v="4"/>
    <x v="5"/>
    <x v="1"/>
    <s v="Low"/>
    <x v="148"/>
    <n v="376.83"/>
    <n v="732.88"/>
    <n v="732.88"/>
    <n v="0.188"/>
    <n v="0.188"/>
    <x v="0"/>
    <n v="25"/>
    <n v="14877.464000000002"/>
    <n v="9420.75"/>
    <n v="5456.7140000000018"/>
    <n v="0.36677716040852132"/>
    <n v="0.17"/>
    <n v="608.29039999999998"/>
    <n v="376.83"/>
    <n v="29.25"/>
    <n v="17792.494200000001"/>
    <n v="11022.2775"/>
    <n v="6770.2167000000009"/>
    <n v="0.38050970391773403"/>
    <n v="2915.0301999999992"/>
    <n v="5456.7140000000018"/>
    <n v="1.3732543509212713E-2"/>
  </r>
  <r>
    <x v="149"/>
    <x v="138"/>
    <d v="2024-10-18T00:00:00"/>
    <s v="Q3-2024"/>
    <d v="2024-10-18T00:00:00"/>
    <n v="25"/>
    <x v="0"/>
    <x v="2"/>
    <x v="3"/>
    <x v="26"/>
    <s v="Small Business"/>
    <x v="1"/>
    <x v="13"/>
    <x v="3"/>
    <s v="High"/>
    <x v="149"/>
    <n v="1297"/>
    <n v="2411.52"/>
    <n v="2411.52"/>
    <n v="2.1000000000000001E-2"/>
    <n v="2.1000000000000001E-2"/>
    <x v="0"/>
    <n v="18"/>
    <n v="42495.805439999996"/>
    <n v="23346"/>
    <n v="19149.805439999996"/>
    <n v="0.45062813239385913"/>
    <n v="2.1000000000000001E-2"/>
    <n v="2360.87808"/>
    <n v="1297"/>
    <n v="21.06"/>
    <n v="49720.092364799995"/>
    <n v="27314.82"/>
    <n v="22405.272364799996"/>
    <n v="0.45062813239385913"/>
    <n v="7224.2869247999988"/>
    <n v="19149.805439999996"/>
    <n v="0"/>
  </r>
  <r>
    <x v="150"/>
    <x v="139"/>
    <d v="2025-05-16T00:00:00"/>
    <s v="Q2-2025"/>
    <d v="2025-05-16T00:00:00"/>
    <n v="30"/>
    <x v="0"/>
    <x v="2"/>
    <x v="3"/>
    <x v="19"/>
    <s v="Enterprise"/>
    <x v="3"/>
    <x v="11"/>
    <x v="1"/>
    <s v="Low"/>
    <x v="150"/>
    <n v="763.32"/>
    <n v="568.29"/>
    <n v="568.29"/>
    <n v="0.13100000000000001"/>
    <n v="0.13100000000000001"/>
    <x v="0"/>
    <n v="16"/>
    <n v="7901.5041599999995"/>
    <n v="12213.12"/>
    <n v="-4311.6158400000013"/>
    <n v="-0.54567026134426555"/>
    <n v="0.13100000000000001"/>
    <n v="493.84400999999997"/>
    <n v="763.32"/>
    <n v="18.72"/>
    <n v="9244.7598671999986"/>
    <n v="14289.350399999999"/>
    <n v="-5044.5905328000008"/>
    <n v="-0.54567026134426555"/>
    <n v="1343.2557071999991"/>
    <n v="-4311.6158400000013"/>
    <n v="0"/>
  </r>
  <r>
    <x v="151"/>
    <x v="140"/>
    <d v="2023-07-23T00:00:00"/>
    <s v="Q3-2023"/>
    <d v="2023-07-23T00:00:00"/>
    <n v="20"/>
    <x v="0"/>
    <x v="0"/>
    <x v="11"/>
    <x v="20"/>
    <s v="Small Business"/>
    <x v="3"/>
    <x v="9"/>
    <x v="4"/>
    <s v="Medium"/>
    <x v="151"/>
    <n v="1001.96"/>
    <n v="1254.95"/>
    <n v="1254.95"/>
    <n v="4.4999999999999998E-2"/>
    <n v="4.4999999999999998E-2"/>
    <x v="0"/>
    <n v="18"/>
    <n v="21572.590500000002"/>
    <n v="18035.28"/>
    <n v="3537.3105000000032"/>
    <n v="0.16397244920585699"/>
    <n v="4.4999999999999998E-2"/>
    <n v="1198.4772499999999"/>
    <n v="1001.96"/>
    <n v="21.06"/>
    <n v="25239.930884999998"/>
    <n v="21101.277600000001"/>
    <n v="4138.6532849999967"/>
    <n v="0.16397244920585674"/>
    <n v="3667.3403849999959"/>
    <n v="3537.3105000000032"/>
    <n v="-2.4980018054066022E-16"/>
  </r>
  <r>
    <x v="152"/>
    <x v="141"/>
    <d v="2023-12-05T00:00:00"/>
    <s v="Q4-2023"/>
    <d v="2023-12-25T00:00:00"/>
    <n v="18"/>
    <x v="0"/>
    <x v="1"/>
    <x v="2"/>
    <x v="27"/>
    <s v="Non-Profit"/>
    <x v="2"/>
    <x v="10"/>
    <x v="1"/>
    <s v="Medium"/>
    <x v="152"/>
    <n v="1097.5899999999999"/>
    <n v="845.55"/>
    <n v="845.55"/>
    <n v="0.184"/>
    <n v="0.184"/>
    <x v="0"/>
    <n v="6"/>
    <n v="4139.8127999999997"/>
    <n v="6585.5399999999991"/>
    <n v="-2445.7271999999994"/>
    <n v="-0.59078207594314402"/>
    <n v="0.17"/>
    <n v="701.80649999999991"/>
    <n v="1097.5899999999999"/>
    <n v="7.02"/>
    <n v="4926.6816299999991"/>
    <n v="7705.081799999999"/>
    <n v="-2778.4001699999999"/>
    <n v="-0.56394960719229592"/>
    <n v="786.86882999999943"/>
    <n v="-2445.7271999999994"/>
    <n v="2.6832468750848104E-2"/>
  </r>
  <r>
    <x v="153"/>
    <x v="142"/>
    <d v="2024-03-04T00:00:00"/>
    <s v="Q1-2024"/>
    <d v="2024-03-04T00:00:00"/>
    <n v="15"/>
    <x v="0"/>
    <x v="0"/>
    <x v="0"/>
    <x v="0"/>
    <s v="Education"/>
    <x v="4"/>
    <x v="11"/>
    <x v="1"/>
    <s v="High"/>
    <x v="153"/>
    <n v="928.68"/>
    <n v="2145.17"/>
    <n v="2145.17"/>
    <n v="0.13600000000000001"/>
    <n v="0.13600000000000001"/>
    <x v="0"/>
    <n v="16"/>
    <n v="29654.83008"/>
    <n v="14858.88"/>
    <n v="14795.950080000001"/>
    <n v="0.49893896003062177"/>
    <n v="0.13600000000000001"/>
    <n v="1853.42688"/>
    <n v="928.68"/>
    <n v="18.72"/>
    <n v="34696.151193599995"/>
    <n v="17384.889599999999"/>
    <n v="17311.261593599997"/>
    <n v="0.49893896003062171"/>
    <n v="5041.3211135999954"/>
    <n v="14795.950080000001"/>
    <n v="0"/>
  </r>
  <r>
    <x v="154"/>
    <x v="143"/>
    <d v="2023-11-02T00:00:00"/>
    <s v="Q4-2023"/>
    <d v="2023-11-02T00:00:00"/>
    <n v="2"/>
    <x v="1"/>
    <x v="0"/>
    <x v="0"/>
    <x v="0"/>
    <s v="Education"/>
    <x v="0"/>
    <x v="7"/>
    <x v="6"/>
    <s v="Medium"/>
    <x v="154"/>
    <n v="867.89"/>
    <n v="1349.94"/>
    <n v="1349.94"/>
    <n v="0.184"/>
    <n v="0.184"/>
    <x v="0"/>
    <n v="10"/>
    <n v="11015.510400000003"/>
    <n v="8678.9"/>
    <n v="2336.6104000000032"/>
    <n v="0.21212003031652557"/>
    <n v="0.17"/>
    <n v="1120.4502"/>
    <n v="867.89"/>
    <n v="11.7"/>
    <n v="13109.267339999999"/>
    <n v="10154.313"/>
    <n v="2954.9543399999984"/>
    <n v="0.22540957197383685"/>
    <n v="2093.7569399999957"/>
    <n v="2336.6104000000032"/>
    <n v="1.3289541657311277E-2"/>
  </r>
  <r>
    <x v="155"/>
    <x v="144"/>
    <d v="2024-08-17T00:00:00"/>
    <s v="Q3-2024"/>
    <d v="2024-08-17T00:00:00"/>
    <n v="10"/>
    <x v="0"/>
    <x v="1"/>
    <x v="2"/>
    <x v="4"/>
    <s v="Consumer"/>
    <x v="1"/>
    <x v="11"/>
    <x v="2"/>
    <s v="Low"/>
    <x v="155"/>
    <n v="436.58"/>
    <n v="527.48"/>
    <n v="527.48"/>
    <n v="0.111"/>
    <n v="0.111"/>
    <x v="0"/>
    <n v="19"/>
    <n v="8909.6646800000017"/>
    <n v="8295.02"/>
    <n v="614.64468000000124"/>
    <n v="6.8986286473802644E-2"/>
    <n v="0.111"/>
    <n v="468.92972000000003"/>
    <n v="436.58"/>
    <n v="22.229999999999997"/>
    <n v="10424.307675599999"/>
    <n v="9705.1733999999979"/>
    <n v="719.13427560000127"/>
    <n v="6.8986286473802644E-2"/>
    <n v="1514.6429955999974"/>
    <n v="614.64468000000124"/>
    <n v="0"/>
  </r>
  <r>
    <x v="156"/>
    <x v="145"/>
    <d v="2024-02-21T00:00:00"/>
    <s v="Q1-2024"/>
    <d v="2024-02-21T00:00:00"/>
    <n v="20"/>
    <x v="0"/>
    <x v="3"/>
    <x v="7"/>
    <x v="28"/>
    <s v="Small Business"/>
    <x v="2"/>
    <x v="8"/>
    <x v="2"/>
    <s v="Medium"/>
    <x v="156"/>
    <n v="656.2"/>
    <n v="1467.17"/>
    <n v="1467.17"/>
    <n v="1.7999999999999999E-2"/>
    <n v="1.7999999999999999E-2"/>
    <x v="0"/>
    <n v="5"/>
    <n v="7203.8047000000006"/>
    <n v="3281"/>
    <n v="3922.8047000000006"/>
    <n v="0.54454623124360946"/>
    <n v="1.7999999999999999E-2"/>
    <n v="1440.7609400000001"/>
    <n v="656.2"/>
    <n v="5.85"/>
    <n v="8428.4514990000007"/>
    <n v="3838.77"/>
    <n v="4589.6814990000003"/>
    <n v="0.54454623124360935"/>
    <n v="1224.6467990000001"/>
    <n v="3922.8047000000006"/>
    <n v="0"/>
  </r>
  <r>
    <x v="157"/>
    <x v="38"/>
    <d v="2024-09-18T00:00:00"/>
    <s v="Q3-2024"/>
    <d v="2024-09-18T00:00:00"/>
    <n v="22"/>
    <x v="0"/>
    <x v="1"/>
    <x v="4"/>
    <x v="18"/>
    <s v="Consumer"/>
    <x v="4"/>
    <x v="5"/>
    <x v="0"/>
    <s v="Medium"/>
    <x v="157"/>
    <n v="896.75"/>
    <n v="1651.14"/>
    <n v="1651.14"/>
    <n v="2.5000000000000001E-2"/>
    <n v="2.5000000000000001E-2"/>
    <x v="0"/>
    <n v="15"/>
    <n v="24147.922500000001"/>
    <n v="13451.25"/>
    <n v="10696.672500000001"/>
    <n v="0.44296450346815552"/>
    <n v="2.5000000000000001E-2"/>
    <n v="1609.8615"/>
    <n v="896.75"/>
    <n v="17.549999999999997"/>
    <n v="28253.069324999997"/>
    <n v="15737.962499999998"/>
    <n v="12515.106824999999"/>
    <n v="0.44296450346815552"/>
    <n v="4105.1468249999962"/>
    <n v="10696.672500000001"/>
    <n v="0"/>
  </r>
  <r>
    <x v="158"/>
    <x v="146"/>
    <d v="2025-02-15T00:00:00"/>
    <s v="Q1-2025"/>
    <d v="2025-02-15T00:00:00"/>
    <n v="0"/>
    <x v="1"/>
    <x v="3"/>
    <x v="6"/>
    <x v="37"/>
    <s v="Small Business"/>
    <x v="2"/>
    <x v="4"/>
    <x v="6"/>
    <s v="High"/>
    <x v="158"/>
    <n v="815.83"/>
    <n v="1982.18"/>
    <n v="1982.18"/>
    <n v="0.127"/>
    <n v="0.127"/>
    <x v="0"/>
    <n v="6"/>
    <n v="10382.65884"/>
    <n v="4894.9800000000005"/>
    <n v="5487.6788399999996"/>
    <n v="0.52854272923408507"/>
    <n v="0.127"/>
    <n v="1730.4431400000001"/>
    <n v="815.83"/>
    <n v="7.02"/>
    <n v="12147.710842799999"/>
    <n v="5727.1265999999996"/>
    <n v="6420.5842427999996"/>
    <n v="0.52854272923408507"/>
    <n v="1765.0520027999992"/>
    <n v="5487.6788399999996"/>
    <n v="0"/>
  </r>
  <r>
    <x v="159"/>
    <x v="90"/>
    <d v="2025-08-21T00:00:00"/>
    <s v="Q3-2025"/>
    <d v="2025-08-21T00:00:00"/>
    <n v="20"/>
    <x v="0"/>
    <x v="1"/>
    <x v="9"/>
    <x v="23"/>
    <s v="Corporate"/>
    <x v="4"/>
    <x v="2"/>
    <x v="3"/>
    <s v="High"/>
    <x v="159"/>
    <n v="1220.4100000000001"/>
    <n v="2552.2199999999998"/>
    <n v="2552.2199999999998"/>
    <n v="0.18099999999999999"/>
    <n v="0.18099999999999999"/>
    <x v="0"/>
    <n v="14"/>
    <n v="29263.754519999995"/>
    <n v="17085.740000000002"/>
    <n v="12178.014519999993"/>
    <n v="0.41614668793360271"/>
    <n v="0.17"/>
    <n v="2118.3425999999999"/>
    <n v="1220.4100000000001"/>
    <n v="16.38"/>
    <n v="34698.451787999998"/>
    <n v="19990.3158"/>
    <n v="14708.135987999998"/>
    <n v="0.42388450291279606"/>
    <n v="5434.6972680000035"/>
    <n v="12178.014519999993"/>
    <n v="7.737814979193347E-3"/>
  </r>
  <r>
    <x v="160"/>
    <x v="147"/>
    <d v="2023-03-04T00:00:00"/>
    <s v="Q1-2023"/>
    <d v="2023-03-04T00:00:00"/>
    <n v="12"/>
    <x v="0"/>
    <x v="1"/>
    <x v="4"/>
    <x v="18"/>
    <s v="Consumer"/>
    <x v="3"/>
    <x v="12"/>
    <x v="5"/>
    <s v="Low"/>
    <x v="160"/>
    <n v="299.75"/>
    <n v="523.01"/>
    <n v="523.01"/>
    <n v="0.157"/>
    <n v="0.157"/>
    <x v="0"/>
    <n v="50"/>
    <n v="22044.871499999997"/>
    <n v="14987.5"/>
    <n v="7057.3714999999975"/>
    <n v="0.32013665854210122"/>
    <n v="0.157"/>
    <n v="440.89742999999999"/>
    <n v="299.75"/>
    <n v="58.5"/>
    <n v="25792.499655"/>
    <n v="17535.375"/>
    <n v="8257.1246549999996"/>
    <n v="0.32013665854210127"/>
    <n v="3747.6281550000022"/>
    <n v="7057.3714999999975"/>
    <n v="0"/>
  </r>
  <r>
    <x v="161"/>
    <x v="148"/>
    <d v="2024-11-24T00:00:00"/>
    <s v="Q4-2024"/>
    <d v="2024-11-24T00:00:00"/>
    <n v="25"/>
    <x v="0"/>
    <x v="1"/>
    <x v="9"/>
    <x v="14"/>
    <s v="Small Business"/>
    <x v="1"/>
    <x v="6"/>
    <x v="0"/>
    <s v="Medium"/>
    <x v="161"/>
    <n v="811.05"/>
    <n v="1217.71"/>
    <n v="1217.71"/>
    <n v="7.1999999999999995E-2"/>
    <n v="7.1999999999999995E-2"/>
    <x v="0"/>
    <n v="5"/>
    <n v="5650.1744000000008"/>
    <n v="4055.25"/>
    <n v="1594.9244000000008"/>
    <n v="0.28227879125288602"/>
    <n v="7.1999999999999995E-2"/>
    <n v="1130.0348800000002"/>
    <n v="811.05"/>
    <n v="5.85"/>
    <n v="6610.7040480000005"/>
    <n v="4744.642499999999"/>
    <n v="1866.0615480000015"/>
    <n v="0.28227879125288613"/>
    <n v="960.52964799999972"/>
    <n v="1594.9244000000008"/>
    <n v="0"/>
  </r>
  <r>
    <x v="162"/>
    <x v="149"/>
    <d v="2024-04-07T00:00:00"/>
    <s v="Q2-2024"/>
    <d v="2024-04-07T00:00:00"/>
    <n v="4"/>
    <x v="1"/>
    <x v="2"/>
    <x v="5"/>
    <x v="10"/>
    <s v="Non-Profit"/>
    <x v="4"/>
    <x v="13"/>
    <x v="3"/>
    <s v="Medium"/>
    <x v="162"/>
    <n v="1023.27"/>
    <n v="1343.64"/>
    <n v="1343.64"/>
    <n v="0.13300000000000001"/>
    <n v="0.13300000000000001"/>
    <x v="0"/>
    <n v="7"/>
    <n v="8154.5511600000009"/>
    <n v="7162.8899999999994"/>
    <n v="991.66116000000147"/>
    <n v="0.12160830688810116"/>
    <n v="0.13300000000000001"/>
    <n v="1164.93588"/>
    <n v="1023.27"/>
    <n v="8.19"/>
    <n v="9540.8248571999993"/>
    <n v="8380.5812999999998"/>
    <n v="1160.2435571999995"/>
    <n v="0.12160830688810095"/>
    <n v="1386.2736971999984"/>
    <n v="991.66116000000147"/>
    <n v="-2.0816681711721685E-16"/>
  </r>
  <r>
    <x v="163"/>
    <x v="150"/>
    <d v="2023-03-26T00:00:00"/>
    <s v="Q1-2023"/>
    <d v="2023-03-26T00:00:00"/>
    <n v="1"/>
    <x v="1"/>
    <x v="1"/>
    <x v="2"/>
    <x v="4"/>
    <s v="Small Business"/>
    <x v="3"/>
    <x v="2"/>
    <x v="5"/>
    <s v="Low"/>
    <x v="163"/>
    <n v="135.12"/>
    <n v="301.7"/>
    <n v="301.7"/>
    <n v="0.14000000000000001"/>
    <n v="0.14000000000000001"/>
    <x v="0"/>
    <n v="47"/>
    <n v="12194.714"/>
    <n v="6350.64"/>
    <n v="5844.0739999999996"/>
    <n v="0.47923009920527859"/>
    <n v="0.14000000000000001"/>
    <n v="259.46199999999999"/>
    <n v="135.12"/>
    <n v="54.989999999999995"/>
    <n v="14267.815379999998"/>
    <n v="7430.2487999999994"/>
    <n v="6837.5665799999988"/>
    <n v="0.47923009920527859"/>
    <n v="2073.1013799999982"/>
    <n v="5844.0739999999996"/>
    <n v="0"/>
  </r>
  <r>
    <x v="164"/>
    <x v="151"/>
    <d v="2024-06-16T00:00:00"/>
    <s v="Q2-2024"/>
    <d v="2024-06-16T00:00:00"/>
    <n v="12"/>
    <x v="0"/>
    <x v="1"/>
    <x v="9"/>
    <x v="23"/>
    <s v="Corporate"/>
    <x v="0"/>
    <x v="1"/>
    <x v="1"/>
    <s v="High"/>
    <x v="164"/>
    <n v="918.42"/>
    <n v="1511.71"/>
    <n v="1511.71"/>
    <n v="0.02"/>
    <n v="0.02"/>
    <x v="0"/>
    <n v="8"/>
    <n v="11851.806399999999"/>
    <n v="7347.36"/>
    <n v="4504.4463999999998"/>
    <n v="0.38006412254590999"/>
    <n v="0.02"/>
    <n v="1481.4757999999999"/>
    <n v="918.42"/>
    <n v="9.36"/>
    <n v="13866.613487999999"/>
    <n v="8596.4111999999986"/>
    <n v="5270.2022880000004"/>
    <n v="0.38006412254591004"/>
    <n v="2014.8070879999996"/>
    <n v="4504.4463999999998"/>
    <n v="0"/>
  </r>
  <r>
    <x v="165"/>
    <x v="152"/>
    <d v="2023-03-12T00:00:00"/>
    <s v="Q1-2023"/>
    <d v="2023-03-12T00:00:00"/>
    <n v="21"/>
    <x v="0"/>
    <x v="3"/>
    <x v="6"/>
    <x v="9"/>
    <s v="Small Business"/>
    <x v="4"/>
    <x v="4"/>
    <x v="5"/>
    <s v="High"/>
    <x v="165"/>
    <n v="1234.81"/>
    <n v="2055.2399999999998"/>
    <n v="2055.2399999999998"/>
    <n v="5.2999999999999999E-2"/>
    <n v="5.2999999999999999E-2"/>
    <x v="0"/>
    <n v="44"/>
    <n v="85637.740319999997"/>
    <n v="54331.64"/>
    <n v="31306.100319999998"/>
    <n v="0.36556429680441616"/>
    <n v="5.2999999999999999E-2"/>
    <n v="1946.3122799999996"/>
    <n v="1234.81"/>
    <n v="51.48"/>
    <n v="100196.15617439998"/>
    <n v="63568.018799999991"/>
    <n v="36628.137374399987"/>
    <n v="0.36556429680441616"/>
    <n v="14558.41585439998"/>
    <n v="31306.100319999998"/>
    <n v="0"/>
  </r>
  <r>
    <x v="166"/>
    <x v="153"/>
    <d v="2023-05-18T00:00:00"/>
    <s v="Q2-2023"/>
    <d v="2023-05-18T00:00:00"/>
    <n v="30"/>
    <x v="0"/>
    <x v="1"/>
    <x v="9"/>
    <x v="14"/>
    <s v="Non-Profit"/>
    <x v="0"/>
    <x v="10"/>
    <x v="4"/>
    <s v="Low"/>
    <x v="166"/>
    <n v="329.03"/>
    <n v="391.15"/>
    <n v="391.15"/>
    <n v="0.19700000000000001"/>
    <n v="0.19700000000000001"/>
    <x v="0"/>
    <n v="46"/>
    <n v="14448.298699999998"/>
    <n v="15135.38"/>
    <n v="-687.08130000000165"/>
    <n v="-4.7554477815440081E-2"/>
    <n v="0.17"/>
    <n v="324.65449999999998"/>
    <n v="329.03"/>
    <n v="53.819999999999993"/>
    <n v="17472.905189999998"/>
    <n v="17708.394599999996"/>
    <n v="-235.48940999999832"/>
    <n v="-1.3477404440720733E-2"/>
    <n v="3024.6064900000001"/>
    <n v="-687.08130000000165"/>
    <n v="3.4077073374719352E-2"/>
  </r>
  <r>
    <x v="167"/>
    <x v="154"/>
    <d v="2024-06-14T00:00:00"/>
    <s v="Q2-2024"/>
    <d v="2024-06-14T00:00:00"/>
    <n v="22"/>
    <x v="0"/>
    <x v="3"/>
    <x v="7"/>
    <x v="11"/>
    <s v="Small Business"/>
    <x v="1"/>
    <x v="13"/>
    <x v="5"/>
    <s v="High"/>
    <x v="167"/>
    <n v="1481.74"/>
    <n v="1848.97"/>
    <n v="1848.97"/>
    <n v="0.254"/>
    <n v="0.254"/>
    <x v="1"/>
    <n v="9"/>
    <n v="12413.98458"/>
    <n v="13335.66"/>
    <n v="-921.67541999999958"/>
    <n v="-7.4244930309072407E-2"/>
    <n v="0.17"/>
    <n v="1534.6451"/>
    <n v="1481.74"/>
    <n v="10.53"/>
    <n v="16159.812902999998"/>
    <n v="15602.722199999998"/>
    <n v="557.09070299999985"/>
    <n v="3.4473833722207171E-2"/>
    <n v="3745.8283229999979"/>
    <n v="-921.67541999999958"/>
    <n v="0.10871876403127959"/>
  </r>
  <r>
    <x v="168"/>
    <x v="155"/>
    <d v="2023-10-23T00:00:00"/>
    <s v="Q4-2023"/>
    <d v="2023-10-23T00:00:00"/>
    <n v="16"/>
    <x v="0"/>
    <x v="1"/>
    <x v="4"/>
    <x v="34"/>
    <s v="Consumer"/>
    <x v="0"/>
    <x v="3"/>
    <x v="5"/>
    <s v="Medium"/>
    <x v="168"/>
    <n v="906.81"/>
    <n v="1395.56"/>
    <n v="1395.56"/>
    <n v="0.185"/>
    <n v="0.185"/>
    <x v="0"/>
    <n v="6"/>
    <n v="6824.2884000000004"/>
    <n v="5440.86"/>
    <n v="1383.4284000000007"/>
    <n v="0.20272126834498974"/>
    <n v="0.17"/>
    <n v="1158.3147999999999"/>
    <n v="906.81"/>
    <n v="7.02"/>
    <n v="8131.3698959999983"/>
    <n v="6365.8061999999991"/>
    <n v="1765.5636959999993"/>
    <n v="0.21712992012188737"/>
    <n v="1307.081495999998"/>
    <n v="1383.4284000000007"/>
    <n v="1.4408651776897624E-2"/>
  </r>
  <r>
    <x v="169"/>
    <x v="156"/>
    <d v="2024-11-08T00:00:00"/>
    <s v="Q4-2024"/>
    <d v="2024-11-08T00:00:00"/>
    <n v="30"/>
    <x v="0"/>
    <x v="3"/>
    <x v="8"/>
    <x v="31"/>
    <s v="Small Business"/>
    <x v="3"/>
    <x v="1"/>
    <x v="0"/>
    <s v="Low"/>
    <x v="169"/>
    <n v="343.85"/>
    <n v="538.04"/>
    <n v="538.04"/>
    <n v="0.13900000000000001"/>
    <n v="0.13900000000000001"/>
    <x v="0"/>
    <n v="5"/>
    <n v="2316.2621999999997"/>
    <n v="1719.25"/>
    <n v="597.01219999999967"/>
    <n v="0.25774810813732563"/>
    <n v="0.13900000000000001"/>
    <n v="463.25243999999998"/>
    <n v="343.85"/>
    <n v="5.85"/>
    <n v="2710.0267739999999"/>
    <n v="2011.5225"/>
    <n v="698.5042739999999"/>
    <n v="0.25774810813732568"/>
    <n v="393.76457400000027"/>
    <n v="597.01219999999967"/>
    <n v="0"/>
  </r>
  <r>
    <x v="170"/>
    <x v="157"/>
    <d v="2024-07-15T00:00:00"/>
    <s v="Q3-2024"/>
    <d v="2024-07-15T00:00:00"/>
    <n v="0"/>
    <x v="1"/>
    <x v="1"/>
    <x v="2"/>
    <x v="27"/>
    <s v="Small Business"/>
    <x v="2"/>
    <x v="3"/>
    <x v="6"/>
    <s v="Medium"/>
    <x v="170"/>
    <n v="801.77"/>
    <n v="1218.92"/>
    <n v="1218.92"/>
    <n v="0.254"/>
    <n v="0.254"/>
    <x v="1"/>
    <n v="16"/>
    <n v="14549.029120000001"/>
    <n v="12828.32"/>
    <n v="1720.7091200000013"/>
    <n v="0.11826968698788344"/>
    <n v="0.17"/>
    <n v="1011.7036000000001"/>
    <n v="801.77"/>
    <n v="18.72"/>
    <n v="18939.091391999998"/>
    <n v="15009.134399999999"/>
    <n v="3929.9569919999994"/>
    <n v="0.20750504396742286"/>
    <n v="4390.0622719999974"/>
    <n v="1720.7091200000013"/>
    <n v="8.9235356979539424E-2"/>
  </r>
  <r>
    <x v="171"/>
    <x v="158"/>
    <d v="2023-10-10T00:00:00"/>
    <s v="Q3-2023"/>
    <d v="2023-10-10T00:00:00"/>
    <n v="19"/>
    <x v="0"/>
    <x v="1"/>
    <x v="2"/>
    <x v="27"/>
    <s v="Education"/>
    <x v="1"/>
    <x v="14"/>
    <x v="0"/>
    <s v="High"/>
    <x v="171"/>
    <n v="845.63"/>
    <n v="2062.12"/>
    <n v="2062.12"/>
    <n v="0.13400000000000001"/>
    <n v="0.13400000000000001"/>
    <x v="0"/>
    <n v="5"/>
    <n v="8928.9795999999988"/>
    <n v="4228.1499999999996"/>
    <n v="4700.8295999999991"/>
    <n v="0.52646884757133949"/>
    <n v="0.13400000000000001"/>
    <n v="1785.7959199999998"/>
    <n v="845.63"/>
    <n v="5.85"/>
    <n v="10446.906131999998"/>
    <n v="4946.9354999999996"/>
    <n v="5499.9706319999987"/>
    <n v="0.52646884757133949"/>
    <n v="1517.9265319999995"/>
    <n v="4700.8295999999991"/>
    <n v="0"/>
  </r>
  <r>
    <x v="172"/>
    <x v="159"/>
    <d v="2023-03-09T00:00:00"/>
    <s v="Q1-2023"/>
    <d v="2023-03-09T00:00:00"/>
    <n v="13"/>
    <x v="0"/>
    <x v="2"/>
    <x v="10"/>
    <x v="39"/>
    <s v="Enterprise"/>
    <x v="1"/>
    <x v="12"/>
    <x v="0"/>
    <s v="Low"/>
    <x v="172"/>
    <n v="6.85"/>
    <n v="10.18"/>
    <n v="10.18"/>
    <n v="4.7E-2"/>
    <n v="4.7E-2"/>
    <x v="0"/>
    <n v="10"/>
    <n v="97.0154"/>
    <n v="68.5"/>
    <n v="28.5154"/>
    <n v="0.2939265312517394"/>
    <n v="4.7E-2"/>
    <n v="9.7015399999999996"/>
    <n v="6.85"/>
    <n v="11.7"/>
    <n v="113.50801799999999"/>
    <n v="80.144999999999996"/>
    <n v="33.363017999999997"/>
    <n v="0.2939265312517394"/>
    <n v="16.492617999999993"/>
    <n v="28.5154"/>
    <n v="0"/>
  </r>
  <r>
    <x v="173"/>
    <x v="9"/>
    <d v="2025-05-19T00:00:00"/>
    <s v="Q2-2025"/>
    <d v="2025-06-08T00:00:00"/>
    <n v="18"/>
    <x v="0"/>
    <x v="0"/>
    <x v="11"/>
    <x v="20"/>
    <s v="Non-Profit"/>
    <x v="3"/>
    <x v="7"/>
    <x v="4"/>
    <s v="High"/>
    <x v="173"/>
    <n v="1263.8399999999999"/>
    <n v="2281.7199999999998"/>
    <n v="2281.7199999999998"/>
    <n v="7.8E-2"/>
    <n v="7.8E-2"/>
    <x v="0"/>
    <n v="15"/>
    <n v="31556.187599999997"/>
    <n v="18957.599999999999"/>
    <n v="12598.587599999999"/>
    <n v="0.39924301882398494"/>
    <n v="7.8E-2"/>
    <n v="2103.74584"/>
    <n v="1263.8399999999999"/>
    <n v="17.549999999999997"/>
    <n v="36920.739491999993"/>
    <n v="22180.391999999996"/>
    <n v="14740.347491999997"/>
    <n v="0.39924301882398494"/>
    <n v="5364.5518919999959"/>
    <n v="12598.587599999999"/>
    <n v="0"/>
  </r>
  <r>
    <x v="174"/>
    <x v="154"/>
    <d v="2024-06-03T00:00:00"/>
    <s v="Q2-2024"/>
    <d v="2024-06-03T00:00:00"/>
    <n v="11"/>
    <x v="0"/>
    <x v="0"/>
    <x v="11"/>
    <x v="20"/>
    <s v="Small Business"/>
    <x v="3"/>
    <x v="9"/>
    <x v="1"/>
    <s v="Low"/>
    <x v="174"/>
    <n v="180.89"/>
    <n v="249.57"/>
    <n v="249.57"/>
    <n v="2.1999999999999999E-2"/>
    <n v="2.1999999999999999E-2"/>
    <x v="0"/>
    <n v="8"/>
    <n v="1952.6356799999999"/>
    <n v="1447.12"/>
    <n v="505.51567999999997"/>
    <n v="0.25888888806948362"/>
    <n v="2.1999999999999999E-2"/>
    <n v="244.07945999999998"/>
    <n v="180.89"/>
    <n v="9.36"/>
    <n v="2284.5837455999999"/>
    <n v="1693.1303999999998"/>
    <n v="591.45334560000015"/>
    <n v="0.25888888806948368"/>
    <n v="331.94806560000006"/>
    <n v="505.51567999999997"/>
    <n v="0"/>
  </r>
  <r>
    <x v="175"/>
    <x v="160"/>
    <d v="2025-05-04T00:00:00"/>
    <s v="Q2-2025"/>
    <d v="2025-05-04T00:00:00"/>
    <n v="20"/>
    <x v="0"/>
    <x v="3"/>
    <x v="8"/>
    <x v="12"/>
    <s v="Enterprise"/>
    <x v="2"/>
    <x v="11"/>
    <x v="5"/>
    <s v="High"/>
    <x v="175"/>
    <n v="1413.87"/>
    <n v="3275"/>
    <n v="3275"/>
    <n v="0.255"/>
    <n v="0.255"/>
    <x v="1"/>
    <n v="38"/>
    <n v="92715.25"/>
    <n v="53727.06"/>
    <n v="38988.19"/>
    <n v="0.42051539525590453"/>
    <n v="0.17"/>
    <n v="2718.25"/>
    <n v="1413.87"/>
    <n v="44.459999999999994"/>
    <n v="120853.39499999999"/>
    <n v="62860.660199999984"/>
    <n v="57992.734800000006"/>
    <n v="0.47986020417548064"/>
    <n v="28138.14499999999"/>
    <n v="38988.19"/>
    <n v="5.9344808919576109E-2"/>
  </r>
  <r>
    <x v="176"/>
    <x v="161"/>
    <d v="2023-09-11T00:00:00"/>
    <s v="Q3-2023"/>
    <d v="2023-09-11T00:00:00"/>
    <n v="15"/>
    <x v="0"/>
    <x v="3"/>
    <x v="8"/>
    <x v="21"/>
    <s v="Consumer"/>
    <x v="2"/>
    <x v="13"/>
    <x v="1"/>
    <s v="High"/>
    <x v="176"/>
    <n v="943.79"/>
    <n v="1913.76"/>
    <n v="1913.76"/>
    <n v="9.0999999999999998E-2"/>
    <n v="9.0999999999999998E-2"/>
    <x v="0"/>
    <n v="9"/>
    <n v="15656.47056"/>
    <n v="8494.11"/>
    <n v="7162.3605599999992"/>
    <n v="0.45746967891338081"/>
    <n v="9.0999999999999998E-2"/>
    <n v="1739.6078400000001"/>
    <n v="943.79"/>
    <n v="10.53"/>
    <n v="18318.0705552"/>
    <n v="9938.1086999999989"/>
    <n v="8379.9618552000011"/>
    <n v="0.45746967891338092"/>
    <n v="2661.5999952000002"/>
    <n v="7162.3605599999992"/>
    <n v="0"/>
  </r>
  <r>
    <x v="177"/>
    <x v="162"/>
    <d v="2024-02-21T00:00:00"/>
    <s v="Q1-2024"/>
    <d v="2024-02-21T00:00:00"/>
    <n v="18"/>
    <x v="0"/>
    <x v="3"/>
    <x v="6"/>
    <x v="37"/>
    <s v="Corporate"/>
    <x v="0"/>
    <x v="10"/>
    <x v="0"/>
    <s v="Low"/>
    <x v="177"/>
    <n v="39.229999999999997"/>
    <n v="30.09"/>
    <n v="30.09"/>
    <n v="0.17699999999999999"/>
    <n v="0.17699999999999999"/>
    <x v="0"/>
    <n v="13"/>
    <n v="321.93290999999999"/>
    <n v="509.98999999999995"/>
    <n v="-188.05708999999996"/>
    <n v="-0.58414993981199359"/>
    <n v="0.17"/>
    <n v="24.974699999999999"/>
    <n v="39.229999999999997"/>
    <n v="15.209999999999999"/>
    <n v="379.86518699999993"/>
    <n v="596.68829999999991"/>
    <n v="-216.82311299999998"/>
    <n v="-0.5707896391147842"/>
    <n v="57.932276999999942"/>
    <n v="-188.05708999999996"/>
    <n v="1.3360300697209393E-2"/>
  </r>
  <r>
    <x v="178"/>
    <x v="163"/>
    <d v="2023-04-16T00:00:00"/>
    <s v="Q2-2023"/>
    <d v="2023-04-16T00:00:00"/>
    <n v="11"/>
    <x v="0"/>
    <x v="2"/>
    <x v="3"/>
    <x v="26"/>
    <s v="Non-Profit"/>
    <x v="1"/>
    <x v="7"/>
    <x v="5"/>
    <s v="Low"/>
    <x v="178"/>
    <n v="213.1"/>
    <n v="501.31"/>
    <n v="501.31"/>
    <n v="5.6000000000000001E-2"/>
    <n v="5.6000000000000001E-2"/>
    <x v="0"/>
    <n v="15"/>
    <n v="7098.5495999999994"/>
    <n v="3196.5"/>
    <n v="3902.0495999999994"/>
    <n v="0.54969674368409005"/>
    <n v="5.6000000000000001E-2"/>
    <n v="473.23663999999997"/>
    <n v="213.1"/>
    <n v="17.549999999999997"/>
    <n v="8305.303031999998"/>
    <n v="3739.9049999999993"/>
    <n v="4565.3980319999991"/>
    <n v="0.54969674368409005"/>
    <n v="1206.7534319999986"/>
    <n v="3902.0495999999994"/>
    <n v="0"/>
  </r>
  <r>
    <x v="179"/>
    <x v="164"/>
    <d v="2025-09-12T00:00:00"/>
    <s v="Q3-2025"/>
    <d v="2025-09-12T00:00:00"/>
    <n v="22"/>
    <x v="0"/>
    <x v="1"/>
    <x v="9"/>
    <x v="14"/>
    <s v="Education"/>
    <x v="0"/>
    <x v="5"/>
    <x v="1"/>
    <s v="Low"/>
    <x v="179"/>
    <n v="352.66"/>
    <n v="411.18"/>
    <n v="411.18"/>
    <n v="0.17299999999999999"/>
    <n v="0.17299999999999999"/>
    <x v="0"/>
    <n v="13"/>
    <n v="4420.5961799999995"/>
    <n v="4584.58"/>
    <n v="-163.98382000000038"/>
    <n v="-3.7095408248758066E-2"/>
    <n v="0.17"/>
    <n v="341.27940000000001"/>
    <n v="352.66"/>
    <n v="15.209999999999999"/>
    <n v="5190.8596740000003"/>
    <n v="5363.9585999999999"/>
    <n v="-173.09892599999966"/>
    <n v="-3.3346870628581674E-2"/>
    <n v="770.26349400000072"/>
    <n v="-163.98382000000038"/>
    <n v="3.7485376201763926E-3"/>
  </r>
  <r>
    <x v="180"/>
    <x v="165"/>
    <d v="2025-09-18T00:00:00"/>
    <s v="Q3-2025"/>
    <d v="2025-09-18T00:00:00"/>
    <n v="3"/>
    <x v="1"/>
    <x v="2"/>
    <x v="5"/>
    <x v="30"/>
    <s v="Non-Profit"/>
    <x v="4"/>
    <x v="4"/>
    <x v="6"/>
    <s v="Low"/>
    <x v="180"/>
    <n v="5.5"/>
    <n v="5.92"/>
    <n v="5.92"/>
    <n v="0.21199999999999999"/>
    <n v="0.21199999999999999"/>
    <x v="1"/>
    <n v="4"/>
    <n v="18.659839999999999"/>
    <n v="22"/>
    <n v="-3.3401600000000009"/>
    <n v="-0.17900260666758133"/>
    <n v="0.17"/>
    <n v="4.9135999999999997"/>
    <n v="5.5"/>
    <n v="4.68"/>
    <n v="22.995647999999996"/>
    <n v="25.74"/>
    <n v="-2.7443520000000028"/>
    <n v="-0.11934223380006527"/>
    <n v="4.3358079999999966"/>
    <n v="-3.3401600000000009"/>
    <n v="5.9660372867516062E-2"/>
  </r>
  <r>
    <x v="181"/>
    <x v="166"/>
    <d v="2024-10-11T00:00:00"/>
    <s v="Q4-2024"/>
    <d v="2024-10-11T00:00:00"/>
    <n v="8"/>
    <x v="0"/>
    <x v="1"/>
    <x v="9"/>
    <x v="38"/>
    <s v="Enterprise"/>
    <x v="4"/>
    <x v="5"/>
    <x v="3"/>
    <s v="High"/>
    <x v="181"/>
    <n v="1132.6099999999999"/>
    <n v="2206.63"/>
    <n v="2206.63"/>
    <n v="6.3E-2"/>
    <n v="6.3E-2"/>
    <x v="0"/>
    <n v="20"/>
    <n v="41352.246200000009"/>
    <n v="22652.199999999997"/>
    <n v="18700.046200000012"/>
    <n v="0.45221355351671338"/>
    <n v="6.3E-2"/>
    <n v="2067.6123100000004"/>
    <n v="1132.6099999999999"/>
    <n v="23.4"/>
    <n v="48382.128054000008"/>
    <n v="26503.073999999997"/>
    <n v="21879.054054000011"/>
    <n v="0.45221355351671333"/>
    <n v="7029.8818539999993"/>
    <n v="18700.046200000012"/>
    <n v="0"/>
  </r>
  <r>
    <x v="182"/>
    <x v="167"/>
    <d v="2025-03-04T00:00:00"/>
    <s v="Q1-2025"/>
    <d v="2025-03-04T00:00:00"/>
    <n v="30"/>
    <x v="0"/>
    <x v="1"/>
    <x v="2"/>
    <x v="4"/>
    <s v="Education"/>
    <x v="3"/>
    <x v="4"/>
    <x v="6"/>
    <s v="High"/>
    <x v="182"/>
    <n v="766.59"/>
    <n v="1912.8"/>
    <n v="1912.8"/>
    <n v="0.19600000000000001"/>
    <n v="0.19600000000000001"/>
    <x v="0"/>
    <n v="5"/>
    <n v="7689.4560000000001"/>
    <n v="3832.9500000000003"/>
    <n v="3856.5059999999999"/>
    <n v="0.50153170783472845"/>
    <n v="0.17"/>
    <n v="1587.6239999999998"/>
    <n v="766.59"/>
    <n v="5.85"/>
    <n v="9287.6003999999975"/>
    <n v="4484.5514999999996"/>
    <n v="4803.048899999998"/>
    <n v="0.51714637722785739"/>
    <n v="1598.1443999999974"/>
    <n v="3856.5059999999999"/>
    <n v="1.5614669393128944E-2"/>
  </r>
  <r>
    <x v="183"/>
    <x v="66"/>
    <d v="2023-08-23T00:00:00"/>
    <s v="Q3-2023"/>
    <d v="2023-08-23T00:00:00"/>
    <n v="4"/>
    <x v="1"/>
    <x v="0"/>
    <x v="1"/>
    <x v="7"/>
    <s v="Small Business"/>
    <x v="1"/>
    <x v="1"/>
    <x v="5"/>
    <s v="Medium"/>
    <x v="183"/>
    <n v="790.63"/>
    <n v="1382.31"/>
    <n v="1382.31"/>
    <n v="0.10100000000000001"/>
    <n v="0.10100000000000001"/>
    <x v="0"/>
    <n v="7"/>
    <n v="8698.8768300000011"/>
    <n v="5534.41"/>
    <n v="3164.4668300000012"/>
    <n v="0.36377878338116448"/>
    <n v="0.10100000000000001"/>
    <n v="1242.69669"/>
    <n v="790.63"/>
    <n v="8.19"/>
    <n v="10177.6858911"/>
    <n v="6475.2596999999996"/>
    <n v="3702.4261911000003"/>
    <n v="0.36377878338116443"/>
    <n v="1478.8090610999989"/>
    <n v="3164.4668300000012"/>
    <n v="0"/>
  </r>
  <r>
    <x v="184"/>
    <x v="168"/>
    <d v="2024-10-29T00:00:00"/>
    <s v="Q4-2024"/>
    <d v="2024-10-29T00:00:00"/>
    <n v="7"/>
    <x v="1"/>
    <x v="0"/>
    <x v="1"/>
    <x v="1"/>
    <s v="Enterprise"/>
    <x v="3"/>
    <x v="12"/>
    <x v="5"/>
    <s v="Medium"/>
    <x v="184"/>
    <n v="1023.06"/>
    <n v="1355.61"/>
    <n v="1355.61"/>
    <n v="0.153"/>
    <n v="0.153"/>
    <x v="0"/>
    <n v="23"/>
    <n v="26408.63841"/>
    <n v="23530.379999999997"/>
    <n v="2878.2584100000022"/>
    <n v="0.10898927711888809"/>
    <n v="0.153"/>
    <n v="1148.2016699999999"/>
    <n v="1023.06"/>
    <n v="26.909999999999997"/>
    <n v="30898.106939699996"/>
    <n v="27530.544599999994"/>
    <n v="3367.5623397000018"/>
    <n v="0.10898927711888808"/>
    <n v="4489.468529699996"/>
    <n v="2878.2584100000022"/>
    <n v="0"/>
  </r>
  <r>
    <x v="185"/>
    <x v="169"/>
    <d v="2023-07-21T00:00:00"/>
    <s v="Q2-2023"/>
    <d v="2023-07-21T00:00:00"/>
    <n v="29"/>
    <x v="0"/>
    <x v="3"/>
    <x v="7"/>
    <x v="17"/>
    <s v="Corporate"/>
    <x v="0"/>
    <x v="1"/>
    <x v="6"/>
    <s v="Medium"/>
    <x v="185"/>
    <n v="734.34"/>
    <n v="887.9"/>
    <n v="887.9"/>
    <n v="2.5000000000000001E-2"/>
    <n v="2.5000000000000001E-2"/>
    <x v="0"/>
    <n v="12"/>
    <n v="10388.429999999998"/>
    <n v="8812.08"/>
    <n v="1576.3499999999985"/>
    <n v="0.15174092716608753"/>
    <n v="2.5000000000000001E-2"/>
    <n v="865.70249999999999"/>
    <n v="734.34"/>
    <n v="14.04"/>
    <n v="12154.463099999999"/>
    <n v="10310.133599999999"/>
    <n v="1844.3294999999998"/>
    <n v="0.15174092716608764"/>
    <n v="1766.0331000000006"/>
    <n v="1576.3499999999985"/>
    <n v="0"/>
  </r>
  <r>
    <x v="186"/>
    <x v="170"/>
    <d v="2025-02-08T00:00:00"/>
    <s v="Q1-2025"/>
    <d v="2025-02-08T00:00:00"/>
    <n v="26"/>
    <x v="0"/>
    <x v="3"/>
    <x v="7"/>
    <x v="28"/>
    <s v="Non-Profit"/>
    <x v="5"/>
    <x v="6"/>
    <x v="5"/>
    <s v="Medium"/>
    <x v="186"/>
    <n v="594.74"/>
    <n v="1020.69"/>
    <n v="1020.69"/>
    <n v="0.21099999999999999"/>
    <n v="0.21099999999999999"/>
    <x v="1"/>
    <n v="6"/>
    <n v="4831.9464600000001"/>
    <n v="3568.44"/>
    <n v="1263.5064600000001"/>
    <n v="0.26149016146176424"/>
    <n v="0.17"/>
    <n v="847.17269999999996"/>
    <n v="594.74"/>
    <n v="7.02"/>
    <n v="5947.1523539999998"/>
    <n v="4175.0747999999994"/>
    <n v="1772.0775540000004"/>
    <n v="0.29797076794377353"/>
    <n v="1115.2058939999997"/>
    <n v="1263.5064600000001"/>
    <n v="3.6480606482009292E-2"/>
  </r>
  <r>
    <x v="187"/>
    <x v="171"/>
    <d v="2023-07-31T00:00:00"/>
    <s v="Q3-2023"/>
    <d v="2023-07-31T00:00:00"/>
    <n v="12"/>
    <x v="0"/>
    <x v="2"/>
    <x v="5"/>
    <x v="30"/>
    <s v="Corporate"/>
    <x v="0"/>
    <x v="0"/>
    <x v="5"/>
    <s v="High"/>
    <x v="187"/>
    <n v="1334.64"/>
    <n v="2273.42"/>
    <n v="2273.42"/>
    <n v="0.11799999999999999"/>
    <n v="0.11799999999999999"/>
    <x v="0"/>
    <n v="14"/>
    <n v="28072.190160000002"/>
    <n v="18684.960000000003"/>
    <n v="9387.2301599999992"/>
    <n v="0.33439607335575267"/>
    <n v="0.11799999999999999"/>
    <n v="2005.15644"/>
    <n v="1334.64"/>
    <n v="16.38"/>
    <n v="32844.462487199999"/>
    <n v="21861.403200000001"/>
    <n v="10983.059287199998"/>
    <n v="0.33439607335575267"/>
    <n v="4772.2723271999967"/>
    <n v="9387.2301599999992"/>
    <n v="0"/>
  </r>
  <r>
    <x v="188"/>
    <x v="172"/>
    <d v="2024-06-08T00:00:00"/>
    <s v="Q2-2024"/>
    <d v="2024-06-08T00:00:00"/>
    <n v="20"/>
    <x v="0"/>
    <x v="2"/>
    <x v="5"/>
    <x v="10"/>
    <s v="Small Business"/>
    <x v="0"/>
    <x v="6"/>
    <x v="5"/>
    <s v="Medium"/>
    <x v="188"/>
    <n v="1075.9000000000001"/>
    <n v="1242.1500000000001"/>
    <n v="1242.1500000000001"/>
    <n v="1.2E-2"/>
    <n v="1.2E-2"/>
    <x v="0"/>
    <n v="7"/>
    <n v="8590.7094000000016"/>
    <n v="7531.3000000000011"/>
    <n v="1059.4094000000005"/>
    <n v="0.12332036280961853"/>
    <n v="1.2E-2"/>
    <n v="1227.2442000000001"/>
    <n v="1075.9000000000001"/>
    <n v="8.19"/>
    <n v="10051.129998"/>
    <n v="8811.621000000001"/>
    <n v="1239.5089979999993"/>
    <n v="0.12332036280961842"/>
    <n v="1460.4205979999988"/>
    <n v="1059.4094000000005"/>
    <n v="-1.1102230246251565E-16"/>
  </r>
  <r>
    <x v="189"/>
    <x v="162"/>
    <d v="2024-02-19T00:00:00"/>
    <s v="Q1-2024"/>
    <d v="2024-02-19T00:00:00"/>
    <n v="16"/>
    <x v="0"/>
    <x v="1"/>
    <x v="9"/>
    <x v="14"/>
    <s v="Small Business"/>
    <x v="1"/>
    <x v="10"/>
    <x v="4"/>
    <s v="Medium"/>
    <x v="189"/>
    <n v="993.75"/>
    <n v="1310.29"/>
    <n v="1310.29"/>
    <n v="0.215"/>
    <n v="0.215"/>
    <x v="1"/>
    <n v="19"/>
    <n v="19542.975350000001"/>
    <n v="18881.25"/>
    <n v="661.72535000000062"/>
    <n v="3.3860010471742245E-2"/>
    <n v="0.17"/>
    <n v="1087.5407"/>
    <n v="993.75"/>
    <n v="22.229999999999997"/>
    <n v="24176.029760999998"/>
    <n v="22091.062499999996"/>
    <n v="2084.9672610000016"/>
    <n v="8.6241094241346627E-2"/>
    <n v="4633.0544109999973"/>
    <n v="661.72535000000062"/>
    <n v="5.2381083769604382E-2"/>
  </r>
  <r>
    <x v="190"/>
    <x v="173"/>
    <d v="2023-08-22T00:00:00"/>
    <s v="Q3-2023"/>
    <d v="2023-08-22T00:00:00"/>
    <n v="14"/>
    <x v="0"/>
    <x v="3"/>
    <x v="8"/>
    <x v="12"/>
    <s v="Non-Profit"/>
    <x v="4"/>
    <x v="13"/>
    <x v="5"/>
    <s v="Medium"/>
    <x v="190"/>
    <n v="446.69"/>
    <n v="967.25"/>
    <n v="967.25"/>
    <n v="9.4E-2"/>
    <n v="9.4E-2"/>
    <x v="0"/>
    <n v="10"/>
    <n v="8763.2849999999999"/>
    <n v="4466.8999999999996"/>
    <n v="4296.3850000000002"/>
    <n v="0.49027105702941309"/>
    <n v="9.4E-2"/>
    <n v="876.32850000000008"/>
    <n v="446.69"/>
    <n v="11.7"/>
    <n v="10253.043450000001"/>
    <n v="5226.2729999999992"/>
    <n v="5026.7704500000018"/>
    <n v="0.4902710570294132"/>
    <n v="1489.7584500000012"/>
    <n v="4296.3850000000002"/>
    <n v="0"/>
  </r>
  <r>
    <x v="191"/>
    <x v="174"/>
    <d v="2024-09-03T00:00:00"/>
    <s v="Q3-2024"/>
    <d v="2024-09-03T00:00:00"/>
    <n v="22"/>
    <x v="0"/>
    <x v="2"/>
    <x v="10"/>
    <x v="36"/>
    <s v="Consumer"/>
    <x v="3"/>
    <x v="2"/>
    <x v="4"/>
    <s v="Low"/>
    <x v="191"/>
    <n v="797.8"/>
    <n v="886.22"/>
    <n v="886.22"/>
    <n v="0.23599999999999999"/>
    <n v="0.23599999999999999"/>
    <x v="1"/>
    <n v="36"/>
    <n v="24374.594880000001"/>
    <n v="28720.799999999999"/>
    <n v="-4346.2051199999987"/>
    <n v="-0.17830881462428633"/>
    <n v="0.17"/>
    <n v="735.56259999999997"/>
    <n v="797.8"/>
    <n v="42.12"/>
    <n v="30981.896711999998"/>
    <n v="33603.335999999996"/>
    <n v="-2621.4392879999978"/>
    <n v="-8.4611969124041855E-2"/>
    <n v="6607.3018319999974"/>
    <n v="-4346.2051199999987"/>
    <n v="9.3696845500244472E-2"/>
  </r>
  <r>
    <x v="192"/>
    <x v="175"/>
    <d v="2023-11-13T00:00:00"/>
    <s v="Q4-2023"/>
    <d v="2023-11-13T00:00:00"/>
    <n v="29"/>
    <x v="0"/>
    <x v="1"/>
    <x v="9"/>
    <x v="14"/>
    <s v="Non-Profit"/>
    <x v="3"/>
    <x v="1"/>
    <x v="1"/>
    <s v="Medium"/>
    <x v="192"/>
    <n v="986.44"/>
    <n v="790.61"/>
    <n v="790.61"/>
    <n v="7.1999999999999995E-2"/>
    <n v="7.1999999999999995E-2"/>
    <x v="0"/>
    <n v="6"/>
    <n v="4402.1164799999997"/>
    <n v="5918.64"/>
    <n v="-1516.5235200000006"/>
    <n v="-0.34449872621271499"/>
    <n v="7.1999999999999995E-2"/>
    <n v="733.68608000000006"/>
    <n v="986.44"/>
    <n v="7.02"/>
    <n v="5150.4762816000002"/>
    <n v="6924.8087999999998"/>
    <n v="-1774.3325183999996"/>
    <n v="-0.34449872621271477"/>
    <n v="748.35980160000054"/>
    <n v="-1516.5235200000006"/>
    <n v="0"/>
  </r>
  <r>
    <x v="193"/>
    <x v="176"/>
    <d v="2023-05-26T00:00:00"/>
    <s v="Q2-2023"/>
    <d v="2023-05-26T00:00:00"/>
    <n v="22"/>
    <x v="0"/>
    <x v="2"/>
    <x v="10"/>
    <x v="24"/>
    <s v="Enterprise"/>
    <x v="1"/>
    <x v="1"/>
    <x v="2"/>
    <s v="Low"/>
    <x v="193"/>
    <n v="249.71"/>
    <n v="361.33"/>
    <n v="361.33"/>
    <n v="9.4E-2"/>
    <n v="9.4E-2"/>
    <x v="0"/>
    <n v="12"/>
    <n v="3928.3797600000003"/>
    <n v="2996.52"/>
    <n v="931.85976000000028"/>
    <n v="0.23721223937881206"/>
    <n v="9.4E-2"/>
    <n v="327.36498"/>
    <n v="249.71"/>
    <n v="14.04"/>
    <n v="4596.2043192000001"/>
    <n v="3505.9283999999998"/>
    <n v="1090.2759192000003"/>
    <n v="0.23721223937881206"/>
    <n v="667.82455919999984"/>
    <n v="931.85976000000028"/>
    <n v="0"/>
  </r>
  <r>
    <x v="194"/>
    <x v="177"/>
    <d v="2024-10-01T00:00:00"/>
    <s v="Q3-2024"/>
    <d v="2024-10-01T00:00:00"/>
    <n v="9"/>
    <x v="0"/>
    <x v="2"/>
    <x v="5"/>
    <x v="8"/>
    <s v="Non-Profit"/>
    <x v="1"/>
    <x v="11"/>
    <x v="5"/>
    <s v="High"/>
    <x v="194"/>
    <n v="1378.8"/>
    <n v="1952.04"/>
    <n v="1952.04"/>
    <n v="0.159"/>
    <n v="0.159"/>
    <x v="0"/>
    <n v="19"/>
    <n v="31191.64716"/>
    <n v="26197.200000000001"/>
    <n v="4994.4471599999997"/>
    <n v="0.16012130216723058"/>
    <n v="0.159"/>
    <n v="1641.6656399999999"/>
    <n v="1378.8"/>
    <n v="22.229999999999997"/>
    <n v="36494.227177199995"/>
    <n v="30650.723999999995"/>
    <n v="5843.5031772000002"/>
    <n v="0.16012130216723061"/>
    <n v="5302.5800171999945"/>
    <n v="4994.4471599999997"/>
    <n v="0"/>
  </r>
  <r>
    <x v="195"/>
    <x v="1"/>
    <d v="2024-11-14T00:00:00"/>
    <s v="Q4-2024"/>
    <d v="2024-11-14T00:00:00"/>
    <n v="22"/>
    <x v="0"/>
    <x v="1"/>
    <x v="2"/>
    <x v="4"/>
    <s v="Non-Profit"/>
    <x v="4"/>
    <x v="5"/>
    <x v="3"/>
    <s v="High"/>
    <x v="195"/>
    <n v="1406.4"/>
    <n v="1564.76"/>
    <n v="1564.76"/>
    <n v="0.185"/>
    <n v="0.185"/>
    <x v="0"/>
    <n v="17"/>
    <n v="21679.749799999998"/>
    <n v="23908.800000000003"/>
    <n v="-2229.0502000000051"/>
    <n v="-0.10281715520536151"/>
    <n v="0.17"/>
    <n v="1298.7508"/>
    <n v="1406.4"/>
    <n v="19.89"/>
    <n v="25832.153412"/>
    <n v="27973.296000000002"/>
    <n v="-2141.1425880000024"/>
    <n v="-8.2886724689601829E-2"/>
    <n v="4152.4036120000019"/>
    <n v="-2229.0502000000051"/>
    <n v="1.9930430515759684E-2"/>
  </r>
  <r>
    <x v="196"/>
    <x v="178"/>
    <d v="2024-03-03T00:00:00"/>
    <s v="Q1-2024"/>
    <d v="2024-03-03T00:00:00"/>
    <n v="21"/>
    <x v="0"/>
    <x v="0"/>
    <x v="0"/>
    <x v="0"/>
    <s v="Enterprise"/>
    <x v="1"/>
    <x v="5"/>
    <x v="3"/>
    <s v="Low"/>
    <x v="196"/>
    <n v="516.86"/>
    <n v="852.54"/>
    <n v="852.54"/>
    <n v="5.0999999999999997E-2"/>
    <n v="5.0999999999999997E-2"/>
    <x v="0"/>
    <n v="14"/>
    <n v="11326.846439999999"/>
    <n v="7236.04"/>
    <n v="4090.8064399999994"/>
    <n v="0.36116022775355994"/>
    <n v="5.0999999999999997E-2"/>
    <n v="809.06045999999992"/>
    <n v="516.86"/>
    <n v="16.38"/>
    <n v="13252.410334799997"/>
    <n v="8466.1667999999991"/>
    <n v="4786.2435347999981"/>
    <n v="0.36116022775355988"/>
    <n v="1925.5638947999978"/>
    <n v="4090.8064399999994"/>
    <n v="0"/>
  </r>
  <r>
    <x v="197"/>
    <x v="179"/>
    <d v="2023-02-21T00:00:00"/>
    <s v="Q1-2023"/>
    <d v="2023-02-21T00:00:00"/>
    <n v="22"/>
    <x v="0"/>
    <x v="3"/>
    <x v="6"/>
    <x v="22"/>
    <s v="Small Business"/>
    <x v="2"/>
    <x v="3"/>
    <x v="2"/>
    <s v="Medium"/>
    <x v="197"/>
    <n v="1142.8800000000001"/>
    <n v="1465.29"/>
    <n v="1465.29"/>
    <n v="0.186"/>
    <n v="0.186"/>
    <x v="0"/>
    <n v="7"/>
    <n v="8349.2224200000001"/>
    <n v="8000.1600000000008"/>
    <n v="349.06241999999929"/>
    <n v="4.1807775915017401E-2"/>
    <n v="0.17"/>
    <n v="1216.1906999999999"/>
    <n v="1142.8800000000001"/>
    <n v="8.19"/>
    <n v="9960.6018329999988"/>
    <n v="9360.1872000000003"/>
    <n v="600.4146329999985"/>
    <n v="6.0278951319065195E-2"/>
    <n v="1611.3794129999987"/>
    <n v="349.06241999999929"/>
    <n v="1.8471175404047795E-2"/>
  </r>
  <r>
    <x v="198"/>
    <x v="27"/>
    <d v="2023-05-13T00:00:00"/>
    <s v="Q2-2023"/>
    <d v="2023-05-13T00:00:00"/>
    <n v="29"/>
    <x v="0"/>
    <x v="3"/>
    <x v="6"/>
    <x v="37"/>
    <s v="Consumer"/>
    <x v="4"/>
    <x v="1"/>
    <x v="1"/>
    <s v="High"/>
    <x v="198"/>
    <n v="1320.33"/>
    <n v="2645.23"/>
    <n v="2645.23"/>
    <n v="0.155"/>
    <n v="0.155"/>
    <x v="0"/>
    <n v="25"/>
    <n v="55880.483749999999"/>
    <n v="33008.25"/>
    <n v="22872.233749999999"/>
    <n v="0.40930629470436536"/>
    <n v="0.155"/>
    <n v="2235.2193499999998"/>
    <n v="1320.33"/>
    <n v="29.25"/>
    <n v="65380.165987499997"/>
    <n v="38619.652499999997"/>
    <n v="26760.5134875"/>
    <n v="0.40930629470436541"/>
    <n v="9499.6822374999974"/>
    <n v="22872.233749999999"/>
    <n v="0"/>
  </r>
  <r>
    <x v="199"/>
    <x v="180"/>
    <d v="2023-01-19T00:00:00"/>
    <s v="Q1-2023"/>
    <d v="2023-01-19T00:00:00"/>
    <n v="6"/>
    <x v="1"/>
    <x v="2"/>
    <x v="10"/>
    <x v="15"/>
    <s v="Corporate"/>
    <x v="4"/>
    <x v="10"/>
    <x v="3"/>
    <s v="Medium"/>
    <x v="199"/>
    <n v="833.57"/>
    <n v="881.57"/>
    <n v="881.57"/>
    <n v="5.7000000000000002E-2"/>
    <n v="5.7000000000000002E-2"/>
    <x v="0"/>
    <n v="18"/>
    <n v="14963.769179999999"/>
    <n v="15004.26"/>
    <n v="-40.490820000000895"/>
    <n v="-2.7059238560107821E-3"/>
    <n v="5.7000000000000002E-2"/>
    <n v="831.32051000000001"/>
    <n v="833.57"/>
    <n v="21.06"/>
    <n v="17507.609940599999"/>
    <n v="17554.984199999999"/>
    <n v="-47.374259399999573"/>
    <n v="-2.7059238560106979E-3"/>
    <n v="2543.8407606000001"/>
    <n v="-40.490820000000895"/>
    <n v="8.4134088584875144E-17"/>
  </r>
  <r>
    <x v="200"/>
    <x v="181"/>
    <d v="2024-01-29T00:00:00"/>
    <s v="Q1-2024"/>
    <d v="2024-01-29T00:00:00"/>
    <n v="17"/>
    <x v="0"/>
    <x v="2"/>
    <x v="10"/>
    <x v="15"/>
    <s v="Education"/>
    <x v="3"/>
    <x v="8"/>
    <x v="1"/>
    <s v="Low"/>
    <x v="200"/>
    <n v="493.76"/>
    <n v="625.04"/>
    <n v="625.04"/>
    <n v="0.25800000000000001"/>
    <n v="0.25800000000000001"/>
    <x v="1"/>
    <n v="10"/>
    <n v="4637.7968000000001"/>
    <n v="4937.6000000000004"/>
    <n v="-299.80320000000029"/>
    <n v="-6.464345311549663E-2"/>
    <n v="0.17"/>
    <n v="518.78319999999997"/>
    <n v="493.76"/>
    <n v="11.7"/>
    <n v="6069.7634399999988"/>
    <n v="5776.9919999999993"/>
    <n v="292.77143999999953"/>
    <n v="4.8234406973857218E-2"/>
    <n v="1431.9666399999987"/>
    <n v="-299.80320000000029"/>
    <n v="0.11287786008935385"/>
  </r>
  <r>
    <x v="201"/>
    <x v="182"/>
    <d v="2023-09-07T00:00:00"/>
    <s v="Q3-2023"/>
    <d v="2023-09-07T00:00:00"/>
    <n v="23"/>
    <x v="0"/>
    <x v="2"/>
    <x v="10"/>
    <x v="39"/>
    <s v="Enterprise"/>
    <x v="1"/>
    <x v="11"/>
    <x v="3"/>
    <s v="Medium"/>
    <x v="201"/>
    <n v="590.33000000000004"/>
    <n v="973.04"/>
    <n v="973.04"/>
    <n v="0"/>
    <n v="0"/>
    <x v="0"/>
    <n v="26"/>
    <n v="25299.040000000001"/>
    <n v="15348.580000000002"/>
    <n v="9950.4599999999991"/>
    <n v="0.39331373838691108"/>
    <n v="0"/>
    <n v="973.04"/>
    <n v="590.33000000000004"/>
    <n v="30.419999999999998"/>
    <n v="29599.876799999998"/>
    <n v="17957.838599999999"/>
    <n v="11642.038199999999"/>
    <n v="0.39331373838691114"/>
    <n v="4300.8367999999973"/>
    <n v="9950.4599999999991"/>
    <n v="0"/>
  </r>
  <r>
    <x v="202"/>
    <x v="183"/>
    <d v="2023-02-03T00:00:00"/>
    <s v="Q1-2023"/>
    <d v="2023-02-03T00:00:00"/>
    <n v="14"/>
    <x v="0"/>
    <x v="0"/>
    <x v="0"/>
    <x v="0"/>
    <s v="Corporate"/>
    <x v="0"/>
    <x v="12"/>
    <x v="2"/>
    <s v="Medium"/>
    <x v="202"/>
    <n v="884.36"/>
    <n v="1545.34"/>
    <n v="1545.34"/>
    <n v="0.24299999999999999"/>
    <n v="0.24299999999999999"/>
    <x v="1"/>
    <n v="41"/>
    <n v="47962.717579999997"/>
    <n v="36258.76"/>
    <n v="11703.957579999995"/>
    <n v="0.24402198562827965"/>
    <n v="0.17"/>
    <n v="1282.6321999999998"/>
    <n v="884.36"/>
    <n v="47.97"/>
    <n v="61527.866633999991"/>
    <n v="42422.749199999998"/>
    <n v="19105.117433999992"/>
    <n v="0.31051161821759965"/>
    <n v="13565.149053999994"/>
    <n v="11703.957579999995"/>
    <n v="6.6489632589320002E-2"/>
  </r>
  <r>
    <x v="203"/>
    <x v="184"/>
    <d v="2025-02-25T00:00:00"/>
    <s v="Q1-2025"/>
    <d v="2025-02-25T00:00:00"/>
    <n v="21"/>
    <x v="0"/>
    <x v="3"/>
    <x v="8"/>
    <x v="12"/>
    <s v="Corporate"/>
    <x v="2"/>
    <x v="14"/>
    <x v="5"/>
    <s v="High"/>
    <x v="203"/>
    <n v="1016.32"/>
    <n v="2253.42"/>
    <n v="2253.42"/>
    <n v="5.5E-2"/>
    <n v="5.5E-2"/>
    <x v="0"/>
    <n v="12"/>
    <n v="25553.782800000001"/>
    <n v="12195.84"/>
    <n v="13357.942800000001"/>
    <n v="0.52273837124419797"/>
    <n v="5.5E-2"/>
    <n v="2129.4818999999998"/>
    <n v="1016.32"/>
    <n v="14.04"/>
    <n v="29897.925875999994"/>
    <n v="14269.132799999999"/>
    <n v="15628.793075999994"/>
    <n v="0.52273837124419786"/>
    <n v="4344.143075999993"/>
    <n v="13357.942800000001"/>
    <n v="0"/>
  </r>
  <r>
    <x v="204"/>
    <x v="43"/>
    <d v="2023-04-28T00:00:00"/>
    <s v="Q2-2023"/>
    <d v="2023-04-28T00:00:00"/>
    <n v="9"/>
    <x v="0"/>
    <x v="3"/>
    <x v="6"/>
    <x v="9"/>
    <s v="Education"/>
    <x v="1"/>
    <x v="6"/>
    <x v="5"/>
    <s v="High"/>
    <x v="204"/>
    <n v="1178.42"/>
    <n v="2446.56"/>
    <n v="2446.56"/>
    <n v="2.9000000000000001E-2"/>
    <n v="2.9000000000000001E-2"/>
    <x v="0"/>
    <n v="11"/>
    <n v="26131.70736"/>
    <n v="12962.62"/>
    <n v="13169.08736"/>
    <n v="0.5039505141618883"/>
    <n v="2.9000000000000001E-2"/>
    <n v="2375.6097599999998"/>
    <n v="1178.42"/>
    <n v="12.87"/>
    <n v="30574.097611199995"/>
    <n v="15166.2654"/>
    <n v="15407.832211199995"/>
    <n v="0.50395051416188819"/>
    <n v="4442.390251199995"/>
    <n v="13169.08736"/>
    <n v="0"/>
  </r>
  <r>
    <x v="205"/>
    <x v="185"/>
    <d v="2023-08-01T00:00:00"/>
    <s v="Q3-2023"/>
    <d v="2023-08-01T00:00:00"/>
    <n v="30"/>
    <x v="0"/>
    <x v="3"/>
    <x v="8"/>
    <x v="12"/>
    <s v="Small Business"/>
    <x v="0"/>
    <x v="5"/>
    <x v="0"/>
    <s v="Low"/>
    <x v="205"/>
    <n v="137.46"/>
    <n v="188.3"/>
    <n v="188.3"/>
    <n v="3.7999999999999999E-2"/>
    <n v="3.7999999999999999E-2"/>
    <x v="0"/>
    <n v="37"/>
    <n v="6702.3501999999999"/>
    <n v="5086.0200000000004"/>
    <n v="1616.3301999999994"/>
    <n v="0.24115872071262398"/>
    <n v="3.7999999999999999E-2"/>
    <n v="181.1446"/>
    <n v="137.46"/>
    <n v="43.29"/>
    <n v="7841.749734"/>
    <n v="5950.6433999999999"/>
    <n v="1891.1063340000001"/>
    <n v="0.24115872071262406"/>
    <n v="1139.3995340000001"/>
    <n v="1616.3301999999994"/>
    <n v="0"/>
  </r>
  <r>
    <x v="206"/>
    <x v="51"/>
    <d v="2025-02-14T00:00:00"/>
    <s v="Q1-2025"/>
    <d v="2025-02-14T00:00:00"/>
    <n v="24"/>
    <x v="0"/>
    <x v="0"/>
    <x v="0"/>
    <x v="2"/>
    <s v="Small Business"/>
    <x v="0"/>
    <x v="1"/>
    <x v="6"/>
    <s v="High"/>
    <x v="206"/>
    <n v="1030.44"/>
    <n v="2562.84"/>
    <n v="2562.84"/>
    <n v="0.14799999999999999"/>
    <n v="0.14799999999999999"/>
    <x v="0"/>
    <n v="13"/>
    <n v="28386.015839999996"/>
    <n v="13395.720000000001"/>
    <n v="14990.295839999995"/>
    <n v="0.52808734852027039"/>
    <n v="0.14799999999999999"/>
    <n v="2183.5396799999999"/>
    <n v="1030.44"/>
    <n v="15.209999999999999"/>
    <n v="33211.638532799996"/>
    <n v="15672.992399999999"/>
    <n v="17538.646132799997"/>
    <n v="0.52808734852027051"/>
    <n v="4825.6226927999996"/>
    <n v="14990.295839999995"/>
    <n v="0"/>
  </r>
  <r>
    <x v="207"/>
    <x v="186"/>
    <d v="2024-10-07T00:00:00"/>
    <s v="Q3-2024"/>
    <d v="2024-10-07T00:00:00"/>
    <n v="27"/>
    <x v="0"/>
    <x v="0"/>
    <x v="0"/>
    <x v="0"/>
    <s v="Consumer"/>
    <x v="0"/>
    <x v="4"/>
    <x v="1"/>
    <s v="High"/>
    <x v="207"/>
    <n v="1248.3900000000001"/>
    <n v="1805.11"/>
    <n v="1805.11"/>
    <n v="0.20300000000000001"/>
    <n v="0.20300000000000001"/>
    <x v="1"/>
    <n v="11"/>
    <n v="15825.399369999997"/>
    <n v="13732.29"/>
    <n v="2093.1093699999965"/>
    <n v="0.13226265707820786"/>
    <n v="0.17"/>
    <n v="1498.2412999999999"/>
    <n v="1248.3900000000001"/>
    <n v="12.87"/>
    <n v="19282.365530999999"/>
    <n v="16066.7793"/>
    <n v="3215.5862309999993"/>
    <n v="0.1667630574594359"/>
    <n v="3456.9661610000021"/>
    <n v="2093.1093699999965"/>
    <n v="3.4500400381228036E-2"/>
  </r>
  <r>
    <x v="208"/>
    <x v="187"/>
    <d v="2025-08-07T00:00:00"/>
    <s v="Q3-2025"/>
    <d v="2025-08-07T00:00:00"/>
    <n v="17"/>
    <x v="0"/>
    <x v="0"/>
    <x v="1"/>
    <x v="3"/>
    <s v="Enterprise"/>
    <x v="4"/>
    <x v="12"/>
    <x v="6"/>
    <s v="High"/>
    <x v="208"/>
    <n v="1204.95"/>
    <n v="2065.73"/>
    <n v="2065.73"/>
    <n v="0.13600000000000001"/>
    <n v="0.13600000000000001"/>
    <x v="0"/>
    <n v="10"/>
    <n v="17847.907199999998"/>
    <n v="12049.5"/>
    <n v="5798.4071999999978"/>
    <n v="0.32487882949100039"/>
    <n v="0.13600000000000001"/>
    <n v="1784.79072"/>
    <n v="1204.95"/>
    <n v="11.7"/>
    <n v="20882.051423999997"/>
    <n v="14097.914999999999"/>
    <n v="6784.1364239999984"/>
    <n v="0.32487882949100044"/>
    <n v="3034.1442239999997"/>
    <n v="5798.4071999999978"/>
    <n v="0"/>
  </r>
  <r>
    <x v="209"/>
    <x v="188"/>
    <d v="2024-10-23T00:00:00"/>
    <s v="Q4-2024"/>
    <d v="2024-10-23T00:00:00"/>
    <n v="21"/>
    <x v="0"/>
    <x v="0"/>
    <x v="11"/>
    <x v="25"/>
    <s v="Corporate"/>
    <x v="2"/>
    <x v="8"/>
    <x v="0"/>
    <s v="High"/>
    <x v="209"/>
    <n v="1095.6099999999999"/>
    <n v="2366.5100000000002"/>
    <n v="2366.5100000000002"/>
    <n v="0.152"/>
    <n v="0.152"/>
    <x v="0"/>
    <n v="9"/>
    <n v="18061.204320000004"/>
    <n v="9860.49"/>
    <n v="8200.7143200000046"/>
    <n v="0.4540513564158607"/>
    <n v="0.152"/>
    <n v="2006.8004800000001"/>
    <n v="1095.6099999999999"/>
    <n v="10.53"/>
    <n v="21131.6090544"/>
    <n v="11536.773299999999"/>
    <n v="9594.835754400001"/>
    <n v="0.45405135641586059"/>
    <n v="3070.4047343999955"/>
    <n v="8200.7143200000046"/>
    <n v="0"/>
  </r>
  <r>
    <x v="210"/>
    <x v="189"/>
    <d v="2025-08-04T00:00:00"/>
    <s v="Q3-2025"/>
    <d v="2025-08-04T00:00:00"/>
    <n v="21"/>
    <x v="0"/>
    <x v="2"/>
    <x v="3"/>
    <x v="19"/>
    <s v="Consumer"/>
    <x v="1"/>
    <x v="10"/>
    <x v="5"/>
    <s v="Low"/>
    <x v="210"/>
    <n v="90.3"/>
    <n v="131.76"/>
    <n v="131.76"/>
    <n v="0.10199999999999999"/>
    <n v="0.10199999999999999"/>
    <x v="0"/>
    <n v="15"/>
    <n v="1774.8072"/>
    <n v="1354.5"/>
    <n v="420.30719999999997"/>
    <n v="0.23681851189244668"/>
    <n v="0.10199999999999999"/>
    <n v="118.32047999999999"/>
    <n v="90.3"/>
    <n v="17.549999999999997"/>
    <n v="2076.5244239999993"/>
    <n v="1584.7649999999996"/>
    <n v="491.75942399999963"/>
    <n v="0.2368185118924466"/>
    <n v="301.71722399999931"/>
    <n v="420.30719999999997"/>
    <n v="0"/>
  </r>
  <r>
    <x v="211"/>
    <x v="190"/>
    <d v="2024-10-01T00:00:00"/>
    <s v="Q3-2024"/>
    <d v="2024-10-01T00:00:00"/>
    <n v="22"/>
    <x v="0"/>
    <x v="1"/>
    <x v="9"/>
    <x v="14"/>
    <s v="Consumer"/>
    <x v="4"/>
    <x v="4"/>
    <x v="1"/>
    <s v="Medium"/>
    <x v="211"/>
    <n v="1166.18"/>
    <n v="1335.02"/>
    <n v="1335.02"/>
    <n v="0.128"/>
    <n v="0.128"/>
    <x v="0"/>
    <n v="6"/>
    <n v="6984.8246399999998"/>
    <n v="6997.08"/>
    <n v="-12.25536000000011"/>
    <n v="-1.7545694604582242E-3"/>
    <n v="0.128"/>
    <n v="1164.13744"/>
    <n v="1166.18"/>
    <n v="7.02"/>
    <n v="8172.2448287999996"/>
    <n v="8186.5835999999999"/>
    <n v="-14.338771200000338"/>
    <n v="-1.7545694604582497E-3"/>
    <n v="1187.4201887999998"/>
    <n v="-12.25536000000011"/>
    <n v="-2.5587171270657905E-17"/>
  </r>
  <r>
    <x v="212"/>
    <x v="191"/>
    <d v="2025-02-06T00:00:00"/>
    <s v="Q1-2025"/>
    <d v="2025-02-06T00:00:00"/>
    <n v="8"/>
    <x v="0"/>
    <x v="0"/>
    <x v="0"/>
    <x v="0"/>
    <s v="Education"/>
    <x v="0"/>
    <x v="5"/>
    <x v="3"/>
    <s v="High"/>
    <x v="212"/>
    <n v="1445.27"/>
    <n v="2691.45"/>
    <n v="2691.45"/>
    <n v="0"/>
    <n v="0"/>
    <x v="0"/>
    <n v="9"/>
    <n v="24223.05"/>
    <n v="13007.43"/>
    <n v="11215.619999999999"/>
    <n v="0.46301436028906351"/>
    <n v="0"/>
    <n v="2691.45"/>
    <n v="1445.27"/>
    <n v="10.53"/>
    <n v="28340.968499999995"/>
    <n v="15218.693099999999"/>
    <n v="13122.275399999997"/>
    <n v="0.46301436028906345"/>
    <n v="4117.9184999999961"/>
    <n v="11215.619999999999"/>
    <n v="0"/>
  </r>
  <r>
    <x v="213"/>
    <x v="192"/>
    <d v="2023-11-28T00:00:00"/>
    <s v="Q4-2023"/>
    <d v="2023-11-28T00:00:00"/>
    <n v="18"/>
    <x v="0"/>
    <x v="2"/>
    <x v="5"/>
    <x v="10"/>
    <s v="Education"/>
    <x v="2"/>
    <x v="4"/>
    <x v="6"/>
    <s v="Low"/>
    <x v="213"/>
    <n v="388.51"/>
    <n v="776.46"/>
    <n v="776.46"/>
    <n v="0.157"/>
    <n v="0.157"/>
    <x v="0"/>
    <n v="12"/>
    <n v="7854.6693599999999"/>
    <n v="4662.12"/>
    <n v="3192.54936"/>
    <n v="0.40645241876864946"/>
    <n v="0.157"/>
    <n v="654.55578000000003"/>
    <n v="388.51"/>
    <n v="14.04"/>
    <n v="9189.9631511999996"/>
    <n v="5454.6803999999993"/>
    <n v="3735.2827512000003"/>
    <n v="0.40645241876864951"/>
    <n v="1335.2937911999998"/>
    <n v="3192.54936"/>
    <n v="0"/>
  </r>
  <r>
    <x v="214"/>
    <x v="193"/>
    <d v="2024-03-30T00:00:00"/>
    <s v="Q1-2024"/>
    <d v="2024-03-30T00:00:00"/>
    <n v="30"/>
    <x v="0"/>
    <x v="1"/>
    <x v="2"/>
    <x v="32"/>
    <s v="Small Business"/>
    <x v="4"/>
    <x v="2"/>
    <x v="2"/>
    <s v="Low"/>
    <x v="214"/>
    <n v="231.11"/>
    <n v="318.17"/>
    <n v="318.17"/>
    <n v="0.20100000000000001"/>
    <n v="0.20100000000000001"/>
    <x v="1"/>
    <n v="60"/>
    <n v="15253.069799999999"/>
    <n v="13866.6"/>
    <n v="1386.4697999999989"/>
    <n v="9.0897754889969692E-2"/>
    <n v="0.17"/>
    <n v="264.08109999999999"/>
    <n v="231.11"/>
    <n v="70.199999999999989"/>
    <n v="18538.493219999997"/>
    <n v="16223.921999999999"/>
    <n v="2314.571219999998"/>
    <n v="0.12485217609287441"/>
    <n v="3285.4234199999973"/>
    <n v="1386.4697999999989"/>
    <n v="3.3954421202904719E-2"/>
  </r>
  <r>
    <x v="215"/>
    <x v="194"/>
    <d v="2024-01-14T00:00:00"/>
    <s v="Q4-2023"/>
    <d v="2024-01-14T00:00:00"/>
    <n v="25"/>
    <x v="0"/>
    <x v="1"/>
    <x v="4"/>
    <x v="29"/>
    <s v="Non-Profit"/>
    <x v="2"/>
    <x v="4"/>
    <x v="5"/>
    <s v="Medium"/>
    <x v="215"/>
    <n v="1085.6099999999999"/>
    <n v="1246.4100000000001"/>
    <n v="1246.4100000000001"/>
    <n v="0.113"/>
    <n v="0.113"/>
    <x v="0"/>
    <n v="7"/>
    <n v="7738.9596900000006"/>
    <n v="7599.2699999999995"/>
    <n v="139.68969000000106"/>
    <n v="1.8050189637310417E-2"/>
    <n v="0.113"/>
    <n v="1105.5656700000002"/>
    <n v="1085.6099999999999"/>
    <n v="8.19"/>
    <n v="9054.5828373000004"/>
    <n v="8891.1458999999995"/>
    <n v="163.43693730000086"/>
    <n v="1.8050189637310379E-2"/>
    <n v="1315.6231472999998"/>
    <n v="139.68969000000106"/>
    <n v="-3.8163916471489756E-17"/>
  </r>
  <r>
    <x v="216"/>
    <x v="119"/>
    <d v="2023-01-21T00:00:00"/>
    <s v="Q1-2023"/>
    <d v="2023-02-10T00:00:00"/>
    <n v="19"/>
    <x v="0"/>
    <x v="3"/>
    <x v="6"/>
    <x v="22"/>
    <s v="Corporate"/>
    <x v="4"/>
    <x v="9"/>
    <x v="5"/>
    <s v="Low"/>
    <x v="216"/>
    <n v="150.86000000000001"/>
    <n v="346.96"/>
    <n v="346.96"/>
    <n v="0.19600000000000001"/>
    <n v="0.19600000000000001"/>
    <x v="0"/>
    <n v="8"/>
    <n v="2231.6467200000002"/>
    <n v="1206.8800000000001"/>
    <n v="1024.7667200000001"/>
    <n v="0.45919755614365343"/>
    <n v="0.17"/>
    <n v="287.97679999999997"/>
    <n v="150.86000000000001"/>
    <n v="9.36"/>
    <n v="2695.4628479999997"/>
    <n v="1412.0496000000001"/>
    <n v="1283.4132479999996"/>
    <n v="0.47613835558975576"/>
    <n v="463.81612799999948"/>
    <n v="1024.7667200000001"/>
    <n v="1.6940799446102328E-2"/>
  </r>
  <r>
    <x v="217"/>
    <x v="195"/>
    <d v="2024-11-09T00:00:00"/>
    <s v="Q4-2024"/>
    <d v="2024-11-09T00:00:00"/>
    <n v="29"/>
    <x v="0"/>
    <x v="1"/>
    <x v="9"/>
    <x v="23"/>
    <s v="Non-Profit"/>
    <x v="1"/>
    <x v="9"/>
    <x v="1"/>
    <s v="Low"/>
    <x v="217"/>
    <n v="391.64"/>
    <n v="504.76"/>
    <n v="504.76"/>
    <n v="4.0000000000000001E-3"/>
    <n v="4.0000000000000001E-3"/>
    <x v="0"/>
    <n v="13"/>
    <n v="6535.6324800000002"/>
    <n v="5091.32"/>
    <n v="1444.3124800000005"/>
    <n v="0.22099046793402319"/>
    <n v="4.0000000000000001E-3"/>
    <n v="502.74095999999997"/>
    <n v="391.64"/>
    <n v="15.209999999999999"/>
    <n v="7646.6900015999991"/>
    <n v="5956.844399999999"/>
    <n v="1689.8456016"/>
    <n v="0.22099046793402316"/>
    <n v="1111.0575215999988"/>
    <n v="1444.3124800000005"/>
    <n v="0"/>
  </r>
  <r>
    <x v="218"/>
    <x v="196"/>
    <d v="2024-10-14T00:00:00"/>
    <s v="Q3-2024"/>
    <d v="2024-10-14T00:00:00"/>
    <n v="25"/>
    <x v="0"/>
    <x v="2"/>
    <x v="5"/>
    <x v="30"/>
    <s v="Small Business"/>
    <x v="0"/>
    <x v="11"/>
    <x v="1"/>
    <s v="Medium"/>
    <x v="218"/>
    <n v="386.96"/>
    <n v="937.46"/>
    <n v="937.46"/>
    <n v="0.26600000000000001"/>
    <n v="0.26600000000000001"/>
    <x v="1"/>
    <n v="41"/>
    <n v="28211.92124"/>
    <n v="15865.359999999999"/>
    <n v="12346.561240000001"/>
    <n v="0.43763631462626335"/>
    <n v="0.17"/>
    <n v="778.09180000000003"/>
    <n v="386.96"/>
    <n v="47.97"/>
    <n v="37325.063646000002"/>
    <n v="18562.4712"/>
    <n v="18762.592446000002"/>
    <n v="0.50268078907912928"/>
    <n v="9113.1424060000027"/>
    <n v="12346.561240000001"/>
    <n v="6.504447445286593E-2"/>
  </r>
  <r>
    <x v="219"/>
    <x v="197"/>
    <d v="2025-09-24T00:00:00"/>
    <s v="Q3-2025"/>
    <d v="2025-09-24T00:00:00"/>
    <n v="30"/>
    <x v="0"/>
    <x v="0"/>
    <x v="0"/>
    <x v="2"/>
    <s v="Consumer"/>
    <x v="4"/>
    <x v="5"/>
    <x v="0"/>
    <s v="Medium"/>
    <x v="219"/>
    <n v="589.14"/>
    <n v="1300.58"/>
    <n v="1300.58"/>
    <n v="5.5E-2"/>
    <n v="5.5E-2"/>
    <x v="0"/>
    <n v="11"/>
    <n v="13519.529099999998"/>
    <n v="6480.54"/>
    <n v="7038.989099999998"/>
    <n v="0.52065342275863724"/>
    <n v="5.5E-2"/>
    <n v="1229.0481"/>
    <n v="589.14"/>
    <n v="12.87"/>
    <n v="15817.849046999998"/>
    <n v="7582.2317999999996"/>
    <n v="8235.6172469999983"/>
    <n v="0.52065342275863735"/>
    <n v="2298.319947"/>
    <n v="7038.989099999998"/>
    <n v="0"/>
  </r>
  <r>
    <x v="220"/>
    <x v="198"/>
    <d v="2023-10-02T00:00:00"/>
    <s v="Q3-2023"/>
    <d v="2023-10-02T00:00:00"/>
    <n v="7"/>
    <x v="1"/>
    <x v="2"/>
    <x v="10"/>
    <x v="39"/>
    <s v="Education"/>
    <x v="2"/>
    <x v="2"/>
    <x v="6"/>
    <s v="Low"/>
    <x v="220"/>
    <n v="145.58000000000001"/>
    <n v="228.15"/>
    <n v="228.15"/>
    <n v="0.20399999999999999"/>
    <n v="0.20399999999999999"/>
    <x v="1"/>
    <n v="5"/>
    <n v="908.03700000000003"/>
    <n v="727.90000000000009"/>
    <n v="180.13699999999994"/>
    <n v="0.19838068272548359"/>
    <n v="0.17"/>
    <n v="189.36449999999999"/>
    <n v="145.58000000000001"/>
    <n v="5.85"/>
    <n v="1107.7823249999999"/>
    <n v="851.64300000000003"/>
    <n v="256.13932499999987"/>
    <n v="0.23121810054154809"/>
    <n v="199.74532499999987"/>
    <n v="180.13699999999994"/>
    <n v="3.2837417816064501E-2"/>
  </r>
  <r>
    <x v="221"/>
    <x v="199"/>
    <d v="2023-09-10T00:00:00"/>
    <s v="Q3-2023"/>
    <d v="2023-09-10T00:00:00"/>
    <n v="15"/>
    <x v="0"/>
    <x v="0"/>
    <x v="11"/>
    <x v="33"/>
    <s v="Non-Profit"/>
    <x v="4"/>
    <x v="13"/>
    <x v="0"/>
    <s v="Low"/>
    <x v="221"/>
    <n v="241.14"/>
    <n v="496.52"/>
    <n v="496.52"/>
    <n v="9.2999999999999999E-2"/>
    <n v="9.2999999999999999E-2"/>
    <x v="0"/>
    <n v="10"/>
    <n v="4503.4363999999996"/>
    <n v="2411.3999999999996"/>
    <n v="2092.0364"/>
    <n v="0.46454223268257994"/>
    <n v="9.2999999999999999E-2"/>
    <n v="450.34363999999999"/>
    <n v="241.14"/>
    <n v="11.7"/>
    <n v="5269.0205879999994"/>
    <n v="2821.3379999999997"/>
    <n v="2447.6825879999997"/>
    <n v="0.46454223268257988"/>
    <n v="765.58418799999981"/>
    <n v="2092.0364"/>
    <n v="0"/>
  </r>
  <r>
    <x v="222"/>
    <x v="200"/>
    <d v="2025-07-17T00:00:00"/>
    <s v="Q3-2025"/>
    <d v="2025-07-17T00:00:00"/>
    <n v="1"/>
    <x v="1"/>
    <x v="0"/>
    <x v="11"/>
    <x v="25"/>
    <s v="Small Business"/>
    <x v="3"/>
    <x v="5"/>
    <x v="2"/>
    <s v="High"/>
    <x v="222"/>
    <n v="1198.9000000000001"/>
    <n v="2941.2"/>
    <n v="2941.2"/>
    <n v="5.0999999999999997E-2"/>
    <n v="5.0999999999999997E-2"/>
    <x v="0"/>
    <n v="24"/>
    <n v="66988.771199999988"/>
    <n v="28773.600000000002"/>
    <n v="38215.171199999982"/>
    <n v="0.57047129713583977"/>
    <n v="5.0999999999999997E-2"/>
    <n v="2791.1987999999997"/>
    <n v="1198.9000000000001"/>
    <n v="28.08"/>
    <n v="78376.86230399998"/>
    <n v="33665.112000000001"/>
    <n v="44711.750303999979"/>
    <n v="0.57047129713583988"/>
    <n v="11388.091103999992"/>
    <n v="38215.171199999982"/>
    <n v="0"/>
  </r>
  <r>
    <x v="223"/>
    <x v="43"/>
    <d v="2023-05-07T00:00:00"/>
    <s v="Q2-2023"/>
    <d v="2023-05-07T00:00:00"/>
    <n v="18"/>
    <x v="0"/>
    <x v="3"/>
    <x v="8"/>
    <x v="12"/>
    <s v="Enterprise"/>
    <x v="0"/>
    <x v="13"/>
    <x v="4"/>
    <s v="Low"/>
    <x v="223"/>
    <n v="1089.1500000000001"/>
    <n v="1088.2"/>
    <n v="1088.2"/>
    <n v="5.0999999999999997E-2"/>
    <n v="5.0999999999999997E-2"/>
    <x v="0"/>
    <n v="15"/>
    <n v="15490.527"/>
    <n v="16337.250000000002"/>
    <n v="-846.72300000000178"/>
    <n v="-5.4660696824582002E-2"/>
    <n v="5.0999999999999997E-2"/>
    <n v="1032.7018"/>
    <n v="1089.1500000000001"/>
    <n v="17.549999999999997"/>
    <n v="18123.916589999997"/>
    <n v="19114.582499999997"/>
    <n v="-990.66590999999971"/>
    <n v="-5.4660696824581884E-2"/>
    <n v="2633.389589999997"/>
    <n v="-846.72300000000178"/>
    <n v="1.1796119636642288E-16"/>
  </r>
  <r>
    <x v="224"/>
    <x v="201"/>
    <d v="2023-12-20T00:00:00"/>
    <s v="Q4-2023"/>
    <d v="2023-12-20T00:00:00"/>
    <n v="1"/>
    <x v="1"/>
    <x v="2"/>
    <x v="5"/>
    <x v="30"/>
    <s v="Consumer"/>
    <x v="3"/>
    <x v="1"/>
    <x v="3"/>
    <s v="High"/>
    <x v="224"/>
    <n v="1080.43"/>
    <n v="2529.15"/>
    <n v="2529.15"/>
    <n v="0.14699999999999999"/>
    <n v="0.14699999999999999"/>
    <x v="0"/>
    <n v="10"/>
    <n v="21573.6495"/>
    <n v="10804.300000000001"/>
    <n v="10769.349499999998"/>
    <n v="0.49918997247081437"/>
    <n v="0.14699999999999999"/>
    <n v="2157.3649500000001"/>
    <n v="1080.43"/>
    <n v="11.7"/>
    <n v="25241.169914999999"/>
    <n v="12641.031000000001"/>
    <n v="12600.138914999998"/>
    <n v="0.49918997247081437"/>
    <n v="3667.520414999999"/>
    <n v="10769.349499999998"/>
    <n v="0"/>
  </r>
  <r>
    <x v="225"/>
    <x v="202"/>
    <d v="2023-08-07T00:00:00"/>
    <s v="Q3-2023"/>
    <d v="2023-08-07T00:00:00"/>
    <n v="8"/>
    <x v="0"/>
    <x v="1"/>
    <x v="2"/>
    <x v="32"/>
    <s v="Education"/>
    <x v="2"/>
    <x v="8"/>
    <x v="2"/>
    <s v="High"/>
    <x v="225"/>
    <n v="1352.44"/>
    <n v="2698.01"/>
    <n v="2698.01"/>
    <n v="0.13100000000000001"/>
    <n v="0.13100000000000001"/>
    <x v="0"/>
    <n v="13"/>
    <n v="30479.418970000002"/>
    <n v="17581.72"/>
    <n v="12897.698970000001"/>
    <n v="0.42316091992090887"/>
    <n v="0.13100000000000001"/>
    <n v="2344.57069"/>
    <n v="1352.44"/>
    <n v="15.209999999999999"/>
    <n v="35660.920194899998"/>
    <n v="20570.612399999998"/>
    <n v="15090.3077949"/>
    <n v="0.42316091992090887"/>
    <n v="5181.5012248999956"/>
    <n v="12897.698970000001"/>
    <n v="0"/>
  </r>
  <r>
    <x v="226"/>
    <x v="203"/>
    <d v="2023-10-29T00:00:00"/>
    <s v="Q4-2023"/>
    <d v="2023-10-29T00:00:00"/>
    <n v="25"/>
    <x v="0"/>
    <x v="2"/>
    <x v="10"/>
    <x v="24"/>
    <s v="Small Business"/>
    <x v="3"/>
    <x v="7"/>
    <x v="6"/>
    <s v="High"/>
    <x v="226"/>
    <n v="1239.8399999999999"/>
    <n v="1482.75"/>
    <n v="1482.75"/>
    <n v="6.7000000000000004E-2"/>
    <n v="6.7000000000000004E-2"/>
    <x v="0"/>
    <n v="4"/>
    <n v="5533.6230000000005"/>
    <n v="4959.3599999999997"/>
    <n v="574.26300000000083"/>
    <n v="0.10377703721413634"/>
    <n v="6.7000000000000004E-2"/>
    <n v="1383.4057500000001"/>
    <n v="1239.8399999999999"/>
    <n v="4.68"/>
    <n v="6474.3389100000004"/>
    <n v="5802.4511999999995"/>
    <n v="671.88771000000088"/>
    <n v="0.10377703721413632"/>
    <n v="940.71590999999989"/>
    <n v="574.26300000000083"/>
    <n v="0"/>
  </r>
  <r>
    <x v="227"/>
    <x v="204"/>
    <d v="2025-08-30T00:00:00"/>
    <s v="Q3-2025"/>
    <d v="2025-08-30T00:00:00"/>
    <n v="20"/>
    <x v="0"/>
    <x v="2"/>
    <x v="10"/>
    <x v="24"/>
    <s v="Corporate"/>
    <x v="2"/>
    <x v="11"/>
    <x v="1"/>
    <s v="High"/>
    <x v="227"/>
    <n v="933.29"/>
    <n v="1456.81"/>
    <n v="1456.81"/>
    <n v="0.123"/>
    <n v="0.123"/>
    <x v="0"/>
    <n v="13"/>
    <n v="16609.090809999998"/>
    <n v="12132.77"/>
    <n v="4476.3208099999974"/>
    <n v="0.26951028573489977"/>
    <n v="0.123"/>
    <n v="1277.62237"/>
    <n v="933.29"/>
    <n v="15.209999999999999"/>
    <n v="19432.6362477"/>
    <n v="14195.340899999999"/>
    <n v="5237.295347700001"/>
    <n v="0.26951028573489993"/>
    <n v="2823.5454377000024"/>
    <n v="4476.3208099999974"/>
    <n v="0"/>
  </r>
  <r>
    <x v="228"/>
    <x v="205"/>
    <d v="2023-04-01T00:00:00"/>
    <s v="Q1-2023"/>
    <d v="2023-04-01T00:00:00"/>
    <n v="25"/>
    <x v="0"/>
    <x v="0"/>
    <x v="0"/>
    <x v="2"/>
    <s v="Consumer"/>
    <x v="2"/>
    <x v="14"/>
    <x v="1"/>
    <s v="Medium"/>
    <x v="228"/>
    <n v="1024.0999999999999"/>
    <n v="918.19"/>
    <n v="918.19"/>
    <n v="0.189"/>
    <n v="0.189"/>
    <x v="0"/>
    <n v="10"/>
    <n v="7446.5209000000004"/>
    <n v="10241"/>
    <n v="-2794.4790999999996"/>
    <n v="-0.37527311579827827"/>
    <n v="0.17"/>
    <n v="762.09770000000003"/>
    <n v="1024.0999999999999"/>
    <n v="11.7"/>
    <n v="8916.5430899999992"/>
    <n v="11981.969999999998"/>
    <n v="-3065.4269099999983"/>
    <n v="-0.34379096013542604"/>
    <n v="1470.0221899999988"/>
    <n v="-2794.4790999999996"/>
    <n v="3.1482155662852229E-2"/>
  </r>
  <r>
    <x v="229"/>
    <x v="206"/>
    <d v="2023-06-10T00:00:00"/>
    <s v="Q2-2023"/>
    <d v="2023-06-10T00:00:00"/>
    <n v="18"/>
    <x v="0"/>
    <x v="1"/>
    <x v="9"/>
    <x v="23"/>
    <s v="Corporate"/>
    <x v="3"/>
    <x v="6"/>
    <x v="0"/>
    <s v="Low"/>
    <x v="229"/>
    <n v="54.62"/>
    <n v="48.94"/>
    <n v="48.94"/>
    <n v="0.14799999999999999"/>
    <n v="0.14799999999999999"/>
    <x v="0"/>
    <n v="16"/>
    <n v="667.15008"/>
    <n v="873.92"/>
    <n v="-206.76991999999996"/>
    <n v="-0.3099301434543783"/>
    <n v="0.14799999999999999"/>
    <n v="41.69688"/>
    <n v="54.62"/>
    <n v="18.72"/>
    <n v="780.56559359999994"/>
    <n v="1022.4863999999999"/>
    <n v="-241.92080639999995"/>
    <n v="-0.3099301434543783"/>
    <n v="113.41551359999994"/>
    <n v="-206.76991999999996"/>
    <n v="0"/>
  </r>
  <r>
    <x v="230"/>
    <x v="207"/>
    <d v="2025-05-06T00:00:00"/>
    <s v="Q2-2025"/>
    <d v="2025-05-06T00:00:00"/>
    <n v="12"/>
    <x v="0"/>
    <x v="2"/>
    <x v="5"/>
    <x v="10"/>
    <s v="Consumer"/>
    <x v="1"/>
    <x v="0"/>
    <x v="3"/>
    <s v="Medium"/>
    <x v="230"/>
    <n v="394.13"/>
    <n v="932.29"/>
    <n v="932.29"/>
    <n v="0.109"/>
    <n v="0.109"/>
    <x v="0"/>
    <n v="7"/>
    <n v="5814.6927299999998"/>
    <n v="2758.91"/>
    <n v="3055.7827299999999"/>
    <n v="0.5255278089303268"/>
    <n v="0.109"/>
    <n v="830.67039"/>
    <n v="394.13"/>
    <n v="8.19"/>
    <n v="6803.1904940999993"/>
    <n v="3227.9246999999996"/>
    <n v="3575.2657940999998"/>
    <n v="0.5255278089303268"/>
    <n v="988.49776409999959"/>
    <n v="3055.7827299999999"/>
    <n v="0"/>
  </r>
  <r>
    <x v="231"/>
    <x v="208"/>
    <d v="2024-09-08T00:00:00"/>
    <s v="Q3-2024"/>
    <d v="2024-09-08T00:00:00"/>
    <n v="5"/>
    <x v="1"/>
    <x v="0"/>
    <x v="1"/>
    <x v="3"/>
    <s v="Small Business"/>
    <x v="4"/>
    <x v="11"/>
    <x v="1"/>
    <s v="Low"/>
    <x v="231"/>
    <n v="197.63"/>
    <n v="325.79000000000002"/>
    <n v="325.79000000000002"/>
    <n v="0.11600000000000001"/>
    <n v="0.11600000000000001"/>
    <x v="0"/>
    <n v="10"/>
    <n v="2879.9836"/>
    <n v="1976.3"/>
    <n v="903.68360000000007"/>
    <n v="0.31378081458519419"/>
    <n v="0.11600000000000001"/>
    <n v="287.99836000000005"/>
    <n v="197.63"/>
    <n v="11.7"/>
    <n v="3369.5808120000002"/>
    <n v="2312.2709999999997"/>
    <n v="1057.3098120000004"/>
    <n v="0.3137808145851943"/>
    <n v="489.59721200000013"/>
    <n v="903.68360000000007"/>
    <n v="0"/>
  </r>
  <r>
    <x v="232"/>
    <x v="209"/>
    <d v="2024-09-25T00:00:00"/>
    <s v="Q3-2024"/>
    <d v="2024-09-25T00:00:00"/>
    <n v="20"/>
    <x v="0"/>
    <x v="1"/>
    <x v="2"/>
    <x v="4"/>
    <s v="Enterprise"/>
    <x v="3"/>
    <x v="14"/>
    <x v="5"/>
    <s v="Low"/>
    <x v="232"/>
    <n v="195.54"/>
    <n v="405.97"/>
    <n v="405.97"/>
    <n v="0.187"/>
    <n v="0.187"/>
    <x v="0"/>
    <n v="16"/>
    <n v="5280.8577599999999"/>
    <n v="3128.64"/>
    <n v="2152.21776"/>
    <n v="0.40755079152141377"/>
    <n v="0.17"/>
    <n v="336.95510000000002"/>
    <n v="195.54"/>
    <n v="18.72"/>
    <n v="6307.7994719999997"/>
    <n v="3660.5087999999996"/>
    <n v="2647.2906720000001"/>
    <n v="0.41968529338181854"/>
    <n v="1026.9417119999998"/>
    <n v="2152.21776"/>
    <n v="1.2134501860404767E-2"/>
  </r>
  <r>
    <x v="233"/>
    <x v="210"/>
    <d v="2023-03-30T00:00:00"/>
    <s v="Q1-2023"/>
    <d v="2023-03-30T00:00:00"/>
    <n v="16"/>
    <x v="0"/>
    <x v="0"/>
    <x v="11"/>
    <x v="33"/>
    <s v="Consumer"/>
    <x v="3"/>
    <x v="11"/>
    <x v="0"/>
    <s v="Medium"/>
    <x v="233"/>
    <n v="1309.77"/>
    <n v="1589.07"/>
    <n v="1589.07"/>
    <n v="0.10199999999999999"/>
    <n v="0.10199999999999999"/>
    <x v="0"/>
    <n v="10"/>
    <n v="14269.848599999999"/>
    <n v="13097.7"/>
    <n v="1172.1485999999986"/>
    <n v="8.2141628328137886E-2"/>
    <n v="0.10199999999999999"/>
    <n v="1426.98486"/>
    <n v="1309.77"/>
    <n v="11.7"/>
    <n v="16695.722861999999"/>
    <n v="15324.308999999999"/>
    <n v="1371.4138619999994"/>
    <n v="8.2141628328137942E-2"/>
    <n v="2425.8742619999994"/>
    <n v="1172.1485999999986"/>
    <n v="0"/>
  </r>
  <r>
    <x v="234"/>
    <x v="39"/>
    <d v="2024-02-02T00:00:00"/>
    <s v="Q1-2024"/>
    <d v="2024-02-02T00:00:00"/>
    <n v="22"/>
    <x v="0"/>
    <x v="1"/>
    <x v="2"/>
    <x v="32"/>
    <s v="Small Business"/>
    <x v="1"/>
    <x v="15"/>
    <x v="1"/>
    <s v="High"/>
    <x v="234"/>
    <n v="1237.68"/>
    <n v="1432.8"/>
    <n v="1432.8"/>
    <n v="6.8000000000000005E-2"/>
    <n v="6.8000000000000005E-2"/>
    <x v="0"/>
    <n v="13"/>
    <n v="17359.804799999998"/>
    <n v="16089.84"/>
    <n v="1269.9647999999979"/>
    <n v="7.315547695559331E-2"/>
    <n v="6.8000000000000005E-2"/>
    <n v="1335.3695999999998"/>
    <n v="1237.68"/>
    <n v="15.209999999999999"/>
    <n v="20310.971615999995"/>
    <n v="18825.112799999999"/>
    <n v="1485.8588159999963"/>
    <n v="7.3155476955593254E-2"/>
    <n v="2951.1668159999972"/>
    <n v="1269.9647999999979"/>
    <n v="0"/>
  </r>
  <r>
    <x v="235"/>
    <x v="211"/>
    <d v="2024-10-02T00:00:00"/>
    <s v="Q3-2024"/>
    <d v="2024-10-02T00:00:00"/>
    <n v="19"/>
    <x v="0"/>
    <x v="0"/>
    <x v="0"/>
    <x v="13"/>
    <s v="Small Business"/>
    <x v="0"/>
    <x v="12"/>
    <x v="3"/>
    <s v="High"/>
    <x v="235"/>
    <n v="1338.99"/>
    <n v="1765.76"/>
    <n v="1765.76"/>
    <n v="0.126"/>
    <n v="0.126"/>
    <x v="0"/>
    <n v="24"/>
    <n v="37038.581760000001"/>
    <n v="32135.760000000002"/>
    <n v="4902.8217599999989"/>
    <n v="0.1323706666677725"/>
    <n v="0.126"/>
    <n v="1543.27424"/>
    <n v="1338.99"/>
    <n v="28.08"/>
    <n v="43335.140659199998"/>
    <n v="37598.839199999995"/>
    <n v="5736.3014592000036"/>
    <n v="0.13237066666777264"/>
    <n v="6296.5588991999975"/>
    <n v="4902.8217599999989"/>
    <n v="0"/>
  </r>
  <r>
    <x v="236"/>
    <x v="212"/>
    <d v="2025-07-23T00:00:00"/>
    <s v="Q3-2025"/>
    <d v="2025-07-23T00:00:00"/>
    <n v="6"/>
    <x v="1"/>
    <x v="2"/>
    <x v="3"/>
    <x v="26"/>
    <s v="Consumer"/>
    <x v="1"/>
    <x v="10"/>
    <x v="0"/>
    <s v="High"/>
    <x v="236"/>
    <n v="1364.89"/>
    <n v="2757.54"/>
    <n v="2757.54"/>
    <n v="0.17199999999999999"/>
    <n v="0.17199999999999999"/>
    <x v="0"/>
    <n v="61"/>
    <n v="139277.83032000001"/>
    <n v="83258.290000000008"/>
    <n v="56019.54032"/>
    <n v="0.4022143379983118"/>
    <n v="0.17"/>
    <n v="2288.7581999999998"/>
    <n v="1364.89"/>
    <n v="71.36999999999999"/>
    <n v="163348.67273399996"/>
    <n v="97412.199299999993"/>
    <n v="65936.47343399997"/>
    <n v="0.40365478537662902"/>
    <n v="24070.842413999955"/>
    <n v="56019.54032"/>
    <n v="1.4404473783172222E-3"/>
  </r>
  <r>
    <x v="237"/>
    <x v="213"/>
    <d v="2023-12-07T00:00:00"/>
    <s v="Q4-2023"/>
    <d v="2023-12-07T00:00:00"/>
    <n v="9"/>
    <x v="0"/>
    <x v="1"/>
    <x v="4"/>
    <x v="18"/>
    <s v="Enterprise"/>
    <x v="2"/>
    <x v="4"/>
    <x v="3"/>
    <s v="Medium"/>
    <x v="237"/>
    <n v="699.33"/>
    <n v="873.75"/>
    <n v="873.75"/>
    <n v="0.23499999999999999"/>
    <n v="0.23499999999999999"/>
    <x v="1"/>
    <n v="10"/>
    <n v="6684.1875"/>
    <n v="6993.3"/>
    <n v="-309.11250000000018"/>
    <n v="-4.6245336475076469E-2"/>
    <n v="0.17"/>
    <n v="725.21249999999998"/>
    <n v="699.33"/>
    <n v="11.7"/>
    <n v="8484.9862499999999"/>
    <n v="8182.1610000000001"/>
    <n v="302.82524999999987"/>
    <n v="3.56895392729717E-2"/>
    <n v="1800.7987499999999"/>
    <n v="-309.11250000000018"/>
    <n v="8.1934875748048169E-2"/>
  </r>
  <r>
    <x v="238"/>
    <x v="214"/>
    <d v="2024-04-24T00:00:00"/>
    <s v="Q1-2024"/>
    <d v="2024-04-24T00:00:00"/>
    <n v="25"/>
    <x v="0"/>
    <x v="2"/>
    <x v="10"/>
    <x v="36"/>
    <s v="Non-Profit"/>
    <x v="1"/>
    <x v="3"/>
    <x v="4"/>
    <s v="Low"/>
    <x v="238"/>
    <n v="160.82"/>
    <n v="258.52"/>
    <n v="258.52"/>
    <n v="0.13"/>
    <n v="0.13"/>
    <x v="0"/>
    <n v="17"/>
    <n v="3823.5108"/>
    <n v="2733.94"/>
    <n v="1089.5708"/>
    <n v="0.28496605789631874"/>
    <n v="0.13"/>
    <n v="224.91239999999999"/>
    <n v="160.82"/>
    <n v="19.89"/>
    <n v="4473.5076360000003"/>
    <n v="3198.7098000000001"/>
    <n v="1274.7978360000002"/>
    <n v="0.28496605789631879"/>
    <n v="649.99683600000026"/>
    <n v="1089.5708"/>
    <n v="0"/>
  </r>
  <r>
    <x v="239"/>
    <x v="215"/>
    <d v="2023-10-08T00:00:00"/>
    <s v="Q3-2023"/>
    <d v="2023-10-08T00:00:00"/>
    <n v="19"/>
    <x v="0"/>
    <x v="1"/>
    <x v="4"/>
    <x v="6"/>
    <s v="Education"/>
    <x v="4"/>
    <x v="1"/>
    <x v="1"/>
    <s v="Low"/>
    <x v="239"/>
    <n v="385.32"/>
    <n v="606.76"/>
    <n v="606.76"/>
    <n v="8.5999999999999993E-2"/>
    <n v="8.5999999999999993E-2"/>
    <x v="0"/>
    <n v="8"/>
    <n v="4436.6291200000005"/>
    <n v="3082.56"/>
    <n v="1354.0691200000006"/>
    <n v="0.30520223425842735"/>
    <n v="8.5999999999999993E-2"/>
    <n v="554.57864000000006"/>
    <n v="385.32"/>
    <n v="9.36"/>
    <n v="5190.8560704000001"/>
    <n v="3606.5951999999997"/>
    <n v="1584.2608704000004"/>
    <n v="0.30520223425842735"/>
    <n v="754.22695039999962"/>
    <n v="1354.0691200000006"/>
    <n v="0"/>
  </r>
  <r>
    <x v="240"/>
    <x v="216"/>
    <d v="2025-05-27T00:00:00"/>
    <s v="Q2-2025"/>
    <d v="2025-05-27T00:00:00"/>
    <n v="11"/>
    <x v="0"/>
    <x v="1"/>
    <x v="9"/>
    <x v="38"/>
    <s v="Enterprise"/>
    <x v="1"/>
    <x v="9"/>
    <x v="3"/>
    <s v="Medium"/>
    <x v="240"/>
    <n v="918.12"/>
    <n v="1337.69"/>
    <n v="1337.69"/>
    <n v="9.5000000000000001E-2"/>
    <n v="9.5000000000000001E-2"/>
    <x v="0"/>
    <n v="8"/>
    <n v="9684.8756000000012"/>
    <n v="7344.96"/>
    <n v="2339.9156000000012"/>
    <n v="0.24160512707050164"/>
    <n v="9.5000000000000001E-2"/>
    <n v="1210.6094500000002"/>
    <n v="918.12"/>
    <n v="9.36"/>
    <n v="11331.304452"/>
    <n v="8593.6031999999996"/>
    <n v="2737.7012520000007"/>
    <n v="0.24160512707050161"/>
    <n v="1646.4288519999991"/>
    <n v="2339.9156000000012"/>
    <n v="0"/>
  </r>
  <r>
    <x v="241"/>
    <x v="217"/>
    <d v="2025-08-08T00:00:00"/>
    <s v="Q3-2025"/>
    <d v="2025-08-08T00:00:00"/>
    <n v="6"/>
    <x v="1"/>
    <x v="1"/>
    <x v="2"/>
    <x v="4"/>
    <s v="Consumer"/>
    <x v="4"/>
    <x v="13"/>
    <x v="4"/>
    <s v="Medium"/>
    <x v="241"/>
    <n v="1225.94"/>
    <n v="1793.08"/>
    <n v="1793.08"/>
    <n v="0.13600000000000001"/>
    <n v="0.13600000000000001"/>
    <x v="0"/>
    <n v="22"/>
    <n v="34082.864639999993"/>
    <n v="26970.68"/>
    <n v="7112.1846399999922"/>
    <n v="0.20867332353434462"/>
    <n v="0.13600000000000001"/>
    <n v="1549.2211199999999"/>
    <n v="1225.94"/>
    <n v="25.74"/>
    <n v="39876.951628799994"/>
    <n v="31555.695599999999"/>
    <n v="8321.256028799995"/>
    <n v="0.2086733235343447"/>
    <n v="5794.0869888000016"/>
    <n v="7112.1846399999922"/>
    <n v="0"/>
  </r>
  <r>
    <x v="242"/>
    <x v="218"/>
    <d v="2024-12-12T00:00:00"/>
    <s v="Q4-2024"/>
    <d v="2024-12-12T00:00:00"/>
    <n v="8"/>
    <x v="0"/>
    <x v="3"/>
    <x v="6"/>
    <x v="37"/>
    <s v="Enterprise"/>
    <x v="2"/>
    <x v="5"/>
    <x v="1"/>
    <s v="Low"/>
    <x v="242"/>
    <n v="72.06"/>
    <n v="122.74"/>
    <n v="122.74"/>
    <n v="0.23799999999999999"/>
    <n v="0.23799999999999999"/>
    <x v="1"/>
    <n v="8"/>
    <n v="748.22303999999997"/>
    <n v="576.48"/>
    <n v="171.74303999999995"/>
    <n v="0.22953455162246802"/>
    <n v="0.17"/>
    <n v="101.87419999999999"/>
    <n v="72.06"/>
    <n v="9.36"/>
    <n v="953.54251199999987"/>
    <n v="674.48159999999996"/>
    <n v="279.06091199999992"/>
    <n v="0.2926570220919526"/>
    <n v="205.31947199999991"/>
    <n v="171.74303999999995"/>
    <n v="6.3122470469484576E-2"/>
  </r>
  <r>
    <x v="243"/>
    <x v="43"/>
    <d v="2023-04-28T00:00:00"/>
    <s v="Q2-2023"/>
    <d v="2023-04-28T00:00:00"/>
    <n v="9"/>
    <x v="0"/>
    <x v="2"/>
    <x v="5"/>
    <x v="30"/>
    <s v="Corporate"/>
    <x v="3"/>
    <x v="12"/>
    <x v="3"/>
    <s v="Medium"/>
    <x v="243"/>
    <n v="1013.54"/>
    <n v="927.93"/>
    <n v="927.93"/>
    <n v="0.17499999999999999"/>
    <n v="0.17499999999999999"/>
    <x v="0"/>
    <n v="16"/>
    <n v="12248.675999999999"/>
    <n v="16216.64"/>
    <n v="-3967.9639999999999"/>
    <n v="-0.32395044166406234"/>
    <n v="0.17"/>
    <n v="770.18189999999993"/>
    <n v="1013.54"/>
    <n v="18.72"/>
    <n v="14417.805167999997"/>
    <n v="18973.468799999999"/>
    <n v="-4555.6636320000016"/>
    <n v="-0.31597483659379705"/>
    <n v="2169.1291679999977"/>
    <n v="-3967.9639999999999"/>
    <n v="7.9756050702652903E-3"/>
  </r>
  <r>
    <x v="244"/>
    <x v="219"/>
    <d v="2024-03-26T00:00:00"/>
    <s v="Q1-2024"/>
    <d v="2024-03-26T00:00:00"/>
    <n v="20"/>
    <x v="0"/>
    <x v="0"/>
    <x v="1"/>
    <x v="1"/>
    <s v="Consumer"/>
    <x v="2"/>
    <x v="2"/>
    <x v="3"/>
    <s v="Low"/>
    <x v="244"/>
    <n v="65.64"/>
    <n v="151.88"/>
    <n v="151.88"/>
    <n v="0.16700000000000001"/>
    <n v="0.16700000000000001"/>
    <x v="0"/>
    <n v="23"/>
    <n v="2909.8689199999999"/>
    <n v="1509.72"/>
    <n v="1400.1489199999999"/>
    <n v="0.48117250587356353"/>
    <n v="0.16700000000000001"/>
    <n v="126.51603999999999"/>
    <n v="65.64"/>
    <n v="26.909999999999997"/>
    <n v="3404.5466363999994"/>
    <n v="1766.3723999999997"/>
    <n v="1638.1742363999997"/>
    <n v="0.48117250587356353"/>
    <n v="494.67771639999955"/>
    <n v="1400.1489199999999"/>
    <n v="0"/>
  </r>
  <r>
    <x v="245"/>
    <x v="220"/>
    <d v="2024-03-04T00:00:00"/>
    <s v="Q1-2024"/>
    <d v="2024-03-04T00:00:00"/>
    <n v="17"/>
    <x v="0"/>
    <x v="2"/>
    <x v="3"/>
    <x v="19"/>
    <s v="Non-Profit"/>
    <x v="0"/>
    <x v="14"/>
    <x v="4"/>
    <s v="High"/>
    <x v="245"/>
    <n v="1350.98"/>
    <n v="2210.4"/>
    <n v="2210.4"/>
    <n v="0.26300000000000001"/>
    <n v="0.26300000000000001"/>
    <x v="1"/>
    <n v="6"/>
    <n v="9774.3888000000006"/>
    <n v="8105.88"/>
    <n v="1668.5088000000005"/>
    <n v="0.17070211080615091"/>
    <n v="0.17"/>
    <n v="1834.6320000000001"/>
    <n v="1350.98"/>
    <n v="7.02"/>
    <n v="12879.11664"/>
    <n v="9483.8796000000002"/>
    <n v="3395.23704"/>
    <n v="0.26362344055919662"/>
    <n v="3104.7278399999996"/>
    <n v="1668.5088000000005"/>
    <n v="9.2921329753045706E-2"/>
  </r>
  <r>
    <x v="246"/>
    <x v="221"/>
    <d v="2025-05-02T00:00:00"/>
    <s v="Q2-2025"/>
    <d v="2025-05-02T00:00:00"/>
    <n v="10"/>
    <x v="0"/>
    <x v="3"/>
    <x v="6"/>
    <x v="9"/>
    <s v="Corporate"/>
    <x v="2"/>
    <x v="0"/>
    <x v="5"/>
    <s v="Low"/>
    <x v="246"/>
    <n v="20.149999999999999"/>
    <n v="39.74"/>
    <n v="39.74"/>
    <n v="0.151"/>
    <n v="0.151"/>
    <x v="0"/>
    <n v="18"/>
    <n v="607.30668000000003"/>
    <n v="362.7"/>
    <n v="244.60668000000004"/>
    <n v="0.4027729120318585"/>
    <n v="0.151"/>
    <n v="33.739260000000002"/>
    <n v="20.149999999999999"/>
    <n v="21.06"/>
    <n v="710.54881560000001"/>
    <n v="424.35899999999992"/>
    <n v="286.18981560000009"/>
    <n v="0.40277291203185855"/>
    <n v="103.24213559999998"/>
    <n v="244.60668000000004"/>
    <n v="0"/>
  </r>
  <r>
    <x v="247"/>
    <x v="222"/>
    <d v="2024-11-08T00:00:00"/>
    <s v="Q4-2024"/>
    <d v="2024-11-08T00:00:00"/>
    <n v="0"/>
    <x v="1"/>
    <x v="0"/>
    <x v="0"/>
    <x v="16"/>
    <s v="Enterprise"/>
    <x v="2"/>
    <x v="12"/>
    <x v="2"/>
    <s v="Medium"/>
    <x v="247"/>
    <n v="803.28"/>
    <n v="1009"/>
    <n v="1009"/>
    <n v="0.11"/>
    <n v="0.11"/>
    <x v="0"/>
    <n v="4"/>
    <n v="3592.04"/>
    <n v="3213.12"/>
    <n v="378.92000000000007"/>
    <n v="0.10548880302001093"/>
    <n v="0.11"/>
    <n v="898.01"/>
    <n v="803.28"/>
    <n v="4.68"/>
    <n v="4202.6867999999995"/>
    <n v="3759.3503999999998"/>
    <n v="443.33639999999968"/>
    <n v="0.10548880302001085"/>
    <n v="610.64679999999953"/>
    <n v="378.92000000000007"/>
    <n v="0"/>
  </r>
  <r>
    <x v="248"/>
    <x v="223"/>
    <d v="2025-09-30T00:00:00"/>
    <s v="Q3-2025"/>
    <d v="2025-09-30T00:00:00"/>
    <n v="18"/>
    <x v="0"/>
    <x v="1"/>
    <x v="2"/>
    <x v="32"/>
    <s v="Non-Profit"/>
    <x v="2"/>
    <x v="9"/>
    <x v="5"/>
    <s v="High"/>
    <x v="248"/>
    <n v="1212.99"/>
    <n v="1653.64"/>
    <n v="1653.64"/>
    <n v="0.107"/>
    <n v="0.107"/>
    <x v="0"/>
    <n v="8"/>
    <n v="11813.604160000001"/>
    <n v="9703.92"/>
    <n v="2109.6841600000007"/>
    <n v="0.17858090819931455"/>
    <n v="0.107"/>
    <n v="1476.7005200000001"/>
    <n v="1212.99"/>
    <n v="9.36"/>
    <n v="13821.9168672"/>
    <n v="11353.5864"/>
    <n v="2468.3304671999995"/>
    <n v="0.17858090819931446"/>
    <n v="2008.3127071999988"/>
    <n v="2109.6841600000007"/>
    <n v="0"/>
  </r>
  <r>
    <x v="249"/>
    <x v="224"/>
    <d v="2024-09-08T00:00:00"/>
    <s v="Q3-2024"/>
    <d v="2024-09-08T00:00:00"/>
    <n v="6"/>
    <x v="1"/>
    <x v="2"/>
    <x v="10"/>
    <x v="36"/>
    <s v="Consumer"/>
    <x v="4"/>
    <x v="10"/>
    <x v="0"/>
    <s v="Medium"/>
    <x v="249"/>
    <n v="462.94"/>
    <n v="1015.7"/>
    <n v="1015.7"/>
    <n v="0.14299999999999999"/>
    <n v="0.14299999999999999"/>
    <x v="0"/>
    <n v="14"/>
    <n v="12186.368600000002"/>
    <n v="6481.16"/>
    <n v="5705.2086000000018"/>
    <n v="0.46816314090483041"/>
    <n v="0.14299999999999999"/>
    <n v="870.45490000000007"/>
    <n v="462.94"/>
    <n v="16.38"/>
    <n v="14258.051262000001"/>
    <n v="7582.9571999999998"/>
    <n v="6675.094062000001"/>
    <n v="0.46816314090483035"/>
    <n v="2071.6826619999993"/>
    <n v="5705.2086000000018"/>
    <n v="0"/>
  </r>
  <r>
    <x v="250"/>
    <x v="225"/>
    <d v="2023-03-24T00:00:00"/>
    <s v="Q1-2023"/>
    <d v="2023-03-24T00:00:00"/>
    <n v="20"/>
    <x v="0"/>
    <x v="2"/>
    <x v="3"/>
    <x v="19"/>
    <s v="Consumer"/>
    <x v="3"/>
    <x v="2"/>
    <x v="4"/>
    <s v="Low"/>
    <x v="250"/>
    <n v="481.71"/>
    <n v="912.45"/>
    <n v="912.45"/>
    <n v="0.20300000000000001"/>
    <n v="0.20300000000000001"/>
    <x v="1"/>
    <n v="24"/>
    <n v="17453.3436"/>
    <n v="11561.039999999999"/>
    <n v="5892.3036000000011"/>
    <n v="0.33760313983619739"/>
    <n v="0.17"/>
    <n v="757.33349999999996"/>
    <n v="481.71"/>
    <n v="28.08"/>
    <n v="21265.924679999996"/>
    <n v="13526.416799999999"/>
    <n v="7739.5078799999974"/>
    <n v="0.36393940054150509"/>
    <n v="3812.5810799999963"/>
    <n v="5892.3036000000011"/>
    <n v="2.6336260705307701E-2"/>
  </r>
  <r>
    <x v="251"/>
    <x v="226"/>
    <d v="2024-04-09T00:00:00"/>
    <s v="Q1-2024"/>
    <d v="2024-04-09T00:00:00"/>
    <n v="25"/>
    <x v="0"/>
    <x v="2"/>
    <x v="3"/>
    <x v="26"/>
    <s v="Consumer"/>
    <x v="1"/>
    <x v="9"/>
    <x v="5"/>
    <s v="Medium"/>
    <x v="251"/>
    <n v="648.64"/>
    <n v="815.19"/>
    <n v="815.19"/>
    <n v="0.22500000000000001"/>
    <n v="0.22500000000000001"/>
    <x v="1"/>
    <n v="28"/>
    <n v="17689.623"/>
    <n v="18161.919999999998"/>
    <n v="-472.29699999999866"/>
    <n v="-2.6699099240272032E-2"/>
    <n v="0.17"/>
    <n v="676.60770000000002"/>
    <n v="648.64"/>
    <n v="32.76"/>
    <n v="22165.668251999999"/>
    <n v="21249.446399999997"/>
    <n v="916.2218520000024"/>
    <n v="4.1335178420227964E-2"/>
    <n v="4476.0452519999999"/>
    <n v="-472.29699999999866"/>
    <n v="6.8034277660499992E-2"/>
  </r>
  <r>
    <x v="252"/>
    <x v="227"/>
    <d v="2024-07-31T00:00:00"/>
    <s v="Q3-2024"/>
    <d v="2024-07-31T00:00:00"/>
    <n v="2"/>
    <x v="1"/>
    <x v="2"/>
    <x v="10"/>
    <x v="39"/>
    <s v="Education"/>
    <x v="2"/>
    <x v="2"/>
    <x v="1"/>
    <s v="High"/>
    <x v="252"/>
    <n v="798.97"/>
    <n v="1814.06"/>
    <n v="1814.06"/>
    <n v="0.122"/>
    <n v="0.122"/>
    <x v="0"/>
    <n v="16"/>
    <n v="25483.91488"/>
    <n v="12783.52"/>
    <n v="12700.39488"/>
    <n v="0.49836906691159061"/>
    <n v="0.122"/>
    <n v="1592.74468"/>
    <n v="798.97"/>
    <n v="18.72"/>
    <n v="29816.180409599998"/>
    <n v="14956.7184"/>
    <n v="14859.462009599998"/>
    <n v="0.49836906691159061"/>
    <n v="4332.2655295999975"/>
    <n v="12700.39488"/>
    <n v="0"/>
  </r>
  <r>
    <x v="253"/>
    <x v="228"/>
    <d v="2024-11-20T00:00:00"/>
    <s v="Q4-2024"/>
    <d v="2024-11-20T00:00:00"/>
    <n v="24"/>
    <x v="0"/>
    <x v="1"/>
    <x v="2"/>
    <x v="32"/>
    <s v="Non-Profit"/>
    <x v="1"/>
    <x v="10"/>
    <x v="5"/>
    <s v="Medium"/>
    <x v="253"/>
    <n v="317.25"/>
    <n v="758.92"/>
    <n v="758.92"/>
    <n v="5.2999999999999999E-2"/>
    <n v="5.2999999999999999E-2"/>
    <x v="0"/>
    <n v="9"/>
    <n v="6468.2751599999992"/>
    <n v="2855.25"/>
    <n v="3613.0251599999992"/>
    <n v="0.5585762928489888"/>
    <n v="5.2999999999999999E-2"/>
    <n v="718.69723999999997"/>
    <n v="317.25"/>
    <n v="10.53"/>
    <n v="7567.8819371999989"/>
    <n v="3340.6424999999999"/>
    <n v="4227.239437199999"/>
    <n v="0.5585762928489888"/>
    <n v="1099.6067771999997"/>
    <n v="3613.0251599999992"/>
    <n v="0"/>
  </r>
  <r>
    <x v="254"/>
    <x v="229"/>
    <d v="2024-05-19T00:00:00"/>
    <s v="Q2-2024"/>
    <d v="2024-05-19T00:00:00"/>
    <n v="20"/>
    <x v="0"/>
    <x v="3"/>
    <x v="6"/>
    <x v="37"/>
    <s v="Enterprise"/>
    <x v="2"/>
    <x v="0"/>
    <x v="4"/>
    <s v="Medium"/>
    <x v="254"/>
    <n v="668.97"/>
    <n v="1667.44"/>
    <n v="1667.44"/>
    <n v="3.4000000000000002E-2"/>
    <n v="3.4000000000000002E-2"/>
    <x v="0"/>
    <n v="15"/>
    <n v="24161.205600000001"/>
    <n v="10034.550000000001"/>
    <n v="14126.6556"/>
    <n v="0.58468339013679016"/>
    <n v="3.4000000000000002E-2"/>
    <n v="1610.74704"/>
    <n v="668.97"/>
    <n v="17.549999999999997"/>
    <n v="28268.610551999995"/>
    <n v="11740.423499999999"/>
    <n v="16528.187051999994"/>
    <n v="0.58468339013679005"/>
    <n v="4107.4049519999935"/>
    <n v="14126.6556"/>
    <n v="0"/>
  </r>
  <r>
    <x v="255"/>
    <x v="230"/>
    <d v="2023-10-06T00:00:00"/>
    <s v="Q4-2023"/>
    <d v="2023-10-06T00:00:00"/>
    <n v="1"/>
    <x v="1"/>
    <x v="1"/>
    <x v="4"/>
    <x v="6"/>
    <s v="Non-Profit"/>
    <x v="1"/>
    <x v="2"/>
    <x v="0"/>
    <s v="High"/>
    <x v="255"/>
    <n v="1470.26"/>
    <n v="2562.5500000000002"/>
    <n v="2562.5500000000002"/>
    <n v="0.17299999999999999"/>
    <n v="0.17299999999999999"/>
    <x v="0"/>
    <n v="9"/>
    <n v="19073.059649999999"/>
    <n v="13232.34"/>
    <n v="5840.7196499999991"/>
    <n v="0.30622877279157462"/>
    <n v="0.17"/>
    <n v="2126.9165000000003"/>
    <n v="1470.26"/>
    <n v="10.53"/>
    <n v="22396.430745000001"/>
    <n v="15481.837799999999"/>
    <n v="6914.5929450000021"/>
    <n v="0.30873637963690637"/>
    <n v="3323.3710950000022"/>
    <n v="5840.7196499999991"/>
    <n v="2.5076068453317446E-3"/>
  </r>
  <r>
    <x v="256"/>
    <x v="43"/>
    <d v="2023-05-07T00:00:00"/>
    <s v="Q2-2023"/>
    <d v="2023-05-07T00:00:00"/>
    <n v="18"/>
    <x v="0"/>
    <x v="3"/>
    <x v="8"/>
    <x v="21"/>
    <s v="Non-Profit"/>
    <x v="4"/>
    <x v="10"/>
    <x v="2"/>
    <s v="Low"/>
    <x v="256"/>
    <n v="516.96"/>
    <n v="745.38"/>
    <n v="745.38"/>
    <n v="0.19700000000000001"/>
    <n v="0.19700000000000001"/>
    <x v="0"/>
    <n v="4"/>
    <n v="2394.1605599999998"/>
    <n v="2067.84"/>
    <n v="326.32055999999966"/>
    <n v="0.13629852794835101"/>
    <n v="0.17"/>
    <n v="618.66539999999998"/>
    <n v="516.96"/>
    <n v="4.68"/>
    <n v="2895.3540719999996"/>
    <n v="2419.3728000000001"/>
    <n v="475.98127199999954"/>
    <n v="0.16439484089460946"/>
    <n v="501.19351199999983"/>
    <n v="326.32055999999966"/>
    <n v="2.8096312946258445E-2"/>
  </r>
  <r>
    <x v="257"/>
    <x v="231"/>
    <d v="2025-07-05T00:00:00"/>
    <s v="Q2-2025"/>
    <d v="2025-07-05T00:00:00"/>
    <n v="8"/>
    <x v="0"/>
    <x v="3"/>
    <x v="6"/>
    <x v="22"/>
    <s v="Small Business"/>
    <x v="4"/>
    <x v="3"/>
    <x v="5"/>
    <s v="Low"/>
    <x v="257"/>
    <n v="314.93"/>
    <n v="687.95"/>
    <n v="687.95"/>
    <n v="0.20499999999999999"/>
    <n v="0.20499999999999999"/>
    <x v="1"/>
    <n v="8"/>
    <n v="4375.3620000000001"/>
    <n v="2519.44"/>
    <n v="1855.922"/>
    <n v="0.424175645352316"/>
    <n v="0.17"/>
    <n v="570.99850000000004"/>
    <n v="314.93"/>
    <n v="9.36"/>
    <n v="5344.5459600000004"/>
    <n v="2947.7447999999999"/>
    <n v="2396.8011600000004"/>
    <n v="0.44845739524709788"/>
    <n v="969.1839600000003"/>
    <n v="1855.922"/>
    <n v="2.4281749894781879E-2"/>
  </r>
  <r>
    <x v="258"/>
    <x v="232"/>
    <d v="2023-10-13T00:00:00"/>
    <s v="Q4-2023"/>
    <d v="2023-10-13T00:00:00"/>
    <n v="2"/>
    <x v="1"/>
    <x v="2"/>
    <x v="5"/>
    <x v="10"/>
    <s v="Consumer"/>
    <x v="3"/>
    <x v="15"/>
    <x v="6"/>
    <s v="Low"/>
    <x v="258"/>
    <n v="715.94"/>
    <n v="550.07000000000005"/>
    <n v="550.07000000000005"/>
    <n v="0.14000000000000001"/>
    <n v="0.14000000000000001"/>
    <x v="0"/>
    <n v="16"/>
    <n v="7568.9632000000001"/>
    <n v="11455.04"/>
    <n v="-3886.0768000000007"/>
    <n v="-0.51342260456491595"/>
    <n v="0.14000000000000001"/>
    <n v="473.06020000000001"/>
    <n v="715.94"/>
    <n v="18.72"/>
    <n v="8855.6869439999991"/>
    <n v="13402.3968"/>
    <n v="-4546.7098560000013"/>
    <n v="-0.51342260456491606"/>
    <n v="1286.723743999999"/>
    <n v="-3886.0768000000007"/>
    <n v="0"/>
  </r>
  <r>
    <x v="259"/>
    <x v="72"/>
    <d v="2023-06-07T00:00:00"/>
    <s v="Q2-2023"/>
    <d v="2023-06-07T00:00:00"/>
    <n v="18"/>
    <x v="0"/>
    <x v="0"/>
    <x v="1"/>
    <x v="1"/>
    <s v="Enterprise"/>
    <x v="3"/>
    <x v="6"/>
    <x v="0"/>
    <s v="High"/>
    <x v="259"/>
    <n v="1120.06"/>
    <n v="2068.21"/>
    <n v="2068.21"/>
    <n v="7.8E-2"/>
    <n v="7.8E-2"/>
    <x v="0"/>
    <n v="12"/>
    <n v="22882.675440000003"/>
    <n v="13440.72"/>
    <n v="9441.9554400000034"/>
    <n v="0.41262462795303284"/>
    <n v="7.8E-2"/>
    <n v="1906.8896200000001"/>
    <n v="1120.06"/>
    <n v="14.04"/>
    <n v="26772.7302648"/>
    <n v="15725.642399999999"/>
    <n v="11047.087864800002"/>
    <n v="0.41262462795303279"/>
    <n v="3890.0548247999977"/>
    <n v="9441.9554400000034"/>
    <n v="0"/>
  </r>
  <r>
    <x v="260"/>
    <x v="233"/>
    <d v="2023-06-19T00:00:00"/>
    <s v="Q2-2023"/>
    <d v="2023-06-19T00:00:00"/>
    <n v="23"/>
    <x v="0"/>
    <x v="3"/>
    <x v="6"/>
    <x v="9"/>
    <s v="Education"/>
    <x v="0"/>
    <x v="7"/>
    <x v="6"/>
    <s v="High"/>
    <x v="260"/>
    <n v="1471.58"/>
    <n v="2576.65"/>
    <n v="2576.65"/>
    <n v="4.0000000000000001E-3"/>
    <n v="4.0000000000000001E-3"/>
    <x v="0"/>
    <n v="7"/>
    <n v="17964.4038"/>
    <n v="10301.06"/>
    <n v="7663.3438000000006"/>
    <n v="0.4265849223451546"/>
    <n v="4.0000000000000001E-3"/>
    <n v="2566.3434000000002"/>
    <n v="1471.58"/>
    <n v="8.19"/>
    <n v="21018.352446000001"/>
    <n v="12052.240199999998"/>
    <n v="8966.1122460000024"/>
    <n v="0.42658492234515466"/>
    <n v="3053.9486460000007"/>
    <n v="7663.3438000000006"/>
    <n v="0"/>
  </r>
  <r>
    <x v="261"/>
    <x v="234"/>
    <d v="2023-08-24T00:00:00"/>
    <s v="Q3-2023"/>
    <d v="2023-08-24T00:00:00"/>
    <n v="20"/>
    <x v="0"/>
    <x v="2"/>
    <x v="5"/>
    <x v="10"/>
    <s v="Non-Profit"/>
    <x v="4"/>
    <x v="15"/>
    <x v="2"/>
    <s v="Medium"/>
    <x v="261"/>
    <n v="582.88"/>
    <n v="1044.1400000000001"/>
    <n v="1044.1400000000001"/>
    <n v="0.216"/>
    <n v="0.216"/>
    <x v="1"/>
    <n v="10"/>
    <n v="8186.057600000001"/>
    <n v="5828.8"/>
    <n v="2357.2576000000008"/>
    <n v="0.28796005539956138"/>
    <n v="0.17"/>
    <n v="866.63620000000003"/>
    <n v="582.88"/>
    <n v="11.7"/>
    <n v="10139.643539999999"/>
    <n v="6819.6959999999999"/>
    <n v="3319.9475399999992"/>
    <n v="0.32742251016054946"/>
    <n v="1953.5859399999981"/>
    <n v="2357.2576000000008"/>
    <n v="3.9462454760988086E-2"/>
  </r>
  <r>
    <x v="262"/>
    <x v="235"/>
    <d v="2025-06-27T00:00:00"/>
    <s v="Q2-2025"/>
    <d v="2025-06-27T00:00:00"/>
    <n v="6"/>
    <x v="1"/>
    <x v="0"/>
    <x v="11"/>
    <x v="25"/>
    <s v="Enterprise"/>
    <x v="3"/>
    <x v="13"/>
    <x v="3"/>
    <s v="Low"/>
    <x v="262"/>
    <n v="93.91"/>
    <n v="99.04"/>
    <n v="99.04"/>
    <n v="5.7000000000000002E-2"/>
    <n v="5.7000000000000002E-2"/>
    <x v="0"/>
    <n v="6"/>
    <n v="560.36831999999993"/>
    <n v="563.46"/>
    <n v="-3.0916800000001103"/>
    <n v="-5.5172283829323376E-3"/>
    <n v="5.7000000000000002E-2"/>
    <n v="93.394720000000007"/>
    <n v="93.91"/>
    <n v="7.02"/>
    <n v="655.6309344"/>
    <n v="659.24819999999988"/>
    <n v="-3.6172655999998824"/>
    <n v="-5.5172283829319603E-3"/>
    <n v="95.262614400000075"/>
    <n v="-3.0916800000001103"/>
    <n v="3.7730235602495554E-16"/>
  </r>
  <r>
    <x v="263"/>
    <x v="139"/>
    <d v="2025-04-26T00:00:00"/>
    <s v="Q2-2025"/>
    <d v="2025-04-26T00:00:00"/>
    <n v="10"/>
    <x v="0"/>
    <x v="0"/>
    <x v="1"/>
    <x v="1"/>
    <s v="Enterprise"/>
    <x v="2"/>
    <x v="9"/>
    <x v="4"/>
    <s v="Medium"/>
    <x v="263"/>
    <n v="1457.44"/>
    <n v="1996.81"/>
    <n v="1996.81"/>
    <n v="0.126"/>
    <n v="0.126"/>
    <x v="0"/>
    <n v="23"/>
    <n v="40139.874619999995"/>
    <n v="33521.120000000003"/>
    <n v="6618.7546199999924"/>
    <n v="0.16489225944672353"/>
    <n v="0.126"/>
    <n v="1745.2119399999999"/>
    <n v="1457.44"/>
    <n v="26.909999999999997"/>
    <n v="46963.653305399988"/>
    <n v="39219.710399999996"/>
    <n v="7743.942905399992"/>
    <n v="0.16489225944672356"/>
    <n v="6823.7786853999933"/>
    <n v="6618.7546199999924"/>
    <n v="0"/>
  </r>
  <r>
    <x v="264"/>
    <x v="236"/>
    <d v="2025-09-11T00:00:00"/>
    <s v="Q3-2025"/>
    <d v="2025-09-11T00:00:00"/>
    <n v="9"/>
    <x v="0"/>
    <x v="2"/>
    <x v="3"/>
    <x v="5"/>
    <s v="Corporate"/>
    <x v="3"/>
    <x v="12"/>
    <x v="1"/>
    <s v="Medium"/>
    <x v="264"/>
    <n v="1207.6300000000001"/>
    <n v="921.68"/>
    <n v="921.68"/>
    <n v="0.19600000000000001"/>
    <n v="0.19600000000000001"/>
    <x v="0"/>
    <n v="17"/>
    <n v="12597.52224"/>
    <n v="20529.710000000003"/>
    <n v="-7932.1877600000025"/>
    <n v="-0.62966253274897988"/>
    <n v="0.17"/>
    <n v="764.99439999999993"/>
    <n v="1207.6300000000001"/>
    <n v="19.89"/>
    <n v="15215.738615999999"/>
    <n v="24019.760700000003"/>
    <n v="-8804.0220840000038"/>
    <n v="-0.57861286304840953"/>
    <n v="2618.2163759999985"/>
    <n v="-7932.1877600000025"/>
    <n v="5.1049669700570344E-2"/>
  </r>
  <r>
    <x v="265"/>
    <x v="237"/>
    <d v="2024-10-08T00:00:00"/>
    <s v="Q4-2024"/>
    <d v="2024-10-08T00:00:00"/>
    <n v="0"/>
    <x v="1"/>
    <x v="3"/>
    <x v="8"/>
    <x v="21"/>
    <s v="Corporate"/>
    <x v="1"/>
    <x v="6"/>
    <x v="5"/>
    <s v="High"/>
    <x v="265"/>
    <n v="1108.1099999999999"/>
    <n v="2503.79"/>
    <n v="2503.79"/>
    <n v="0.184"/>
    <n v="0.184"/>
    <x v="0"/>
    <n v="19"/>
    <n v="38818.760160000005"/>
    <n v="21054.089999999997"/>
    <n v="17764.670160000009"/>
    <n v="0.45763105485025896"/>
    <n v="0.17"/>
    <n v="2078.1457"/>
    <n v="1108.1099999999999"/>
    <n v="22.229999999999997"/>
    <n v="46197.178910999995"/>
    <n v="24633.285299999996"/>
    <n v="21563.893611"/>
    <n v="0.46677944669615806"/>
    <n v="7378.4187509999902"/>
    <n v="17764.670160000009"/>
    <n v="9.1483918458991065E-3"/>
  </r>
  <r>
    <x v="266"/>
    <x v="238"/>
    <d v="2023-05-05T00:00:00"/>
    <s v="Q2-2023"/>
    <d v="2023-05-25T00:00:00"/>
    <n v="18"/>
    <x v="0"/>
    <x v="0"/>
    <x v="1"/>
    <x v="1"/>
    <s v="Non-Profit"/>
    <x v="2"/>
    <x v="8"/>
    <x v="0"/>
    <s v="High"/>
    <x v="266"/>
    <n v="1269.6500000000001"/>
    <n v="2462.77"/>
    <n v="2462.77"/>
    <n v="0.107"/>
    <n v="0.107"/>
    <x v="0"/>
    <n v="8"/>
    <n v="17594.028880000002"/>
    <n v="10157.200000000001"/>
    <n v="7436.8288800000009"/>
    <n v="0.42269050089225502"/>
    <n v="0.107"/>
    <n v="2199.2536100000002"/>
    <n v="1269.6500000000001"/>
    <n v="9.36"/>
    <n v="20585.013789600001"/>
    <n v="11883.924000000001"/>
    <n v="8701.0897896000006"/>
    <n v="0.42269050089225496"/>
    <n v="2990.9849095999998"/>
    <n v="7436.8288800000009"/>
    <n v="0"/>
  </r>
  <r>
    <x v="267"/>
    <x v="239"/>
    <d v="2024-01-01T00:00:00"/>
    <s v="Q4-2023"/>
    <d v="2024-01-01T00:00:00"/>
    <n v="8"/>
    <x v="0"/>
    <x v="2"/>
    <x v="5"/>
    <x v="8"/>
    <s v="Education"/>
    <x v="4"/>
    <x v="0"/>
    <x v="3"/>
    <s v="Low"/>
    <x v="267"/>
    <n v="526.49"/>
    <n v="496.2"/>
    <n v="496.2"/>
    <n v="0"/>
    <n v="0"/>
    <x v="0"/>
    <n v="14"/>
    <n v="6946.8"/>
    <n v="7370.8600000000006"/>
    <n v="-424.0600000000004"/>
    <n v="-6.1043933897621985E-2"/>
    <n v="0"/>
    <n v="496.2"/>
    <n v="526.49"/>
    <n v="16.38"/>
    <n v="8127.7559999999994"/>
    <n v="8623.9061999999994"/>
    <n v="-496.15020000000004"/>
    <n v="-6.1043933897621937E-2"/>
    <n v="1180.9559999999992"/>
    <n v="-424.0600000000004"/>
    <n v="0"/>
  </r>
  <r>
    <x v="268"/>
    <x v="240"/>
    <d v="2024-01-23T00:00:00"/>
    <s v="Q1-2024"/>
    <d v="2024-01-23T00:00:00"/>
    <n v="13"/>
    <x v="0"/>
    <x v="3"/>
    <x v="7"/>
    <x v="11"/>
    <s v="Corporate"/>
    <x v="4"/>
    <x v="8"/>
    <x v="1"/>
    <s v="Medium"/>
    <x v="268"/>
    <n v="720"/>
    <n v="907.59"/>
    <n v="907.59"/>
    <n v="0.154"/>
    <n v="0.154"/>
    <x v="0"/>
    <n v="10"/>
    <n v="7678.2113999999992"/>
    <n v="7200"/>
    <n v="478.21139999999923"/>
    <n v="6.2281614179052078E-2"/>
    <n v="0.154"/>
    <n v="767.82114000000001"/>
    <n v="720"/>
    <n v="11.7"/>
    <n v="8983.5073379999994"/>
    <n v="8424"/>
    <n v="559.50733799999944"/>
    <n v="6.2281614179052112E-2"/>
    <n v="1305.2959380000002"/>
    <n v="478.21139999999923"/>
    <n v="0"/>
  </r>
  <r>
    <x v="269"/>
    <x v="241"/>
    <d v="2023-08-14T00:00:00"/>
    <s v="Q3-2023"/>
    <d v="2023-08-14T00:00:00"/>
    <n v="11"/>
    <x v="0"/>
    <x v="2"/>
    <x v="5"/>
    <x v="10"/>
    <s v="Corporate"/>
    <x v="4"/>
    <x v="1"/>
    <x v="6"/>
    <s v="Low"/>
    <x v="269"/>
    <n v="232.73"/>
    <n v="334.19"/>
    <n v="334.19"/>
    <n v="0.13400000000000001"/>
    <n v="0.13400000000000001"/>
    <x v="0"/>
    <n v="25"/>
    <n v="7235.2134999999998"/>
    <n v="5818.25"/>
    <n v="1416.9634999999998"/>
    <n v="0.1958426658729559"/>
    <n v="0.13400000000000001"/>
    <n v="289.40854000000002"/>
    <n v="232.73"/>
    <n v="29.25"/>
    <n v="8465.1997950000004"/>
    <n v="6807.3525"/>
    <n v="1657.8472950000005"/>
    <n v="0.19584266587295598"/>
    <n v="1229.9862950000006"/>
    <n v="1416.9634999999998"/>
    <n v="0"/>
  </r>
  <r>
    <x v="270"/>
    <x v="242"/>
    <d v="2025-03-09T00:00:00"/>
    <s v="Q1-2025"/>
    <d v="2025-03-09T00:00:00"/>
    <n v="18"/>
    <x v="0"/>
    <x v="1"/>
    <x v="4"/>
    <x v="18"/>
    <s v="Small Business"/>
    <x v="4"/>
    <x v="7"/>
    <x v="5"/>
    <s v="Low"/>
    <x v="270"/>
    <n v="325.87"/>
    <n v="538.79"/>
    <n v="538.79"/>
    <n v="0.17399999999999999"/>
    <n v="0.17399999999999999"/>
    <x v="0"/>
    <n v="16"/>
    <n v="7120.6486400000003"/>
    <n v="5213.92"/>
    <n v="1906.7286400000003"/>
    <n v="0.26777457172778013"/>
    <n v="0.17"/>
    <n v="447.19569999999993"/>
    <n v="325.87"/>
    <n v="18.72"/>
    <n v="8371.5035039999984"/>
    <n v="6100.2864"/>
    <n v="2271.2171039999985"/>
    <n v="0.27130336897246538"/>
    <n v="1250.8548639999981"/>
    <n v="1906.7286400000003"/>
    <n v="3.5287972446852445E-3"/>
  </r>
  <r>
    <x v="271"/>
    <x v="243"/>
    <d v="2024-04-17T00:00:00"/>
    <s v="Q1-2024"/>
    <d v="2024-04-17T00:00:00"/>
    <n v="17"/>
    <x v="0"/>
    <x v="3"/>
    <x v="6"/>
    <x v="37"/>
    <s v="Education"/>
    <x v="4"/>
    <x v="10"/>
    <x v="5"/>
    <s v="Medium"/>
    <x v="271"/>
    <n v="1025.51"/>
    <n v="1436.54"/>
    <n v="1436.54"/>
    <n v="0.13900000000000001"/>
    <n v="0.13900000000000001"/>
    <x v="0"/>
    <n v="28"/>
    <n v="34632.106319999999"/>
    <n v="28714.28"/>
    <n v="5917.8263200000001"/>
    <n v="0.17087688127656453"/>
    <n v="0.13900000000000001"/>
    <n v="1236.86094"/>
    <n v="1025.51"/>
    <n v="32.76"/>
    <n v="40519.564394399997"/>
    <n v="33595.707599999994"/>
    <n v="6923.8567944000024"/>
    <n v="0.17087688127656461"/>
    <n v="5887.4580743999977"/>
    <n v="5917.8263200000001"/>
    <n v="0"/>
  </r>
  <r>
    <x v="272"/>
    <x v="244"/>
    <d v="2023-08-13T00:00:00"/>
    <s v="Q3-2023"/>
    <d v="2023-08-13T00:00:00"/>
    <n v="20"/>
    <x v="0"/>
    <x v="2"/>
    <x v="3"/>
    <x v="19"/>
    <s v="Education"/>
    <x v="4"/>
    <x v="0"/>
    <x v="5"/>
    <s v="High"/>
    <x v="272"/>
    <n v="1082.3800000000001"/>
    <n v="1766.55"/>
    <n v="1766.55"/>
    <n v="0.16400000000000001"/>
    <n v="0.16400000000000001"/>
    <x v="0"/>
    <n v="20"/>
    <n v="29536.716"/>
    <n v="21647.600000000002"/>
    <n v="7889.1159999999982"/>
    <n v="0.26709523157550752"/>
    <n v="0.16400000000000001"/>
    <n v="1476.8357999999998"/>
    <n v="1082.3800000000001"/>
    <n v="23.4"/>
    <n v="34557.957719999991"/>
    <n v="25327.692000000003"/>
    <n v="9230.2657199999885"/>
    <n v="0.2670952315755073"/>
    <n v="5021.2417199999909"/>
    <n v="7889.1159999999982"/>
    <n v="0"/>
  </r>
  <r>
    <x v="273"/>
    <x v="245"/>
    <d v="2024-04-13T00:00:00"/>
    <s v="Q1-2024"/>
    <d v="2024-04-13T00:00:00"/>
    <n v="28"/>
    <x v="0"/>
    <x v="3"/>
    <x v="7"/>
    <x v="28"/>
    <s v="Small Business"/>
    <x v="1"/>
    <x v="11"/>
    <x v="1"/>
    <s v="Low"/>
    <x v="273"/>
    <n v="287.61"/>
    <n v="628.54"/>
    <n v="628.54"/>
    <n v="0.13500000000000001"/>
    <n v="0.13500000000000001"/>
    <x v="0"/>
    <n v="21"/>
    <n v="11417.429099999999"/>
    <n v="6039.81"/>
    <n v="5377.619099999999"/>
    <n v="0.47100087531964613"/>
    <n v="0.13500000000000001"/>
    <n v="543.68709999999999"/>
    <n v="287.61"/>
    <n v="24.57"/>
    <n v="13358.392046999999"/>
    <n v="7066.5777000000007"/>
    <n v="6291.8143469999986"/>
    <n v="0.47100087531964607"/>
    <n v="1940.962947"/>
    <n v="5377.619099999999"/>
    <n v="0"/>
  </r>
  <r>
    <x v="274"/>
    <x v="246"/>
    <d v="2024-01-27T00:00:00"/>
    <s v="Q1-2024"/>
    <d v="2024-01-27T00:00:00"/>
    <n v="2"/>
    <x v="1"/>
    <x v="2"/>
    <x v="5"/>
    <x v="8"/>
    <s v="Non-Profit"/>
    <x v="2"/>
    <x v="13"/>
    <x v="4"/>
    <s v="Medium"/>
    <x v="274"/>
    <n v="1410.97"/>
    <n v="1650.75"/>
    <n v="1650.75"/>
    <n v="0.13500000000000001"/>
    <n v="0.13500000000000001"/>
    <x v="0"/>
    <n v="6"/>
    <n v="8567.3924999999999"/>
    <n v="8465.82"/>
    <n v="101.57250000000022"/>
    <n v="1.1855707556295596E-2"/>
    <n v="0.13500000000000001"/>
    <n v="1427.8987500000001"/>
    <n v="1410.97"/>
    <n v="7.02"/>
    <n v="10023.849225"/>
    <n v="9905.009399999999"/>
    <n v="118.83982500000093"/>
    <n v="1.1855707556295664E-2"/>
    <n v="1456.456725"/>
    <n v="101.57250000000022"/>
    <n v="6.7654215563095477E-17"/>
  </r>
  <r>
    <x v="275"/>
    <x v="247"/>
    <d v="2024-04-11T00:00:00"/>
    <s v="Q1-2024"/>
    <d v="2024-04-11T00:00:00"/>
    <n v="15"/>
    <x v="0"/>
    <x v="2"/>
    <x v="10"/>
    <x v="24"/>
    <s v="Small Business"/>
    <x v="4"/>
    <x v="7"/>
    <x v="2"/>
    <s v="High"/>
    <x v="275"/>
    <n v="1338.35"/>
    <n v="2247.14"/>
    <n v="2247.14"/>
    <n v="0.115"/>
    <n v="0.115"/>
    <x v="0"/>
    <n v="40"/>
    <n v="79548.755999999994"/>
    <n v="53534"/>
    <n v="26014.755999999994"/>
    <n v="0.32702907384246205"/>
    <n v="0.115"/>
    <n v="1988.7188999999998"/>
    <n v="1338.35"/>
    <n v="46.8"/>
    <n v="93072.044519999981"/>
    <n v="62634.779999999992"/>
    <n v="30437.26451999999"/>
    <n v="0.32702907384246205"/>
    <n v="13523.288519999987"/>
    <n v="26014.755999999994"/>
    <n v="0"/>
  </r>
  <r>
    <x v="276"/>
    <x v="35"/>
    <d v="2025-07-14T00:00:00"/>
    <s v="Q2-2025"/>
    <d v="2025-07-14T00:00:00"/>
    <n v="20"/>
    <x v="0"/>
    <x v="3"/>
    <x v="6"/>
    <x v="9"/>
    <s v="Corporate"/>
    <x v="4"/>
    <x v="7"/>
    <x v="6"/>
    <s v="Medium"/>
    <x v="276"/>
    <n v="385.08"/>
    <n v="893.19"/>
    <n v="893.19"/>
    <n v="0.151"/>
    <n v="0.151"/>
    <x v="0"/>
    <n v="8"/>
    <n v="6066.54648"/>
    <n v="3080.64"/>
    <n v="2985.9064800000001"/>
    <n v="0.49219213762621666"/>
    <n v="0.151"/>
    <n v="758.31831"/>
    <n v="385.08"/>
    <n v="9.36"/>
    <n v="7097.8593815999993"/>
    <n v="3604.3487999999998"/>
    <n v="3493.5105815999996"/>
    <n v="0.49219213762621661"/>
    <n v="1031.3129015999993"/>
    <n v="2985.9064800000001"/>
    <n v="0"/>
  </r>
  <r>
    <x v="277"/>
    <x v="248"/>
    <d v="2024-07-03T00:00:00"/>
    <s v="Q2-2024"/>
    <d v="2024-07-03T00:00:00"/>
    <n v="17"/>
    <x v="0"/>
    <x v="0"/>
    <x v="11"/>
    <x v="20"/>
    <s v="Enterprise"/>
    <x v="2"/>
    <x v="9"/>
    <x v="3"/>
    <s v="High"/>
    <x v="277"/>
    <n v="1173.83"/>
    <n v="2328.9"/>
    <n v="2328.9"/>
    <n v="0.12"/>
    <n v="0.12"/>
    <x v="0"/>
    <n v="17"/>
    <n v="34840.344000000005"/>
    <n v="19955.11"/>
    <n v="14885.234000000004"/>
    <n v="0.42724130393201637"/>
    <n v="0.12"/>
    <n v="2049.4320000000002"/>
    <n v="1173.83"/>
    <n v="19.89"/>
    <n v="40763.202480000007"/>
    <n v="23347.4787"/>
    <n v="17415.723780000008"/>
    <n v="0.42724130393201637"/>
    <n v="5922.8584800000026"/>
    <n v="14885.234000000004"/>
    <n v="0"/>
  </r>
  <r>
    <x v="278"/>
    <x v="249"/>
    <d v="2023-11-14T00:00:00"/>
    <s v="Q4-2023"/>
    <d v="2023-11-14T00:00:00"/>
    <n v="15"/>
    <x v="0"/>
    <x v="1"/>
    <x v="4"/>
    <x v="6"/>
    <s v="Corporate"/>
    <x v="1"/>
    <x v="9"/>
    <x v="4"/>
    <s v="Medium"/>
    <x v="278"/>
    <n v="953.46"/>
    <n v="2066.75"/>
    <n v="2066.75"/>
    <n v="0.13800000000000001"/>
    <n v="0.13800000000000001"/>
    <x v="0"/>
    <n v="5"/>
    <n v="8907.6924999999992"/>
    <n v="4767.3"/>
    <n v="4140.392499999999"/>
    <n v="0.46481089238318446"/>
    <n v="0.13800000000000001"/>
    <n v="1781.5384999999999"/>
    <n v="953.46"/>
    <n v="5.85"/>
    <n v="10422.000224999998"/>
    <n v="5577.741"/>
    <n v="4844.259224999998"/>
    <n v="0.4648108923831844"/>
    <n v="1514.3077249999988"/>
    <n v="4140.392499999999"/>
    <n v="0"/>
  </r>
  <r>
    <x v="279"/>
    <x v="250"/>
    <d v="2023-06-23T00:00:00"/>
    <s v="Q2-2023"/>
    <d v="2023-06-23T00:00:00"/>
    <n v="8"/>
    <x v="0"/>
    <x v="2"/>
    <x v="10"/>
    <x v="24"/>
    <s v="Consumer"/>
    <x v="3"/>
    <x v="7"/>
    <x v="5"/>
    <s v="High"/>
    <x v="279"/>
    <n v="1097.0899999999999"/>
    <n v="2182.31"/>
    <n v="2182.31"/>
    <n v="0.112"/>
    <n v="0.112"/>
    <x v="0"/>
    <n v="9"/>
    <n v="17441.021520000002"/>
    <n v="9873.81"/>
    <n v="7567.2115200000026"/>
    <n v="0.43387432962699546"/>
    <n v="0.112"/>
    <n v="1937.8912800000001"/>
    <n v="1097.0899999999999"/>
    <n v="10.53"/>
    <n v="20405.9951784"/>
    <n v="11552.357699999999"/>
    <n v="8853.6374784000018"/>
    <n v="0.43387432962699546"/>
    <n v="2964.9736583999984"/>
    <n v="7567.2115200000026"/>
    <n v="0"/>
  </r>
  <r>
    <x v="280"/>
    <x v="251"/>
    <d v="2025-03-29T00:00:00"/>
    <s v="Q1-2025"/>
    <d v="2025-03-29T00:00:00"/>
    <n v="15"/>
    <x v="0"/>
    <x v="1"/>
    <x v="2"/>
    <x v="27"/>
    <s v="Non-Profit"/>
    <x v="4"/>
    <x v="10"/>
    <x v="2"/>
    <s v="High"/>
    <x v="280"/>
    <n v="1106.96"/>
    <n v="2726.62"/>
    <n v="2726.62"/>
    <n v="0.317"/>
    <n v="0.12"/>
    <x v="0"/>
    <n v="7"/>
    <n v="16795.979200000002"/>
    <n v="7748.72"/>
    <n v="9047.2592000000004"/>
    <n v="0.53865625172958054"/>
    <n v="0.317"/>
    <n v="1862.2814600000002"/>
    <n v="1106.96"/>
    <n v="8.19"/>
    <n v="15252.085157400001"/>
    <n v="9066.0023999999994"/>
    <n v="6186.0827574000014"/>
    <n v="0.40558931408789312"/>
    <n v="-1543.8940426000008"/>
    <n v="9047.2592000000004"/>
    <n v="-0.13306693764168742"/>
  </r>
  <r>
    <x v="281"/>
    <x v="182"/>
    <d v="2023-08-25T00:00:00"/>
    <s v="Q3-2023"/>
    <d v="2023-08-25T00:00:00"/>
    <n v="10"/>
    <x v="0"/>
    <x v="0"/>
    <x v="0"/>
    <x v="2"/>
    <s v="Small Business"/>
    <x v="0"/>
    <x v="13"/>
    <x v="3"/>
    <s v="Low"/>
    <x v="281"/>
    <n v="91.85"/>
    <n v="111.29"/>
    <n v="111.29"/>
    <n v="0"/>
    <n v="0"/>
    <x v="0"/>
    <n v="6"/>
    <n v="667.74"/>
    <n v="551.09999999999991"/>
    <n v="116.6400000000001"/>
    <n v="0.17467876718483258"/>
    <n v="0"/>
    <n v="111.29"/>
    <n v="91.85"/>
    <n v="7.02"/>
    <n v="781.25580000000002"/>
    <n v="644.78699999999992"/>
    <n v="136.4688000000001"/>
    <n v="0.17467876718483255"/>
    <n v="113.51580000000001"/>
    <n v="116.6400000000001"/>
    <n v="0"/>
  </r>
  <r>
    <x v="282"/>
    <x v="252"/>
    <d v="2025-05-28T00:00:00"/>
    <s v="Q2-2025"/>
    <d v="2025-05-28T00:00:00"/>
    <n v="11"/>
    <x v="0"/>
    <x v="1"/>
    <x v="4"/>
    <x v="6"/>
    <s v="Corporate"/>
    <x v="3"/>
    <x v="5"/>
    <x v="4"/>
    <s v="Low"/>
    <x v="282"/>
    <n v="623.4"/>
    <n v="1100.0899999999999"/>
    <n v="1100.0899999999999"/>
    <n v="0.114"/>
    <n v="0.114"/>
    <x v="0"/>
    <n v="12"/>
    <n v="11696.156879999999"/>
    <n v="7480.7999999999993"/>
    <n v="4215.3568799999994"/>
    <n v="0.36040529579490388"/>
    <n v="0.114"/>
    <n v="974.67973999999992"/>
    <n v="623.4"/>
    <n v="14.04"/>
    <n v="13684.503549599998"/>
    <n v="8752.5360000000001"/>
    <n v="4931.9675495999982"/>
    <n v="0.36040529579490377"/>
    <n v="1988.3466695999996"/>
    <n v="4215.3568799999994"/>
    <n v="0"/>
  </r>
  <r>
    <x v="283"/>
    <x v="94"/>
    <d v="2024-02-05T00:00:00"/>
    <s v="Q1-2024"/>
    <d v="2024-02-05T00:00:00"/>
    <n v="23"/>
    <x v="0"/>
    <x v="3"/>
    <x v="6"/>
    <x v="37"/>
    <s v="Education"/>
    <x v="4"/>
    <x v="5"/>
    <x v="4"/>
    <s v="Medium"/>
    <x v="283"/>
    <n v="1017.93"/>
    <n v="1529.14"/>
    <n v="1529.14"/>
    <n v="0.155"/>
    <n v="0.155"/>
    <x v="0"/>
    <n v="12"/>
    <n v="15505.479600000001"/>
    <n v="12215.16"/>
    <n v="3290.3196000000007"/>
    <n v="0.21220366508366503"/>
    <n v="0.155"/>
    <n v="1292.1233"/>
    <n v="1017.93"/>
    <n v="14.04"/>
    <n v="18141.411131999997"/>
    <n v="14291.737199999998"/>
    <n v="3849.6739319999997"/>
    <n v="0.21220366508366501"/>
    <n v="2635.9315319999969"/>
    <n v="3290.3196000000007"/>
    <n v="0"/>
  </r>
  <r>
    <x v="284"/>
    <x v="87"/>
    <d v="2023-07-21T00:00:00"/>
    <s v="Q2-2023"/>
    <d v="2023-07-21T00:00:00"/>
    <n v="27"/>
    <x v="0"/>
    <x v="1"/>
    <x v="2"/>
    <x v="32"/>
    <s v="Consumer"/>
    <x v="2"/>
    <x v="1"/>
    <x v="3"/>
    <s v="Low"/>
    <x v="284"/>
    <n v="554.76"/>
    <n v="728.69"/>
    <n v="728.69"/>
    <n v="0.22"/>
    <n v="0.22"/>
    <x v="1"/>
    <n v="7"/>
    <n v="3978.6474000000003"/>
    <n v="3883.3199999999997"/>
    <n v="95.32740000000058"/>
    <n v="2.395975074343119E-2"/>
    <n v="0.17"/>
    <n v="604.81270000000006"/>
    <n v="554.76"/>
    <n v="8.19"/>
    <n v="4953.416013"/>
    <n v="4543.4843999999994"/>
    <n v="409.93161300000065"/>
    <n v="8.2757356120332928E-2"/>
    <n v="974.76861299999973"/>
    <n v="95.32740000000058"/>
    <n v="5.8797605376901735E-2"/>
  </r>
  <r>
    <x v="285"/>
    <x v="253"/>
    <d v="2025-04-13T00:00:00"/>
    <s v="Q2-2025"/>
    <d v="2025-04-13T00:00:00"/>
    <n v="9"/>
    <x v="0"/>
    <x v="3"/>
    <x v="6"/>
    <x v="22"/>
    <s v="Consumer"/>
    <x v="2"/>
    <x v="9"/>
    <x v="3"/>
    <s v="Low"/>
    <x v="285"/>
    <n v="7.02"/>
    <n v="6.28"/>
    <n v="6.28"/>
    <n v="0.13400000000000001"/>
    <n v="0.13400000000000001"/>
    <x v="0"/>
    <n v="14"/>
    <n v="76.138720000000006"/>
    <n v="98.28"/>
    <n v="-22.141279999999995"/>
    <n v="-0.29080184169106066"/>
    <n v="0.13400000000000001"/>
    <n v="5.4384800000000002"/>
    <n v="7.02"/>
    <n v="16.38"/>
    <n v="89.082302400000003"/>
    <n v="114.98759999999999"/>
    <n v="-25.905297599999983"/>
    <n v="-0.29080184169106055"/>
    <n v="12.943582399999997"/>
    <n v="-22.141279999999995"/>
    <n v="0"/>
  </r>
  <r>
    <x v="286"/>
    <x v="254"/>
    <d v="2024-09-07T00:00:00"/>
    <s v="Q3-2024"/>
    <d v="2024-09-07T00:00:00"/>
    <n v="0"/>
    <x v="1"/>
    <x v="1"/>
    <x v="4"/>
    <x v="29"/>
    <s v="Education"/>
    <x v="3"/>
    <x v="5"/>
    <x v="2"/>
    <s v="High"/>
    <x v="286"/>
    <n v="1066.6500000000001"/>
    <n v="2569.77"/>
    <n v="2569.77"/>
    <n v="0.13400000000000001"/>
    <n v="0.13400000000000001"/>
    <x v="0"/>
    <n v="9"/>
    <n v="20028.787380000002"/>
    <n v="9599.85"/>
    <n v="10428.937380000001"/>
    <n v="0.52069739331368348"/>
    <n v="0.13400000000000001"/>
    <n v="2225.4208199999998"/>
    <n v="1066.6500000000001"/>
    <n v="10.53"/>
    <n v="23433.681234599997"/>
    <n v="11231.824500000001"/>
    <n v="12201.856734599996"/>
    <n v="0.52069739331368337"/>
    <n v="3404.8938545999954"/>
    <n v="10428.937380000001"/>
    <n v="0"/>
  </r>
  <r>
    <x v="287"/>
    <x v="10"/>
    <d v="2024-01-30T00:00:00"/>
    <s v="Q1-2024"/>
    <d v="2024-01-30T00:00:00"/>
    <n v="2"/>
    <x v="1"/>
    <x v="0"/>
    <x v="11"/>
    <x v="33"/>
    <s v="Consumer"/>
    <x v="4"/>
    <x v="9"/>
    <x v="6"/>
    <s v="High"/>
    <x v="287"/>
    <n v="798.45"/>
    <n v="1592.02"/>
    <n v="1592.02"/>
    <n v="6.6000000000000003E-2"/>
    <n v="6.6000000000000003E-2"/>
    <x v="0"/>
    <n v="18"/>
    <n v="26765.040239999998"/>
    <n v="14372.1"/>
    <n v="12392.940239999998"/>
    <n v="0.46302714768494585"/>
    <n v="6.6000000000000003E-2"/>
    <n v="1486.9466799999998"/>
    <n v="798.45"/>
    <n v="21.06"/>
    <n v="31315.097080799995"/>
    <n v="16815.357"/>
    <n v="14499.740080799995"/>
    <n v="0.46302714768494579"/>
    <n v="4550.0568407999963"/>
    <n v="12392.940239999998"/>
    <n v="0"/>
  </r>
  <r>
    <x v="288"/>
    <x v="255"/>
    <d v="2023-08-10T00:00:00"/>
    <s v="Q3-2023"/>
    <d v="2023-08-10T00:00:00"/>
    <n v="23"/>
    <x v="0"/>
    <x v="0"/>
    <x v="11"/>
    <x v="20"/>
    <s v="Small Business"/>
    <x v="0"/>
    <x v="4"/>
    <x v="0"/>
    <s v="Medium"/>
    <x v="288"/>
    <n v="1271.56"/>
    <n v="995.47"/>
    <n v="995.47"/>
    <n v="0.192"/>
    <n v="0.192"/>
    <x v="0"/>
    <n v="13"/>
    <n v="10456.416880000001"/>
    <n v="16530.28"/>
    <n v="-6073.8631199999982"/>
    <n v="-0.58087423155607754"/>
    <n v="0.17"/>
    <n v="826.24009999999998"/>
    <n v="1271.56"/>
    <n v="15.209999999999999"/>
    <n v="12567.111921"/>
    <n v="19340.427599999999"/>
    <n v="-6773.3156789999994"/>
    <n v="-0.53897154108109735"/>
    <n v="2110.695040999999"/>
    <n v="-6073.8631199999982"/>
    <n v="4.1902690474980187E-2"/>
  </r>
  <r>
    <x v="289"/>
    <x v="256"/>
    <d v="2025-08-26T00:00:00"/>
    <s v="Q3-2025"/>
    <d v="2025-09-15T00:00:00"/>
    <n v="18"/>
    <x v="0"/>
    <x v="0"/>
    <x v="1"/>
    <x v="1"/>
    <s v="Small Business"/>
    <x v="0"/>
    <x v="8"/>
    <x v="6"/>
    <s v="Medium"/>
    <x v="289"/>
    <n v="521.05999999999995"/>
    <n v="1240.31"/>
    <n v="1240.31"/>
    <n v="0.14599999999999999"/>
    <n v="0.14599999999999999"/>
    <x v="0"/>
    <n v="18"/>
    <n v="19066.045319999997"/>
    <n v="9379.0799999999981"/>
    <n v="9686.9653199999993"/>
    <n v="0.50807417885650974"/>
    <n v="0.14599999999999999"/>
    <n v="1059.2247399999999"/>
    <n v="521.05999999999995"/>
    <n v="21.06"/>
    <n v="22307.273024399998"/>
    <n v="10973.523599999999"/>
    <n v="11333.749424399999"/>
    <n v="0.50807417885650974"/>
    <n v="3241.2277044000002"/>
    <n v="9686.9653199999993"/>
    <n v="0"/>
  </r>
  <r>
    <x v="290"/>
    <x v="257"/>
    <d v="2025-04-07T00:00:00"/>
    <s v="Q1-2025"/>
    <d v="2025-04-07T00:00:00"/>
    <n v="8"/>
    <x v="0"/>
    <x v="2"/>
    <x v="5"/>
    <x v="8"/>
    <s v="Non-Profit"/>
    <x v="4"/>
    <x v="4"/>
    <x v="1"/>
    <s v="Low"/>
    <x v="290"/>
    <n v="71.62"/>
    <n v="118.37"/>
    <n v="118.37"/>
    <n v="0.156"/>
    <n v="0.156"/>
    <x v="0"/>
    <n v="11"/>
    <n v="1098.9470800000001"/>
    <n v="787.82"/>
    <n v="311.12708000000009"/>
    <n v="0.28311379652603474"/>
    <n v="0.156"/>
    <n v="99.90428"/>
    <n v="71.62"/>
    <n v="12.87"/>
    <n v="1285.7680836"/>
    <n v="921.74940000000004"/>
    <n v="364.01868359999992"/>
    <n v="0.28311379652603469"/>
    <n v="186.82100359999981"/>
    <n v="311.12708000000009"/>
    <n v="0"/>
  </r>
  <r>
    <x v="291"/>
    <x v="258"/>
    <d v="2023-11-09T00:00:00"/>
    <s v="Q4-2023"/>
    <d v="2023-11-09T00:00:00"/>
    <n v="19"/>
    <x v="0"/>
    <x v="3"/>
    <x v="8"/>
    <x v="21"/>
    <s v="Non-Profit"/>
    <x v="4"/>
    <x v="8"/>
    <x v="6"/>
    <s v="High"/>
    <x v="291"/>
    <n v="1142.48"/>
    <n v="2105.5300000000002"/>
    <n v="2105.5300000000002"/>
    <n v="0.20699999999999999"/>
    <n v="0.20699999999999999"/>
    <x v="1"/>
    <n v="14"/>
    <n v="23375.594060000003"/>
    <n v="15994.720000000001"/>
    <n v="7380.8740600000019"/>
    <n v="0.31575129346680658"/>
    <n v="0.17"/>
    <n v="1747.5899000000002"/>
    <n v="1142.48"/>
    <n v="16.38"/>
    <n v="28625.522562000002"/>
    <n v="18713.822400000001"/>
    <n v="9911.700162000001"/>
    <n v="0.34625394664961157"/>
    <n v="5249.9285019999988"/>
    <n v="7380.8740600000019"/>
    <n v="3.0502653182804984E-2"/>
  </r>
  <r>
    <x v="292"/>
    <x v="259"/>
    <d v="2023-09-22T00:00:00"/>
    <s v="Q3-2023"/>
    <d v="2023-09-22T00:00:00"/>
    <n v="30"/>
    <x v="0"/>
    <x v="3"/>
    <x v="8"/>
    <x v="21"/>
    <s v="Consumer"/>
    <x v="3"/>
    <x v="7"/>
    <x v="6"/>
    <s v="Low"/>
    <x v="292"/>
    <n v="209.81"/>
    <n v="523"/>
    <n v="523"/>
    <n v="5.8999999999999997E-2"/>
    <n v="5.8999999999999997E-2"/>
    <x v="0"/>
    <n v="15"/>
    <n v="7382.1450000000004"/>
    <n v="3147.15"/>
    <n v="4234.9950000000008"/>
    <n v="0.57368082041195356"/>
    <n v="5.8999999999999997E-2"/>
    <n v="492.14300000000003"/>
    <n v="209.81"/>
    <n v="17.549999999999997"/>
    <n v="8637.1096499999985"/>
    <n v="3682.1654999999996"/>
    <n v="4954.9441499999994"/>
    <n v="0.57368082041195345"/>
    <n v="1254.9646499999981"/>
    <n v="4234.9950000000008"/>
    <n v="0"/>
  </r>
  <r>
    <x v="293"/>
    <x v="260"/>
    <d v="2025-05-04T00:00:00"/>
    <s v="Q2-2025"/>
    <d v="2025-05-04T00:00:00"/>
    <n v="23"/>
    <x v="0"/>
    <x v="1"/>
    <x v="2"/>
    <x v="4"/>
    <s v="Small Business"/>
    <x v="1"/>
    <x v="12"/>
    <x v="0"/>
    <s v="Medium"/>
    <x v="293"/>
    <n v="786.2"/>
    <n v="1075.3"/>
    <n v="1075.3"/>
    <n v="0.08"/>
    <n v="0.08"/>
    <x v="0"/>
    <n v="9"/>
    <n v="8903.4839999999986"/>
    <n v="7075.8"/>
    <n v="1827.6839999999984"/>
    <n v="0.20527739478163815"/>
    <n v="0.08"/>
    <n v="989.27599999999995"/>
    <n v="786.2"/>
    <n v="10.53"/>
    <n v="10417.076279999999"/>
    <n v="8278.6859999999997"/>
    <n v="2138.3902799999996"/>
    <n v="0.20527739478163826"/>
    <n v="1513.5922800000008"/>
    <n v="1827.6839999999984"/>
    <n v="0"/>
  </r>
  <r>
    <x v="294"/>
    <x v="261"/>
    <d v="2025-06-27T00:00:00"/>
    <s v="Q2-2025"/>
    <d v="2025-06-27T00:00:00"/>
    <n v="26"/>
    <x v="0"/>
    <x v="3"/>
    <x v="6"/>
    <x v="22"/>
    <s v="Consumer"/>
    <x v="3"/>
    <x v="6"/>
    <x v="4"/>
    <s v="High"/>
    <x v="294"/>
    <n v="1362.31"/>
    <n v="3294.57"/>
    <n v="3294.57"/>
    <n v="0.113"/>
    <n v="0.113"/>
    <x v="0"/>
    <n v="7"/>
    <n v="20455.985130000001"/>
    <n v="9536.17"/>
    <n v="10919.815130000001"/>
    <n v="0.5338200561157721"/>
    <n v="0.113"/>
    <n v="2922.28359"/>
    <n v="1362.31"/>
    <n v="8.19"/>
    <n v="23933.502602099998"/>
    <n v="11157.318899999998"/>
    <n v="12776.183702099999"/>
    <n v="0.5338200561157721"/>
    <n v="3477.5174720999967"/>
    <n v="10919.815130000001"/>
    <n v="0"/>
  </r>
  <r>
    <x v="295"/>
    <x v="262"/>
    <d v="2024-03-16T00:00:00"/>
    <s v="Q1-2024"/>
    <d v="2024-03-16T00:00:00"/>
    <n v="14"/>
    <x v="0"/>
    <x v="2"/>
    <x v="3"/>
    <x v="26"/>
    <s v="Non-Profit"/>
    <x v="4"/>
    <x v="7"/>
    <x v="1"/>
    <s v="Low"/>
    <x v="295"/>
    <n v="248.24"/>
    <n v="464.05"/>
    <n v="464.05"/>
    <n v="0.16900000000000001"/>
    <n v="0.16900000000000001"/>
    <x v="0"/>
    <n v="11"/>
    <n v="4241.88105"/>
    <n v="2730.6400000000003"/>
    <n v="1511.2410499999996"/>
    <n v="0.3562667203975462"/>
    <n v="0.16900000000000001"/>
    <n v="385.62554999999998"/>
    <n v="248.24"/>
    <n v="12.87"/>
    <n v="4963.0008284999994"/>
    <n v="3194.8487999999998"/>
    <n v="1768.1520284999997"/>
    <n v="0.35626672039754625"/>
    <n v="721.11977849999948"/>
    <n v="1511.2410499999996"/>
    <n v="0"/>
  </r>
  <r>
    <x v="296"/>
    <x v="263"/>
    <d v="2023-07-08T00:00:00"/>
    <s v="Q2-2023"/>
    <d v="2023-07-08T00:00:00"/>
    <n v="18"/>
    <x v="0"/>
    <x v="2"/>
    <x v="10"/>
    <x v="36"/>
    <s v="Non-Profit"/>
    <x v="4"/>
    <x v="9"/>
    <x v="5"/>
    <s v="Low"/>
    <x v="296"/>
    <n v="337"/>
    <n v="511.03"/>
    <n v="511.03"/>
    <n v="0.108"/>
    <n v="0.108"/>
    <x v="0"/>
    <n v="7"/>
    <n v="3190.8713200000002"/>
    <n v="2359"/>
    <n v="831.8713200000002"/>
    <n v="0.26070349963219458"/>
    <n v="0.108"/>
    <n v="455.83875999999998"/>
    <n v="337"/>
    <n v="8.19"/>
    <n v="3733.3194443999996"/>
    <n v="2760.0299999999997"/>
    <n v="973.28944439999987"/>
    <n v="0.26070349963219452"/>
    <n v="542.44812439999941"/>
    <n v="831.8713200000002"/>
    <n v="0"/>
  </r>
  <r>
    <x v="297"/>
    <x v="264"/>
    <d v="2024-04-05T00:00:00"/>
    <s v="Q1-2024"/>
    <d v="2024-04-05T00:00:00"/>
    <n v="10"/>
    <x v="0"/>
    <x v="2"/>
    <x v="10"/>
    <x v="36"/>
    <s v="Consumer"/>
    <x v="4"/>
    <x v="1"/>
    <x v="5"/>
    <s v="Low"/>
    <x v="297"/>
    <n v="5.66"/>
    <n v="4.22"/>
    <n v="4.22"/>
    <n v="0.11899999999999999"/>
    <n v="0.11899999999999999"/>
    <x v="0"/>
    <n v="18"/>
    <n v="66.920760000000001"/>
    <n v="101.88"/>
    <n v="-34.959239999999994"/>
    <n v="-0.52239753403876454"/>
    <n v="0.11899999999999999"/>
    <n v="3.7178199999999997"/>
    <n v="5.66"/>
    <n v="21.06"/>
    <n v="78.297289199999994"/>
    <n v="119.19959999999999"/>
    <n v="-40.902310799999995"/>
    <n v="-0.52239753403876465"/>
    <n v="11.376529199999993"/>
    <n v="-34.959239999999994"/>
    <n v="0"/>
  </r>
  <r>
    <x v="298"/>
    <x v="265"/>
    <d v="2025-01-22T00:00:00"/>
    <s v="Q1-2025"/>
    <d v="2025-01-22T00:00:00"/>
    <n v="0"/>
    <x v="1"/>
    <x v="3"/>
    <x v="7"/>
    <x v="17"/>
    <s v="Small Business"/>
    <x v="1"/>
    <x v="5"/>
    <x v="6"/>
    <s v="Low"/>
    <x v="298"/>
    <n v="591.72"/>
    <n v="577.24"/>
    <n v="577.24"/>
    <n v="0"/>
    <n v="0"/>
    <x v="0"/>
    <n v="22"/>
    <n v="12699.28"/>
    <n v="13017.84"/>
    <n v="-318.55999999999949"/>
    <n v="-2.5084886702238195E-2"/>
    <n v="0"/>
    <n v="577.24"/>
    <n v="591.72"/>
    <n v="25.74"/>
    <n v="14858.157599999999"/>
    <n v="15230.872799999999"/>
    <n v="-372.71520000000055"/>
    <n v="-2.5084886702238275E-2"/>
    <n v="2158.877599999998"/>
    <n v="-318.55999999999949"/>
    <n v="-7.9797279894933126E-17"/>
  </r>
  <r>
    <x v="299"/>
    <x v="266"/>
    <d v="2025-05-27T00:00:00"/>
    <s v="Q2-2025"/>
    <d v="2025-05-27T00:00:00"/>
    <n v="17"/>
    <x v="0"/>
    <x v="2"/>
    <x v="3"/>
    <x v="26"/>
    <s v="Education"/>
    <x v="4"/>
    <x v="0"/>
    <x v="0"/>
    <s v="Medium"/>
    <x v="299"/>
    <n v="862.89"/>
    <n v="1426.03"/>
    <n v="1426.03"/>
    <n v="5.6000000000000001E-2"/>
    <n v="5.6000000000000001E-2"/>
    <x v="0"/>
    <n v="19"/>
    <n v="25577.274079999999"/>
    <n v="16394.91"/>
    <n v="9182.3640799999994"/>
    <n v="0.35900479665188778"/>
    <n v="5.6000000000000001E-2"/>
    <n v="1346.1723199999999"/>
    <n v="862.89"/>
    <n v="22.229999999999997"/>
    <n v="29925.410673599992"/>
    <n v="19182.044699999999"/>
    <n v="10743.365973599994"/>
    <n v="0.35900479665188767"/>
    <n v="4348.1365935999929"/>
    <n v="9182.3640799999994"/>
    <n v="0"/>
  </r>
  <r>
    <x v="300"/>
    <x v="230"/>
    <d v="2023-10-31T00:00:00"/>
    <s v="Q4-2023"/>
    <d v="2023-10-31T00:00:00"/>
    <n v="26"/>
    <x v="0"/>
    <x v="1"/>
    <x v="9"/>
    <x v="23"/>
    <s v="Consumer"/>
    <x v="5"/>
    <x v="1"/>
    <x v="1"/>
    <s v="Medium"/>
    <x v="300"/>
    <n v="649.91"/>
    <n v="1360.12"/>
    <n v="1360.12"/>
    <n v="0.19400000000000001"/>
    <n v="0.19400000000000001"/>
    <x v="0"/>
    <n v="9"/>
    <n v="9866.3104799999983"/>
    <n v="5849.19"/>
    <n v="4017.1204799999987"/>
    <n v="0.40715528749506769"/>
    <n v="0.17"/>
    <n v="1128.8996"/>
    <n v="649.91"/>
    <n v="10.53"/>
    <n v="11887.312787999999"/>
    <n v="6843.5522999999994"/>
    <n v="5043.7604879999999"/>
    <n v="0.42429778520605377"/>
    <n v="2021.002308000001"/>
    <n v="4017.1204799999987"/>
    <n v="1.7142497710986082E-2"/>
  </r>
  <r>
    <x v="301"/>
    <x v="255"/>
    <d v="2023-07-22T00:00:00"/>
    <s v="Q3-2023"/>
    <d v="2023-07-22T00:00:00"/>
    <n v="4"/>
    <x v="1"/>
    <x v="2"/>
    <x v="5"/>
    <x v="8"/>
    <s v="Consumer"/>
    <x v="4"/>
    <x v="9"/>
    <x v="2"/>
    <s v="High"/>
    <x v="301"/>
    <n v="1269.55"/>
    <n v="2071.1"/>
    <n v="2071.1"/>
    <n v="0.129"/>
    <n v="0.129"/>
    <x v="0"/>
    <n v="22"/>
    <n v="39686.4182"/>
    <n v="27930.1"/>
    <n v="11756.318200000002"/>
    <n v="0.29623026549672354"/>
    <n v="0.129"/>
    <n v="1803.9280999999999"/>
    <n v="1269.55"/>
    <n v="25.74"/>
    <n v="46433.109293999994"/>
    <n v="32678.216999999997"/>
    <n v="13754.892293999997"/>
    <n v="0.29623026549672349"/>
    <n v="6746.6910939999943"/>
    <n v="11756.318200000002"/>
    <n v="0"/>
  </r>
  <r>
    <x v="302"/>
    <x v="267"/>
    <d v="2025-07-08T00:00:00"/>
    <s v="Q2-2025"/>
    <d v="2025-07-08T00:00:00"/>
    <n v="16"/>
    <x v="0"/>
    <x v="3"/>
    <x v="8"/>
    <x v="21"/>
    <s v="Education"/>
    <x v="4"/>
    <x v="8"/>
    <x v="3"/>
    <s v="Medium"/>
    <x v="302"/>
    <n v="892.73"/>
    <n v="979.84"/>
    <n v="979.84"/>
    <n v="0.17399999999999999"/>
    <n v="0.17399999999999999"/>
    <x v="0"/>
    <n v="10"/>
    <n v="8093.4784"/>
    <n v="8927.2999999999993"/>
    <n v="-833.82159999999931"/>
    <n v="-0.10302388649112838"/>
    <n v="0.17"/>
    <n v="813.2672"/>
    <n v="892.73"/>
    <n v="11.7"/>
    <n v="9515.22624"/>
    <n v="10444.940999999999"/>
    <n v="-929.71475999999893"/>
    <n v="-9.770810872490604E-2"/>
    <n v="1421.74784"/>
    <n v="-833.82159999999931"/>
    <n v="5.3157777662223432E-3"/>
  </r>
  <r>
    <x v="303"/>
    <x v="268"/>
    <d v="2024-06-20T00:00:00"/>
    <s v="Q2-2024"/>
    <d v="2024-06-20T00:00:00"/>
    <n v="1"/>
    <x v="1"/>
    <x v="0"/>
    <x v="0"/>
    <x v="0"/>
    <s v="Small Business"/>
    <x v="4"/>
    <x v="1"/>
    <x v="4"/>
    <s v="Low"/>
    <x v="303"/>
    <n v="231.63"/>
    <n v="537.39"/>
    <n v="537.39"/>
    <n v="0.08"/>
    <n v="0.08"/>
    <x v="0"/>
    <n v="12"/>
    <n v="5932.7856000000002"/>
    <n v="2779.56"/>
    <n v="3153.2256000000002"/>
    <n v="0.53149158129024587"/>
    <n v="0.08"/>
    <n v="494.39879999999999"/>
    <n v="231.63"/>
    <n v="14.04"/>
    <n v="6941.3591519999991"/>
    <n v="3252.0851999999995"/>
    <n v="3689.2739519999996"/>
    <n v="0.53149158129024587"/>
    <n v="1008.5735519999989"/>
    <n v="3153.2256000000002"/>
    <n v="0"/>
  </r>
  <r>
    <x v="304"/>
    <x v="69"/>
    <d v="2025-04-12T00:00:00"/>
    <s v="Q2-2025"/>
    <d v="2025-04-12T00:00:00"/>
    <n v="3"/>
    <x v="1"/>
    <x v="3"/>
    <x v="7"/>
    <x v="17"/>
    <s v="Small Business"/>
    <x v="3"/>
    <x v="10"/>
    <x v="5"/>
    <s v="Low"/>
    <x v="304"/>
    <n v="86.68"/>
    <n v="213.32"/>
    <n v="213.32"/>
    <n v="3.7999999999999999E-2"/>
    <n v="3.7999999999999999E-2"/>
    <x v="0"/>
    <n v="8"/>
    <n v="1641.7107199999998"/>
    <n v="693.44"/>
    <n v="948.27071999999976"/>
    <n v="0.57761133459614611"/>
    <n v="3.7999999999999999E-2"/>
    <n v="205.21383999999998"/>
    <n v="86.68"/>
    <n v="9.36"/>
    <n v="1920.8015423999996"/>
    <n v="811.32479999999998"/>
    <n v="1109.4767423999997"/>
    <n v="0.57761133459614611"/>
    <n v="279.09082239999975"/>
    <n v="948.27071999999976"/>
    <n v="0"/>
  </r>
  <r>
    <x v="305"/>
    <x v="80"/>
    <d v="2025-03-26T00:00:00"/>
    <s v="Q1-2025"/>
    <d v="2025-03-26T00:00:00"/>
    <n v="1"/>
    <x v="1"/>
    <x v="0"/>
    <x v="1"/>
    <x v="3"/>
    <s v="Education"/>
    <x v="3"/>
    <x v="3"/>
    <x v="6"/>
    <s v="High"/>
    <x v="305"/>
    <n v="1450.43"/>
    <n v="1994.67"/>
    <n v="1994.67"/>
    <n v="0.1"/>
    <n v="0.1"/>
    <x v="0"/>
    <n v="24"/>
    <n v="43084.872000000003"/>
    <n v="34810.32"/>
    <n v="8274.5520000000033"/>
    <n v="0.19205237513529116"/>
    <n v="0.1"/>
    <n v="1795.2030000000002"/>
    <n v="1450.43"/>
    <n v="28.08"/>
    <n v="50409.300240000004"/>
    <n v="40728.074399999998"/>
    <n v="9681.2258400000064"/>
    <n v="0.19205237513529122"/>
    <n v="7324.4282400000011"/>
    <n v="8274.5520000000033"/>
    <n v="0"/>
  </r>
  <r>
    <x v="306"/>
    <x v="269"/>
    <d v="2025-06-09T00:00:00"/>
    <s v="Q2-2025"/>
    <d v="2025-06-09T00:00:00"/>
    <n v="22"/>
    <x v="0"/>
    <x v="2"/>
    <x v="10"/>
    <x v="39"/>
    <s v="Consumer"/>
    <x v="0"/>
    <x v="10"/>
    <x v="2"/>
    <s v="Low"/>
    <x v="306"/>
    <n v="382.96"/>
    <n v="552.84"/>
    <n v="552.84"/>
    <n v="0.17599999999999999"/>
    <n v="0.17599999999999999"/>
    <x v="0"/>
    <n v="8"/>
    <n v="3644.3212800000006"/>
    <n v="3063.68"/>
    <n v="580.64128000000073"/>
    <n v="0.15932768693763483"/>
    <n v="0.17"/>
    <n v="458.85719999999998"/>
    <n v="382.96"/>
    <n v="9.36"/>
    <n v="4294.9033919999993"/>
    <n v="3584.5055999999995"/>
    <n v="710.39779199999975"/>
    <n v="0.16540483618868787"/>
    <n v="650.58211199999869"/>
    <n v="580.64128000000073"/>
    <n v="6.0771492510530434E-3"/>
  </r>
  <r>
    <x v="307"/>
    <x v="265"/>
    <d v="2025-02-04T00:00:00"/>
    <s v="Q1-2025"/>
    <d v="2025-02-04T00:00:00"/>
    <n v="13"/>
    <x v="0"/>
    <x v="1"/>
    <x v="2"/>
    <x v="27"/>
    <s v="Small Business"/>
    <x v="3"/>
    <x v="4"/>
    <x v="1"/>
    <s v="Low"/>
    <x v="307"/>
    <n v="122.29"/>
    <n v="224.95"/>
    <n v="224.95"/>
    <n v="0.153"/>
    <n v="0.153"/>
    <x v="0"/>
    <n v="28"/>
    <n v="5334.9141999999993"/>
    <n v="3424.1200000000003"/>
    <n v="1910.7941999999989"/>
    <n v="0.3581677471026618"/>
    <n v="0.153"/>
    <n v="190.53264999999999"/>
    <n v="122.29"/>
    <n v="32.76"/>
    <n v="6241.8496139999988"/>
    <n v="4006.2204000000002"/>
    <n v="2235.6292139999987"/>
    <n v="0.3581677471026618"/>
    <n v="906.93541399999958"/>
    <n v="1910.7941999999989"/>
    <n v="0"/>
  </r>
  <r>
    <x v="308"/>
    <x v="270"/>
    <d v="2023-01-29T00:00:00"/>
    <s v="Q1-2023"/>
    <d v="2023-01-29T00:00:00"/>
    <n v="19"/>
    <x v="0"/>
    <x v="3"/>
    <x v="7"/>
    <x v="17"/>
    <s v="Non-Profit"/>
    <x v="4"/>
    <x v="14"/>
    <x v="4"/>
    <s v="Low"/>
    <x v="308"/>
    <n v="401.66"/>
    <n v="772.09"/>
    <n v="772.09"/>
    <n v="8.8999999999999996E-2"/>
    <n v="8.8999999999999996E-2"/>
    <x v="0"/>
    <n v="14"/>
    <n v="9847.2358600000007"/>
    <n v="5623.2400000000007"/>
    <n v="4223.99586"/>
    <n v="0.42895244107619046"/>
    <n v="8.8999999999999996E-2"/>
    <n v="703.37399000000005"/>
    <n v="401.66"/>
    <n v="16.38"/>
    <n v="11521.265956200001"/>
    <n v="6579.1908000000003"/>
    <n v="4942.0751562000005"/>
    <n v="0.42895244107619052"/>
    <n v="1674.0300962000001"/>
    <n v="4223.99586"/>
    <n v="0"/>
  </r>
  <r>
    <x v="309"/>
    <x v="271"/>
    <d v="2025-01-12T00:00:00"/>
    <s v="Q4-2024"/>
    <d v="2025-01-12T00:00:00"/>
    <n v="14"/>
    <x v="0"/>
    <x v="3"/>
    <x v="8"/>
    <x v="31"/>
    <s v="Corporate"/>
    <x v="4"/>
    <x v="5"/>
    <x v="5"/>
    <s v="High"/>
    <x v="309"/>
    <n v="1399.72"/>
    <n v="3149.21"/>
    <n v="3149.21"/>
    <n v="0.185"/>
    <n v="0.185"/>
    <x v="0"/>
    <n v="12"/>
    <n v="30799.273800000003"/>
    <n v="16796.64"/>
    <n v="14002.633800000003"/>
    <n v="0.45464168703873797"/>
    <n v="0.17"/>
    <n v="2613.8442999999997"/>
    <n v="1399.72"/>
    <n v="14.04"/>
    <n v="36698.373971999994"/>
    <n v="19652.068800000001"/>
    <n v="17046.305171999993"/>
    <n v="0.46449756016454374"/>
    <n v="5899.1001719999913"/>
    <n v="14002.633800000003"/>
    <n v="9.8558731258057697E-3"/>
  </r>
  <r>
    <x v="310"/>
    <x v="154"/>
    <d v="2024-06-06T00:00:00"/>
    <s v="Q2-2024"/>
    <d v="2024-06-06T00:00:00"/>
    <n v="14"/>
    <x v="0"/>
    <x v="2"/>
    <x v="5"/>
    <x v="30"/>
    <s v="Non-Profit"/>
    <x v="1"/>
    <x v="2"/>
    <x v="2"/>
    <s v="Low"/>
    <x v="310"/>
    <n v="51.13"/>
    <n v="57.53"/>
    <n v="57.53"/>
    <n v="4.4999999999999998E-2"/>
    <n v="4.4999999999999998E-2"/>
    <x v="0"/>
    <n v="16"/>
    <n v="879.05840000000001"/>
    <n v="818.08"/>
    <n v="60.978399999999965"/>
    <n v="6.9367859973808302E-2"/>
    <n v="4.4999999999999998E-2"/>
    <n v="54.94115"/>
    <n v="51.13"/>
    <n v="18.72"/>
    <n v="1028.4983279999999"/>
    <n v="957.15359999999998"/>
    <n v="71.344727999999918"/>
    <n v="6.936785997380826E-2"/>
    <n v="149.4399279999999"/>
    <n v="60.978399999999965"/>
    <n v="0"/>
  </r>
  <r>
    <x v="311"/>
    <x v="87"/>
    <d v="2023-06-22T00:00:00"/>
    <s v="Q2-2023"/>
    <d v="2023-07-12T00:00:00"/>
    <n v="18"/>
    <x v="0"/>
    <x v="2"/>
    <x v="3"/>
    <x v="5"/>
    <s v="Non-Profit"/>
    <x v="0"/>
    <x v="12"/>
    <x v="6"/>
    <s v="Low"/>
    <x v="311"/>
    <n v="471.42"/>
    <n v="824.81"/>
    <n v="824.81"/>
    <n v="8.7999999999999995E-2"/>
    <n v="8.7999999999999995E-2"/>
    <x v="0"/>
    <n v="15"/>
    <n v="11283.400799999999"/>
    <n v="7071.3"/>
    <n v="4212.1007999999993"/>
    <n v="0.37330064531608231"/>
    <n v="8.7999999999999995E-2"/>
    <n v="752.22672"/>
    <n v="471.42"/>
    <n v="17.549999999999997"/>
    <n v="13201.578935999998"/>
    <n v="8273.4209999999985"/>
    <n v="4928.1579359999996"/>
    <n v="0.37330064531608237"/>
    <n v="1918.1781359999986"/>
    <n v="4212.1007999999993"/>
    <n v="0"/>
  </r>
  <r>
    <x v="312"/>
    <x v="272"/>
    <d v="2024-11-05T00:00:00"/>
    <s v="Q4-2024"/>
    <d v="2024-11-05T00:00:00"/>
    <n v="1"/>
    <x v="1"/>
    <x v="3"/>
    <x v="8"/>
    <x v="21"/>
    <s v="Corporate"/>
    <x v="0"/>
    <x v="12"/>
    <x v="1"/>
    <s v="High"/>
    <x v="312"/>
    <n v="840.68"/>
    <n v="1493.53"/>
    <n v="1493.53"/>
    <n v="0"/>
    <n v="0"/>
    <x v="0"/>
    <n v="27"/>
    <n v="40325.31"/>
    <n v="22698.359999999997"/>
    <n v="17626.95"/>
    <n v="0.43711877230454027"/>
    <n v="0"/>
    <n v="1493.53"/>
    <n v="840.68"/>
    <n v="31.589999999999996"/>
    <n v="47180.612699999991"/>
    <n v="26557.081199999997"/>
    <n v="20623.531499999994"/>
    <n v="0.43711877230454022"/>
    <n v="6855.3026999999929"/>
    <n v="17626.95"/>
    <n v="0"/>
  </r>
  <r>
    <x v="313"/>
    <x v="273"/>
    <d v="2024-06-24T00:00:00"/>
    <s v="Q2-2024"/>
    <d v="2024-06-24T00:00:00"/>
    <n v="16"/>
    <x v="0"/>
    <x v="0"/>
    <x v="11"/>
    <x v="25"/>
    <s v="Education"/>
    <x v="3"/>
    <x v="10"/>
    <x v="5"/>
    <s v="Low"/>
    <x v="313"/>
    <n v="597.85"/>
    <n v="741.92"/>
    <n v="741.92"/>
    <n v="3.1E-2"/>
    <n v="3.1E-2"/>
    <x v="0"/>
    <n v="7"/>
    <n v="5032.4433599999993"/>
    <n v="4184.95"/>
    <n v="847.49335999999948"/>
    <n v="0.16840594108544515"/>
    <n v="3.1E-2"/>
    <n v="718.92047999999988"/>
    <n v="597.85"/>
    <n v="8.19"/>
    <n v="5887.9587311999985"/>
    <n v="4896.3914999999997"/>
    <n v="991.56723119999879"/>
    <n v="0.16840594108544507"/>
    <n v="855.51537119999921"/>
    <n v="847.49335999999948"/>
    <n v="0"/>
  </r>
  <r>
    <x v="314"/>
    <x v="261"/>
    <d v="2025-06-06T00:00:00"/>
    <s v="Q2-2025"/>
    <d v="2025-06-06T00:00:00"/>
    <n v="5"/>
    <x v="1"/>
    <x v="3"/>
    <x v="7"/>
    <x v="28"/>
    <s v="Consumer"/>
    <x v="3"/>
    <x v="3"/>
    <x v="0"/>
    <s v="Low"/>
    <x v="314"/>
    <n v="379.45"/>
    <n v="742.23"/>
    <n v="742.23"/>
    <n v="0.09"/>
    <n v="0.09"/>
    <x v="0"/>
    <n v="13"/>
    <n v="8780.5809000000008"/>
    <n v="4932.8499999999995"/>
    <n v="3847.7309000000014"/>
    <n v="0.43820915083192286"/>
    <n v="0.09"/>
    <n v="675.42930000000001"/>
    <n v="379.45"/>
    <n v="15.209999999999999"/>
    <n v="10273.279653"/>
    <n v="5771.4344999999994"/>
    <n v="4501.8451530000002"/>
    <n v="0.4382091508319228"/>
    <n v="1492.6987529999988"/>
    <n v="3847.7309000000014"/>
    <n v="0"/>
  </r>
  <r>
    <x v="315"/>
    <x v="274"/>
    <d v="2023-05-14T00:00:00"/>
    <s v="Q2-2023"/>
    <d v="2023-05-14T00:00:00"/>
    <n v="8"/>
    <x v="0"/>
    <x v="1"/>
    <x v="2"/>
    <x v="4"/>
    <s v="Enterprise"/>
    <x v="2"/>
    <x v="5"/>
    <x v="3"/>
    <s v="Low"/>
    <x v="315"/>
    <n v="291.18"/>
    <n v="479.54"/>
    <n v="479.54"/>
    <n v="0.14099999999999999"/>
    <n v="0.14099999999999999"/>
    <x v="0"/>
    <n v="22"/>
    <n v="9062.34692"/>
    <n v="6405.96"/>
    <n v="2656.3869199999999"/>
    <n v="0.29312350801066001"/>
    <n v="0.14099999999999999"/>
    <n v="411.92486000000002"/>
    <n v="291.18"/>
    <n v="25.74"/>
    <n v="10602.9458964"/>
    <n v="7494.9731999999995"/>
    <n v="3107.972696400001"/>
    <n v="0.29312350801066006"/>
    <n v="1540.5989764000005"/>
    <n v="2656.3869199999999"/>
    <n v="0"/>
  </r>
  <r>
    <x v="316"/>
    <x v="275"/>
    <d v="2023-11-30T00:00:00"/>
    <s v="Q4-2023"/>
    <d v="2023-11-30T00:00:00"/>
    <n v="16"/>
    <x v="0"/>
    <x v="2"/>
    <x v="5"/>
    <x v="8"/>
    <s v="Enterprise"/>
    <x v="4"/>
    <x v="11"/>
    <x v="2"/>
    <s v="Medium"/>
    <x v="316"/>
    <n v="1017.92"/>
    <n v="1175.25"/>
    <n v="1175.25"/>
    <n v="7.4999999999999997E-2"/>
    <n v="7.4999999999999997E-2"/>
    <x v="0"/>
    <n v="15"/>
    <n v="16306.59375"/>
    <n v="15268.8"/>
    <n v="1037.7937500000007"/>
    <n v="6.3642583234159542E-2"/>
    <n v="7.4999999999999997E-2"/>
    <n v="1087.10625"/>
    <n v="1017.92"/>
    <n v="17.549999999999997"/>
    <n v="19078.714687499996"/>
    <n v="17864.495999999996"/>
    <n v="1214.2186875000007"/>
    <n v="6.3642583234159542E-2"/>
    <n v="2772.1209374999962"/>
    <n v="1037.7937500000007"/>
    <n v="0"/>
  </r>
  <r>
    <x v="317"/>
    <x v="276"/>
    <d v="2025-04-27T00:00:00"/>
    <s v="Q2-2025"/>
    <d v="2025-04-27T00:00:00"/>
    <n v="26"/>
    <x v="0"/>
    <x v="2"/>
    <x v="10"/>
    <x v="24"/>
    <s v="Corporate"/>
    <x v="4"/>
    <x v="2"/>
    <x v="5"/>
    <s v="Low"/>
    <x v="317"/>
    <n v="156.55000000000001"/>
    <n v="227.45"/>
    <n v="227.45"/>
    <n v="1.4E-2"/>
    <n v="1.4E-2"/>
    <x v="0"/>
    <n v="13"/>
    <n v="2915.4540999999999"/>
    <n v="2035.15"/>
    <n v="880.30409999999983"/>
    <n v="0.3019440779396938"/>
    <n v="1.4E-2"/>
    <n v="224.26569999999998"/>
    <n v="156.55000000000001"/>
    <n v="15.209999999999999"/>
    <n v="3411.0812969999997"/>
    <n v="2381.1255000000001"/>
    <n v="1029.9557969999996"/>
    <n v="0.30194407793969374"/>
    <n v="495.6271969999998"/>
    <n v="880.30409999999983"/>
    <n v="0"/>
  </r>
  <r>
    <x v="318"/>
    <x v="277"/>
    <d v="2023-04-15T00:00:00"/>
    <s v="Q1-2023"/>
    <d v="2023-04-15T00:00:00"/>
    <n v="23"/>
    <x v="0"/>
    <x v="0"/>
    <x v="0"/>
    <x v="13"/>
    <s v="Small Business"/>
    <x v="0"/>
    <x v="0"/>
    <x v="6"/>
    <s v="Medium"/>
    <x v="318"/>
    <n v="875.36"/>
    <n v="1178.6199999999999"/>
    <n v="1178.6199999999999"/>
    <n v="0.151"/>
    <n v="0.151"/>
    <x v="0"/>
    <n v="53"/>
    <n v="53034.364139999991"/>
    <n v="46394.080000000002"/>
    <n v="6640.2841399999888"/>
    <n v="0.12520719815685888"/>
    <n v="0.151"/>
    <n v="1000.6483799999999"/>
    <n v="875.36"/>
    <n v="62.01"/>
    <n v="62050.20604379999"/>
    <n v="54281.073599999996"/>
    <n v="7769.1324437999938"/>
    <n v="0.12520719815685899"/>
    <n v="9015.8419037999993"/>
    <n v="6640.2841399999888"/>
    <n v="0"/>
  </r>
  <r>
    <x v="319"/>
    <x v="91"/>
    <d v="2024-06-18T00:00:00"/>
    <s v="Q2-2024"/>
    <d v="2024-06-18T00:00:00"/>
    <n v="21"/>
    <x v="0"/>
    <x v="3"/>
    <x v="6"/>
    <x v="37"/>
    <s v="Small Business"/>
    <x v="1"/>
    <x v="6"/>
    <x v="3"/>
    <s v="High"/>
    <x v="319"/>
    <n v="986.85"/>
    <n v="2422.1"/>
    <n v="2422.1"/>
    <n v="7.5999999999999998E-2"/>
    <n v="7.5999999999999998E-2"/>
    <x v="0"/>
    <n v="10"/>
    <n v="22380.204000000002"/>
    <n v="9868.5"/>
    <n v="12511.704000000002"/>
    <n v="0.55905227673527913"/>
    <n v="7.5999999999999998E-2"/>
    <n v="2238.0203999999999"/>
    <n v="986.85"/>
    <n v="11.7"/>
    <n v="26184.838679999997"/>
    <n v="11546.145"/>
    <n v="14638.693679999997"/>
    <n v="0.55905227673527902"/>
    <n v="3804.6346799999956"/>
    <n v="12511.704000000002"/>
    <n v="0"/>
  </r>
  <r>
    <x v="320"/>
    <x v="278"/>
    <d v="2024-01-01T00:00:00"/>
    <s v="Q1-2024"/>
    <d v="2024-01-21T00:00:00"/>
    <n v="19"/>
    <x v="0"/>
    <x v="2"/>
    <x v="10"/>
    <x v="15"/>
    <s v="Education"/>
    <x v="2"/>
    <x v="5"/>
    <x v="2"/>
    <s v="Low"/>
    <x v="320"/>
    <n v="404.77"/>
    <n v="433.88"/>
    <n v="433.88"/>
    <n v="0.215"/>
    <n v="0.215"/>
    <x v="1"/>
    <n v="22"/>
    <n v="7493.1076000000012"/>
    <n v="8904.9399999999987"/>
    <n v="-1411.8323999999975"/>
    <n v="-0.18841747314558746"/>
    <n v="0.17"/>
    <n v="360.12039999999996"/>
    <n v="404.77"/>
    <n v="25.74"/>
    <n v="9269.4990959999977"/>
    <n v="10418.779799999998"/>
    <n v="-1149.2807040000007"/>
    <n v="-0.12398520050516448"/>
    <n v="1776.3914959999966"/>
    <n v="-1411.8323999999975"/>
    <n v="6.4432272640422977E-2"/>
  </r>
  <r>
    <x v="321"/>
    <x v="2"/>
    <d v="2023-02-27T00:00:00"/>
    <s v="Q1-2023"/>
    <d v="2023-03-19T00:00:00"/>
    <n v="19"/>
    <x v="0"/>
    <x v="3"/>
    <x v="7"/>
    <x v="11"/>
    <s v="Corporate"/>
    <x v="0"/>
    <x v="11"/>
    <x v="2"/>
    <s v="High"/>
    <x v="321"/>
    <n v="1299.81"/>
    <n v="3149.13"/>
    <n v="3149.13"/>
    <n v="0.10299999999999999"/>
    <n v="0.10299999999999999"/>
    <x v="0"/>
    <n v="14"/>
    <n v="39546.774539999999"/>
    <n v="18197.34"/>
    <n v="21349.434539999998"/>
    <n v="0.53985273864511729"/>
    <n v="0.10299999999999999"/>
    <n v="2824.7696100000003"/>
    <n v="1299.81"/>
    <n v="16.38"/>
    <n v="46269.7262118"/>
    <n v="21290.887799999997"/>
    <n v="24978.838411800003"/>
    <n v="0.5398527386451174"/>
    <n v="6722.9516718000013"/>
    <n v="21349.434539999998"/>
    <n v="0"/>
  </r>
  <r>
    <x v="322"/>
    <x v="142"/>
    <d v="2024-03-11T00:00:00"/>
    <s v="Q1-2024"/>
    <d v="2024-03-11T00:00:00"/>
    <n v="22"/>
    <x v="0"/>
    <x v="2"/>
    <x v="5"/>
    <x v="8"/>
    <s v="Consumer"/>
    <x v="1"/>
    <x v="8"/>
    <x v="0"/>
    <s v="Low"/>
    <x v="322"/>
    <n v="80.48"/>
    <n v="65.650000000000006"/>
    <n v="65.650000000000006"/>
    <n v="0.17599999999999999"/>
    <n v="0.17599999999999999"/>
    <x v="0"/>
    <n v="13"/>
    <n v="703.2428000000001"/>
    <n v="1046.24"/>
    <n v="-342.99719999999991"/>
    <n v="-0.48773652570634191"/>
    <n v="0.17"/>
    <n v="54.4895"/>
    <n v="80.48"/>
    <n v="15.209999999999999"/>
    <n v="828.78529499999991"/>
    <n v="1224.1007999999999"/>
    <n v="-395.31550500000003"/>
    <n v="-0.4769818038337662"/>
    <n v="125.5424949999998"/>
    <n v="-342.99719999999991"/>
    <n v="1.0754721872575701E-2"/>
  </r>
  <r>
    <x v="323"/>
    <x v="190"/>
    <d v="2024-10-08T00:00:00"/>
    <s v="Q3-2024"/>
    <d v="2024-10-08T00:00:00"/>
    <n v="29"/>
    <x v="0"/>
    <x v="2"/>
    <x v="5"/>
    <x v="8"/>
    <s v="Education"/>
    <x v="4"/>
    <x v="1"/>
    <x v="0"/>
    <s v="High"/>
    <x v="323"/>
    <n v="1010.33"/>
    <n v="2492.14"/>
    <n v="2492.14"/>
    <n v="5.0999999999999997E-2"/>
    <n v="5.0999999999999997E-2"/>
    <x v="0"/>
    <n v="11"/>
    <n v="26015.449459999996"/>
    <n v="11113.630000000001"/>
    <n v="14901.819459999995"/>
    <n v="0.57280653493656752"/>
    <n v="5.0999999999999997E-2"/>
    <n v="2365.0408599999996"/>
    <n v="1010.33"/>
    <n v="12.87"/>
    <n v="30438.075868199994"/>
    <n v="13002.947099999999"/>
    <n v="17435.128768199997"/>
    <n v="0.57280653493656764"/>
    <n v="4422.626408199998"/>
    <n v="14901.819459999995"/>
    <n v="0"/>
  </r>
  <r>
    <x v="324"/>
    <x v="238"/>
    <d v="2023-05-29T00:00:00"/>
    <s v="Q2-2023"/>
    <d v="2023-05-29T00:00:00"/>
    <n v="22"/>
    <x v="0"/>
    <x v="0"/>
    <x v="11"/>
    <x v="25"/>
    <s v="Education"/>
    <x v="3"/>
    <x v="11"/>
    <x v="6"/>
    <s v="Medium"/>
    <x v="324"/>
    <n v="653.86"/>
    <n v="931.84"/>
    <n v="931.84"/>
    <n v="0.121"/>
    <n v="0.121"/>
    <x v="0"/>
    <n v="12"/>
    <n v="9829.0483199999999"/>
    <n v="7846.32"/>
    <n v="1982.7283200000002"/>
    <n v="0.20172129136506273"/>
    <n v="0.121"/>
    <n v="819.08735999999999"/>
    <n v="653.86"/>
    <n v="14.04"/>
    <n v="11499.986534399999"/>
    <n v="9180.1944000000003"/>
    <n v="2319.7921343999988"/>
    <n v="0.20172129136506262"/>
    <n v="1670.9382143999992"/>
    <n v="1982.7283200000002"/>
    <n v="0"/>
  </r>
  <r>
    <x v="325"/>
    <x v="181"/>
    <d v="2024-01-29T00:00:00"/>
    <s v="Q1-2024"/>
    <d v="2024-01-29T00:00:00"/>
    <n v="17"/>
    <x v="0"/>
    <x v="1"/>
    <x v="4"/>
    <x v="34"/>
    <s v="Small Business"/>
    <x v="4"/>
    <x v="5"/>
    <x v="0"/>
    <s v="Low"/>
    <x v="325"/>
    <n v="310.02"/>
    <n v="619.51"/>
    <n v="619.51"/>
    <n v="4.2000000000000003E-2"/>
    <n v="4.2000000000000003E-2"/>
    <x v="0"/>
    <n v="4"/>
    <n v="2373.9623200000001"/>
    <n v="1240.08"/>
    <n v="1133.8823200000002"/>
    <n v="0.47763282106347843"/>
    <n v="4.2000000000000003E-2"/>
    <n v="593.49058000000002"/>
    <n v="310.02"/>
    <n v="4.68"/>
    <n v="2777.5359143999999"/>
    <n v="1450.8935999999999"/>
    <n v="1326.6423144"/>
    <n v="0.47763282106347843"/>
    <n v="403.57359439999982"/>
    <n v="1133.8823200000002"/>
    <n v="0"/>
  </r>
  <r>
    <x v="326"/>
    <x v="279"/>
    <d v="2023-06-18T00:00:00"/>
    <s v="Q2-2023"/>
    <d v="2023-06-18T00:00:00"/>
    <n v="8"/>
    <x v="0"/>
    <x v="0"/>
    <x v="0"/>
    <x v="16"/>
    <s v="Enterprise"/>
    <x v="4"/>
    <x v="10"/>
    <x v="3"/>
    <s v="Medium"/>
    <x v="326"/>
    <n v="894.23"/>
    <n v="1421.55"/>
    <n v="1421.55"/>
    <n v="0.109"/>
    <n v="0.109"/>
    <x v="0"/>
    <n v="3"/>
    <n v="3799.8031499999997"/>
    <n v="2682.69"/>
    <n v="1117.1131499999997"/>
    <n v="0.29399237431549574"/>
    <n v="0.109"/>
    <n v="1266.60105"/>
    <n v="894.23"/>
    <n v="3.51"/>
    <n v="4445.7696854999995"/>
    <n v="3138.7473"/>
    <n v="1307.0223854999995"/>
    <n v="0.29399237431549569"/>
    <n v="645.96653549999974"/>
    <n v="1117.1131499999997"/>
    <n v="0"/>
  </r>
  <r>
    <x v="327"/>
    <x v="280"/>
    <d v="2025-05-17T00:00:00"/>
    <s v="Q2-2025"/>
    <d v="2025-06-06T00:00:00"/>
    <n v="18"/>
    <x v="0"/>
    <x v="2"/>
    <x v="5"/>
    <x v="8"/>
    <s v="Small Business"/>
    <x v="3"/>
    <x v="4"/>
    <x v="5"/>
    <s v="Medium"/>
    <x v="327"/>
    <n v="383.77"/>
    <n v="952.56"/>
    <n v="952.56"/>
    <n v="0.34599999999999997"/>
    <n v="0.12"/>
    <x v="0"/>
    <n v="10"/>
    <n v="8382.5279999999984"/>
    <n v="3837.7"/>
    <n v="4544.8279999999986"/>
    <n v="0.54217868404376335"/>
    <n v="0.34599999999999997"/>
    <n v="622.97424000000001"/>
    <n v="383.77"/>
    <n v="11.7"/>
    <n v="7288.7986080000001"/>
    <n v="4490.1089999999995"/>
    <n v="2798.6896080000006"/>
    <n v="0.38397131797937589"/>
    <n v="-1093.7293919999984"/>
    <n v="4544.8279999999986"/>
    <n v="-0.15820736606438746"/>
  </r>
  <r>
    <x v="328"/>
    <x v="281"/>
    <d v="2023-11-16T00:00:00"/>
    <s v="Q4-2023"/>
    <d v="2023-11-16T00:00:00"/>
    <n v="25"/>
    <x v="0"/>
    <x v="2"/>
    <x v="3"/>
    <x v="5"/>
    <s v="Small Business"/>
    <x v="2"/>
    <x v="2"/>
    <x v="4"/>
    <s v="High"/>
    <x v="328"/>
    <n v="1373.31"/>
    <n v="3154.14"/>
    <n v="3154.14"/>
    <n v="0.2"/>
    <n v="0.2"/>
    <x v="0"/>
    <n v="11"/>
    <n v="27756.432000000001"/>
    <n v="15106.41"/>
    <n v="12650.022000000001"/>
    <n v="0.45575101295440279"/>
    <n v="0.17"/>
    <n v="2617.9361999999996"/>
    <n v="1373.31"/>
    <n v="12.87"/>
    <n v="33692.838893999993"/>
    <n v="17674.499699999997"/>
    <n v="16018.339193999996"/>
    <n v="0.475422663088581"/>
    <n v="5936.4068939999925"/>
    <n v="12650.022000000001"/>
    <n v="1.9671650134178209E-2"/>
  </r>
  <r>
    <x v="329"/>
    <x v="282"/>
    <d v="2025-01-23T00:00:00"/>
    <s v="Q1-2025"/>
    <d v="2025-01-23T00:00:00"/>
    <n v="12"/>
    <x v="0"/>
    <x v="2"/>
    <x v="10"/>
    <x v="36"/>
    <s v="Consumer"/>
    <x v="3"/>
    <x v="10"/>
    <x v="3"/>
    <s v="Low"/>
    <x v="329"/>
    <n v="100.69"/>
    <n v="226.14"/>
    <n v="226.14"/>
    <n v="6.5000000000000002E-2"/>
    <n v="6.5000000000000002E-2"/>
    <x v="0"/>
    <n v="12"/>
    <n v="2537.2908000000002"/>
    <n v="1208.28"/>
    <n v="1329.0108000000002"/>
    <n v="0.52379128162999689"/>
    <n v="6.5000000000000002E-2"/>
    <n v="211.4409"/>
    <n v="100.69"/>
    <n v="14.04"/>
    <n v="2968.630236"/>
    <n v="1413.6876"/>
    <n v="1554.942636"/>
    <n v="0.52379128162999689"/>
    <n v="431.33943599999975"/>
    <n v="1329.0108000000002"/>
    <n v="0"/>
  </r>
  <r>
    <x v="330"/>
    <x v="283"/>
    <d v="2025-09-26T00:00:00"/>
    <s v="Q3-2025"/>
    <d v="2025-09-26T00:00:00"/>
    <n v="12"/>
    <x v="0"/>
    <x v="3"/>
    <x v="8"/>
    <x v="21"/>
    <s v="Small Business"/>
    <x v="4"/>
    <x v="13"/>
    <x v="2"/>
    <s v="Low"/>
    <x v="330"/>
    <n v="425.15"/>
    <n v="885.92"/>
    <n v="885.92"/>
    <n v="0.23899999999999999"/>
    <n v="0.23899999999999999"/>
    <x v="1"/>
    <n v="13"/>
    <n v="8764.4065599999994"/>
    <n v="5526.95"/>
    <n v="3237.4565599999996"/>
    <n v="0.3693868532725848"/>
    <n v="0.17"/>
    <n v="735.31359999999995"/>
    <n v="425.15"/>
    <n v="15.209999999999999"/>
    <n v="11184.119855999999"/>
    <n v="6466.5314999999991"/>
    <n v="4717.5883560000002"/>
    <n v="0.42181131968727359"/>
    <n v="2419.7132959999999"/>
    <n v="3237.4565599999996"/>
    <n v="5.2424466414688786E-2"/>
  </r>
  <r>
    <x v="331"/>
    <x v="52"/>
    <d v="2023-09-03T00:00:00"/>
    <s v="Q3-2023"/>
    <d v="2023-09-03T00:00:00"/>
    <n v="4"/>
    <x v="1"/>
    <x v="1"/>
    <x v="4"/>
    <x v="18"/>
    <s v="Small Business"/>
    <x v="2"/>
    <x v="4"/>
    <x v="6"/>
    <s v="High"/>
    <x v="331"/>
    <n v="1082.25"/>
    <n v="2433.34"/>
    <n v="2433.34"/>
    <n v="0.27"/>
    <n v="0.27"/>
    <x v="1"/>
    <n v="4"/>
    <n v="7105.3528000000006"/>
    <n v="4329"/>
    <n v="2776.3528000000006"/>
    <n v="0.3907410199251472"/>
    <n v="0.17"/>
    <n v="2019.6722"/>
    <n v="1082.25"/>
    <n v="4.68"/>
    <n v="9452.0658960000001"/>
    <n v="5064.9299999999994"/>
    <n v="4387.1358960000007"/>
    <n v="0.4641457163197078"/>
    <n v="2346.7130959999995"/>
    <n v="2776.3528000000006"/>
    <n v="7.3404696394560598E-2"/>
  </r>
  <r>
    <x v="332"/>
    <x v="284"/>
    <d v="2023-12-06T00:00:00"/>
    <s v="Q4-2023"/>
    <d v="2023-12-06T00:00:00"/>
    <n v="21"/>
    <x v="0"/>
    <x v="3"/>
    <x v="8"/>
    <x v="31"/>
    <s v="Education"/>
    <x v="4"/>
    <x v="10"/>
    <x v="6"/>
    <s v="Medium"/>
    <x v="332"/>
    <n v="1184.99"/>
    <n v="1154.3399999999999"/>
    <n v="1154.3399999999999"/>
    <n v="2.8000000000000001E-2"/>
    <n v="2.8000000000000001E-2"/>
    <x v="0"/>
    <n v="5"/>
    <n v="5610.0923999999995"/>
    <n v="5924.95"/>
    <n v="-314.85760000000028"/>
    <n v="-5.6123424990290764E-2"/>
    <n v="2.8000000000000001E-2"/>
    <n v="1122.01848"/>
    <n v="1184.99"/>
    <n v="5.85"/>
    <n v="6563.8081079999993"/>
    <n v="6932.1914999999999"/>
    <n v="-368.38339200000064"/>
    <n v="-5.612342499029082E-2"/>
    <n v="953.71570799999972"/>
    <n v="-314.85760000000028"/>
    <n v="-5.5511151231257827E-17"/>
  </r>
  <r>
    <x v="333"/>
    <x v="60"/>
    <d v="2025-05-27T00:00:00"/>
    <s v="Q2-2025"/>
    <d v="2025-05-27T00:00:00"/>
    <n v="30"/>
    <x v="0"/>
    <x v="1"/>
    <x v="4"/>
    <x v="35"/>
    <s v="Enterprise"/>
    <x v="2"/>
    <x v="10"/>
    <x v="3"/>
    <s v="Medium"/>
    <x v="333"/>
    <n v="481.32"/>
    <n v="1135.99"/>
    <n v="1135.99"/>
    <n v="0.14499999999999999"/>
    <n v="0.14499999999999999"/>
    <x v="0"/>
    <n v="5"/>
    <n v="4856.35725"/>
    <n v="2406.6"/>
    <n v="2449.7572500000001"/>
    <n v="0.50444337677175621"/>
    <n v="0.14499999999999999"/>
    <n v="971.27144999999996"/>
    <n v="481.32"/>
    <n v="5.85"/>
    <n v="5681.9379824999996"/>
    <n v="2815.7219999999998"/>
    <n v="2866.2159824999999"/>
    <n v="0.50444337677175621"/>
    <n v="825.58073249999961"/>
    <n v="2449.7572500000001"/>
    <n v="0"/>
  </r>
  <r>
    <x v="334"/>
    <x v="285"/>
    <d v="2024-04-18T00:00:00"/>
    <s v="Q2-2024"/>
    <d v="2024-04-18T00:00:00"/>
    <n v="9"/>
    <x v="0"/>
    <x v="3"/>
    <x v="7"/>
    <x v="17"/>
    <s v="Consumer"/>
    <x v="1"/>
    <x v="6"/>
    <x v="1"/>
    <s v="High"/>
    <x v="334"/>
    <n v="1288.8499999999999"/>
    <n v="2751.84"/>
    <n v="2751.84"/>
    <n v="0.158"/>
    <n v="0.158"/>
    <x v="0"/>
    <n v="7"/>
    <n v="16219.34496"/>
    <n v="9021.9499999999989"/>
    <n v="7197.3949600000014"/>
    <n v="0.44375373837538756"/>
    <n v="0.158"/>
    <n v="2317.0492800000002"/>
    <n v="1288.8499999999999"/>
    <n v="8.19"/>
    <n v="18976.6336032"/>
    <n v="10555.681499999999"/>
    <n v="8420.9521032000011"/>
    <n v="0.44375373837538756"/>
    <n v="2757.2886431999996"/>
    <n v="7197.3949600000014"/>
    <n v="0"/>
  </r>
  <r>
    <x v="335"/>
    <x v="286"/>
    <d v="2024-07-31T00:00:00"/>
    <s v="Q3-2024"/>
    <d v="2024-07-31T00:00:00"/>
    <n v="20"/>
    <x v="0"/>
    <x v="1"/>
    <x v="9"/>
    <x v="14"/>
    <s v="Consumer"/>
    <x v="1"/>
    <x v="3"/>
    <x v="3"/>
    <s v="Medium"/>
    <x v="335"/>
    <n v="647.26"/>
    <n v="1374.72"/>
    <n v="1374.72"/>
    <n v="6.6000000000000003E-2"/>
    <n v="6.6000000000000003E-2"/>
    <x v="0"/>
    <n v="22"/>
    <n v="28247.74656"/>
    <n v="14239.72"/>
    <n v="14008.02656"/>
    <n v="0.49589890401508901"/>
    <n v="6.6000000000000003E-2"/>
    <n v="1283.98848"/>
    <n v="647.26"/>
    <n v="25.74"/>
    <n v="33049.8634752"/>
    <n v="16660.472399999999"/>
    <n v="16389.391075200001"/>
    <n v="0.49589890401508901"/>
    <n v="4802.1169152000002"/>
    <n v="14008.02656"/>
    <n v="0"/>
  </r>
  <r>
    <x v="336"/>
    <x v="142"/>
    <d v="2024-03-03T00:00:00"/>
    <s v="Q1-2024"/>
    <d v="2024-03-03T00:00:00"/>
    <n v="14"/>
    <x v="0"/>
    <x v="2"/>
    <x v="5"/>
    <x v="35"/>
    <s v="Enterprise"/>
    <x v="3"/>
    <x v="8"/>
    <x v="1"/>
    <s v="Medium"/>
    <x v="336"/>
    <n v="624.23"/>
    <n v="1318.37"/>
    <n v="1318.37"/>
    <n v="0.21"/>
    <n v="0.21"/>
    <x v="1"/>
    <n v="37"/>
    <n v="38535.955099999999"/>
    <n v="23096.510000000002"/>
    <n v="15439.445099999997"/>
    <n v="0.40065038118128793"/>
    <n v="0.17"/>
    <n v="1094.2470999999998"/>
    <n v="624.23"/>
    <n v="43.29"/>
    <n v="47369.956958999988"/>
    <n v="27022.916700000002"/>
    <n v="20347.040258999987"/>
    <n v="0.42953470016050288"/>
    <n v="8834.0018589999891"/>
    <n v="15439.445099999997"/>
    <n v="2.8884318979214951E-2"/>
  </r>
  <r>
    <x v="337"/>
    <x v="287"/>
    <d v="2023-08-10T00:00:00"/>
    <s v="Q3-2023"/>
    <d v="2023-08-10T00:00:00"/>
    <n v="16"/>
    <x v="0"/>
    <x v="0"/>
    <x v="1"/>
    <x v="1"/>
    <s v="Corporate"/>
    <x v="3"/>
    <x v="2"/>
    <x v="6"/>
    <s v="Low"/>
    <x v="337"/>
    <n v="506.83"/>
    <n v="441.74"/>
    <n v="441.74"/>
    <n v="0.24"/>
    <n v="0.24"/>
    <x v="1"/>
    <n v="9"/>
    <n v="3021.5016000000001"/>
    <n v="4561.47"/>
    <n v="-1539.9684000000002"/>
    <n v="-0.50966989393618067"/>
    <n v="0.17"/>
    <n v="366.64420000000001"/>
    <n v="506.83"/>
    <n v="10.53"/>
    <n v="3860.763426"/>
    <n v="5336.9198999999999"/>
    <n v="-1476.1564739999999"/>
    <n v="-0.38234833661626172"/>
    <n v="839.26182599999993"/>
    <n v="-1539.9684000000002"/>
    <n v="0.12732155731991895"/>
  </r>
  <r>
    <x v="338"/>
    <x v="288"/>
    <d v="2023-07-21T00:00:00"/>
    <s v="Q3-2023"/>
    <d v="2023-07-21T00:00:00"/>
    <n v="7"/>
    <x v="1"/>
    <x v="0"/>
    <x v="11"/>
    <x v="25"/>
    <s v="Enterprise"/>
    <x v="2"/>
    <x v="15"/>
    <x v="5"/>
    <s v="Medium"/>
    <x v="338"/>
    <n v="620.74"/>
    <n v="1330.07"/>
    <n v="1330.07"/>
    <n v="0.29899999999999999"/>
    <n v="0.29899999999999999"/>
    <x v="1"/>
    <n v="28"/>
    <n v="26106.613960000002"/>
    <n v="17380.72"/>
    <n v="8725.8939600000012"/>
    <n v="0.33424073965967516"/>
    <n v="0.17"/>
    <n v="1103.9580999999998"/>
    <n v="620.74"/>
    <n v="32.76"/>
    <n v="36165.667355999991"/>
    <n v="20335.4424"/>
    <n v="15830.224955999991"/>
    <n v="0.43771416686919534"/>
    <n v="10059.053395999988"/>
    <n v="8725.8939600000012"/>
    <n v="0.10347342720952019"/>
  </r>
  <r>
    <x v="339"/>
    <x v="244"/>
    <d v="2023-08-19T00:00:00"/>
    <s v="Q3-2023"/>
    <d v="2023-08-19T00:00:00"/>
    <n v="26"/>
    <x v="0"/>
    <x v="0"/>
    <x v="0"/>
    <x v="2"/>
    <s v="Enterprise"/>
    <x v="3"/>
    <x v="12"/>
    <x v="6"/>
    <s v="High"/>
    <x v="339"/>
    <n v="661.45"/>
    <n v="1634.86"/>
    <n v="1634.86"/>
    <n v="0.56499999999999995"/>
    <n v="0.12"/>
    <x v="0"/>
    <n v="24"/>
    <n v="34528.243199999997"/>
    <n v="15874.800000000001"/>
    <n v="18653.443199999994"/>
    <n v="0.54023725134095424"/>
    <n v="0.56499999999999995"/>
    <n v="711.16410000000008"/>
    <n v="661.45"/>
    <n v="28.08"/>
    <n v="19969.487928000002"/>
    <n v="18573.516"/>
    <n v="1395.9719280000027"/>
    <n v="6.9905244092045835E-2"/>
    <n v="-14558.755271999995"/>
    <n v="18653.443199999994"/>
    <n v="-0.47033200724890839"/>
  </r>
  <r>
    <x v="340"/>
    <x v="289"/>
    <d v="2023-04-11T00:00:00"/>
    <s v="Q2-2023"/>
    <d v="2023-05-01T00:00:00"/>
    <n v="18"/>
    <x v="0"/>
    <x v="2"/>
    <x v="10"/>
    <x v="24"/>
    <s v="Education"/>
    <x v="2"/>
    <x v="3"/>
    <x v="2"/>
    <s v="Low"/>
    <x v="340"/>
    <n v="32.1"/>
    <n v="70.599999999999994"/>
    <n v="70.599999999999994"/>
    <n v="0.28199999999999997"/>
    <n v="0.28199999999999997"/>
    <x v="1"/>
    <n v="22"/>
    <n v="1115.1975999999997"/>
    <n v="706.2"/>
    <n v="408.99759999999969"/>
    <n v="0.36674899587301818"/>
    <n v="0.17"/>
    <n v="58.597999999999992"/>
    <n v="32.1"/>
    <n v="25.74"/>
    <n v="1508.3125199999997"/>
    <n v="826.25400000000002"/>
    <n v="682.0585199999997"/>
    <n v="0.45219973377930978"/>
    <n v="393.11491999999998"/>
    <n v="408.99759999999969"/>
    <n v="8.5450737906291596E-2"/>
  </r>
  <r>
    <x v="341"/>
    <x v="290"/>
    <d v="2024-11-04T00:00:00"/>
    <s v="Q4-2024"/>
    <d v="2024-11-04T00:00:00"/>
    <n v="6"/>
    <x v="1"/>
    <x v="0"/>
    <x v="0"/>
    <x v="2"/>
    <s v="Corporate"/>
    <x v="3"/>
    <x v="12"/>
    <x v="1"/>
    <s v="High"/>
    <x v="341"/>
    <n v="805.81"/>
    <n v="1823.04"/>
    <n v="1823.04"/>
    <n v="0"/>
    <n v="0"/>
    <x v="0"/>
    <n v="11"/>
    <n v="20053.439999999999"/>
    <n v="8863.91"/>
    <n v="11189.529999999999"/>
    <n v="0.55798556257679477"/>
    <n v="0"/>
    <n v="1823.04"/>
    <n v="805.81"/>
    <n v="12.87"/>
    <n v="23462.524799999999"/>
    <n v="10370.774699999998"/>
    <n v="13091.750100000001"/>
    <n v="0.55798556257679488"/>
    <n v="3409.0848000000005"/>
    <n v="11189.529999999999"/>
    <n v="0"/>
  </r>
  <r>
    <x v="342"/>
    <x v="291"/>
    <d v="2024-03-04T00:00:00"/>
    <s v="Q1-2024"/>
    <d v="2024-03-04T00:00:00"/>
    <n v="16"/>
    <x v="0"/>
    <x v="1"/>
    <x v="4"/>
    <x v="18"/>
    <s v="Small Business"/>
    <x v="2"/>
    <x v="9"/>
    <x v="3"/>
    <s v="High"/>
    <x v="342"/>
    <n v="1231.8"/>
    <n v="2015.99"/>
    <n v="2015.99"/>
    <n v="0.26100000000000001"/>
    <n v="0.26100000000000001"/>
    <x v="1"/>
    <n v="6"/>
    <n v="8938.8996600000009"/>
    <n v="7390.7999999999993"/>
    <n v="1548.0996600000017"/>
    <n v="0.17318682599464391"/>
    <n v="0.17"/>
    <n v="1673.2717"/>
    <n v="1231.8"/>
    <n v="7.02"/>
    <n v="11746.367333999999"/>
    <n v="8647.235999999999"/>
    <n v="3099.1313339999997"/>
    <n v="0.26383742700005025"/>
    <n v="2807.4676739999977"/>
    <n v="1548.0996600000017"/>
    <n v="9.0650601005406339E-2"/>
  </r>
  <r>
    <x v="343"/>
    <x v="292"/>
    <d v="2024-07-12T00:00:00"/>
    <s v="Q3-2024"/>
    <d v="2024-08-01T00:00:00"/>
    <n v="19"/>
    <x v="0"/>
    <x v="1"/>
    <x v="2"/>
    <x v="32"/>
    <s v="Small Business"/>
    <x v="2"/>
    <x v="9"/>
    <x v="2"/>
    <s v="Low"/>
    <x v="343"/>
    <n v="105.13"/>
    <n v="244.13"/>
    <n v="244.13"/>
    <n v="7.0999999999999994E-2"/>
    <n v="7.0999999999999994E-2"/>
    <x v="0"/>
    <n v="14"/>
    <n v="3175.1547799999998"/>
    <n v="1471.82"/>
    <n v="1703.3347799999999"/>
    <n v="0.53645724319618837"/>
    <n v="7.0999999999999994E-2"/>
    <n v="226.79677000000001"/>
    <n v="105.13"/>
    <n v="16.38"/>
    <n v="3714.9310925999998"/>
    <n v="1722.0293999999999"/>
    <n v="1992.9016925999999"/>
    <n v="0.53645724319618837"/>
    <n v="539.77631259999998"/>
    <n v="1703.3347799999999"/>
    <n v="0"/>
  </r>
  <r>
    <x v="344"/>
    <x v="293"/>
    <d v="2023-12-18T00:00:00"/>
    <s v="Q4-2023"/>
    <d v="2023-12-18T00:00:00"/>
    <n v="17"/>
    <x v="0"/>
    <x v="1"/>
    <x v="2"/>
    <x v="32"/>
    <s v="Small Business"/>
    <x v="4"/>
    <x v="13"/>
    <x v="4"/>
    <s v="High"/>
    <x v="344"/>
    <n v="1495.79"/>
    <n v="2783.12"/>
    <n v="2783.12"/>
    <n v="0.02"/>
    <n v="0.02"/>
    <x v="0"/>
    <n v="5"/>
    <n v="13637.287999999999"/>
    <n v="7478.95"/>
    <n v="6158.3379999999988"/>
    <n v="0.45158084217331185"/>
    <n v="0.02"/>
    <n v="2727.4575999999997"/>
    <n v="1495.79"/>
    <n v="5.85"/>
    <n v="15955.626959999998"/>
    <n v="8750.3714999999993"/>
    <n v="7205.2554599999985"/>
    <n v="0.45158084217331185"/>
    <n v="2318.3389599999991"/>
    <n v="6158.3379999999988"/>
    <n v="0"/>
  </r>
  <r>
    <x v="345"/>
    <x v="19"/>
    <d v="2024-08-02T00:00:00"/>
    <s v="Q3-2024"/>
    <d v="2024-08-02T00:00:00"/>
    <n v="8"/>
    <x v="0"/>
    <x v="2"/>
    <x v="3"/>
    <x v="19"/>
    <s v="Consumer"/>
    <x v="4"/>
    <x v="1"/>
    <x v="6"/>
    <s v="High"/>
    <x v="345"/>
    <n v="986.81"/>
    <n v="2050.31"/>
    <n v="2050.31"/>
    <n v="0.10299999999999999"/>
    <n v="0.10299999999999999"/>
    <x v="0"/>
    <n v="43"/>
    <n v="79082.507010000001"/>
    <n v="42432.829999999994"/>
    <n v="36649.677010000007"/>
    <n v="0.46343595310358138"/>
    <n v="0.10299999999999999"/>
    <n v="1839.12807"/>
    <n v="986.81"/>
    <n v="50.309999999999995"/>
    <n v="92526.533201699989"/>
    <n v="49646.41109999999"/>
    <n v="42880.122101699999"/>
    <n v="0.46343595310358138"/>
    <n v="13444.026191699988"/>
    <n v="36649.677010000007"/>
    <n v="0"/>
  </r>
  <r>
    <x v="346"/>
    <x v="176"/>
    <d v="2023-05-16T00:00:00"/>
    <s v="Q2-2023"/>
    <d v="2023-05-16T00:00:00"/>
    <n v="12"/>
    <x v="0"/>
    <x v="0"/>
    <x v="1"/>
    <x v="7"/>
    <s v="Small Business"/>
    <x v="2"/>
    <x v="1"/>
    <x v="3"/>
    <s v="Low"/>
    <x v="346"/>
    <n v="77.739999999999995"/>
    <n v="147.12"/>
    <n v="147.12"/>
    <n v="0"/>
    <n v="0"/>
    <x v="0"/>
    <n v="15"/>
    <n v="2206.8000000000002"/>
    <n v="1166.0999999999999"/>
    <n v="1040.7000000000003"/>
    <n v="0.47158781946710177"/>
    <n v="0"/>
    <n v="147.12"/>
    <n v="77.739999999999995"/>
    <n v="17.549999999999997"/>
    <n v="2581.9559999999997"/>
    <n v="1364.3369999999998"/>
    <n v="1217.6189999999999"/>
    <n v="0.47158781946710171"/>
    <n v="375.15599999999949"/>
    <n v="1040.7000000000003"/>
    <n v="0"/>
  </r>
  <r>
    <x v="347"/>
    <x v="294"/>
    <d v="2024-01-06T00:00:00"/>
    <s v="Q4-2023"/>
    <d v="2024-01-06T00:00:00"/>
    <n v="16"/>
    <x v="0"/>
    <x v="0"/>
    <x v="1"/>
    <x v="35"/>
    <s v="Corporate"/>
    <x v="2"/>
    <x v="11"/>
    <x v="0"/>
    <s v="High"/>
    <x v="347"/>
    <n v="932.61"/>
    <n v="1982.98"/>
    <n v="1982.98"/>
    <n v="0.14399999999999999"/>
    <n v="0.14399999999999999"/>
    <x v="0"/>
    <n v="16"/>
    <n v="27158.894079999998"/>
    <n v="14921.76"/>
    <n v="12237.134079999998"/>
    <n v="0.45057556629345635"/>
    <n v="0.14399999999999999"/>
    <n v="1697.4308799999999"/>
    <n v="932.61"/>
    <n v="18.72"/>
    <n v="31775.906073599996"/>
    <n v="17458.459199999998"/>
    <n v="14317.446873599998"/>
    <n v="0.45057556629345641"/>
    <n v="4617.0119935999974"/>
    <n v="12237.134079999998"/>
    <n v="0"/>
  </r>
  <r>
    <x v="348"/>
    <x v="295"/>
    <d v="2025-07-05T00:00:00"/>
    <s v="Q2-2025"/>
    <d v="2025-07-05T00:00:00"/>
    <n v="18"/>
    <x v="0"/>
    <x v="1"/>
    <x v="4"/>
    <x v="18"/>
    <s v="Consumer"/>
    <x v="2"/>
    <x v="4"/>
    <x v="4"/>
    <s v="High"/>
    <x v="348"/>
    <n v="982.93"/>
    <n v="2299.3000000000002"/>
    <n v="2299.3000000000002"/>
    <n v="0.113"/>
    <n v="0.113"/>
    <x v="0"/>
    <n v="6"/>
    <n v="12236.874600000001"/>
    <n v="5897.58"/>
    <n v="6339.2946000000011"/>
    <n v="0.51804850562087157"/>
    <n v="0.113"/>
    <n v="2039.4791000000002"/>
    <n v="982.93"/>
    <n v="7.02"/>
    <n v="14317.143282000001"/>
    <n v="6900.1685999999991"/>
    <n v="7416.9746820000018"/>
    <n v="0.51804850562087157"/>
    <n v="2080.2686819999999"/>
    <n v="6339.2946000000011"/>
    <n v="0"/>
  </r>
  <r>
    <x v="349"/>
    <x v="29"/>
    <d v="2023-03-08T00:00:00"/>
    <s v="Q1-2023"/>
    <d v="2023-03-08T00:00:00"/>
    <n v="13"/>
    <x v="0"/>
    <x v="3"/>
    <x v="8"/>
    <x v="31"/>
    <s v="Small Business"/>
    <x v="4"/>
    <x v="0"/>
    <x v="1"/>
    <s v="Low"/>
    <x v="349"/>
    <n v="307.37"/>
    <n v="462.61"/>
    <n v="462.61"/>
    <n v="0.188"/>
    <n v="0.188"/>
    <x v="0"/>
    <n v="11"/>
    <n v="4132.0325200000007"/>
    <n v="3381.07"/>
    <n v="750.9625200000005"/>
    <n v="0.18174167709599739"/>
    <n v="0.17"/>
    <n v="383.96629999999999"/>
    <n v="307.37"/>
    <n v="12.87"/>
    <n v="4941.6462809999994"/>
    <n v="3955.8518999999997"/>
    <n v="985.7943809999997"/>
    <n v="0.19948703831560213"/>
    <n v="809.6137609999987"/>
    <n v="750.9625200000005"/>
    <n v="1.7745361219604738E-2"/>
  </r>
  <r>
    <x v="350"/>
    <x v="296"/>
    <d v="2023-12-16T00:00:00"/>
    <s v="Q4-2023"/>
    <d v="2023-12-16T00:00:00"/>
    <n v="14"/>
    <x v="0"/>
    <x v="3"/>
    <x v="6"/>
    <x v="37"/>
    <s v="Education"/>
    <x v="4"/>
    <x v="13"/>
    <x v="5"/>
    <s v="Medium"/>
    <x v="350"/>
    <n v="879.08"/>
    <n v="1093.3900000000001"/>
    <n v="1093.3900000000001"/>
    <n v="0.113"/>
    <n v="0.113"/>
    <x v="0"/>
    <n v="17"/>
    <n v="16487.22781"/>
    <n v="14944.36"/>
    <n v="1542.8678099999997"/>
    <n v="9.3579577341935186E-2"/>
    <n v="0.113"/>
    <n v="969.83693000000005"/>
    <n v="879.08"/>
    <n v="19.89"/>
    <n v="19290.056537700002"/>
    <n v="17484.9012"/>
    <n v="1805.1553377000018"/>
    <n v="9.3579577341935297E-2"/>
    <n v="2802.8287277000018"/>
    <n v="1542.8678099999997"/>
    <n v="1.1102230246251565E-16"/>
  </r>
  <r>
    <x v="351"/>
    <x v="288"/>
    <d v="2023-07-14T00:00:00"/>
    <s v="Q3-2023"/>
    <d v="2023-07-14T00:00:00"/>
    <n v="0"/>
    <x v="1"/>
    <x v="0"/>
    <x v="1"/>
    <x v="3"/>
    <s v="Education"/>
    <x v="0"/>
    <x v="2"/>
    <x v="6"/>
    <s v="High"/>
    <x v="351"/>
    <n v="956.38"/>
    <n v="1454.22"/>
    <n v="1454.22"/>
    <n v="3.9E-2"/>
    <n v="3.9E-2"/>
    <x v="0"/>
    <n v="19"/>
    <n v="26552.60298"/>
    <n v="18171.22"/>
    <n v="8381.3829799999985"/>
    <n v="0.31565202802576603"/>
    <n v="3.9E-2"/>
    <n v="1397.50542"/>
    <n v="956.38"/>
    <n v="22.229999999999997"/>
    <n v="31066.545486599996"/>
    <n v="21260.327399999998"/>
    <n v="9806.2180865999981"/>
    <n v="0.31565202802576603"/>
    <n v="4513.9425065999967"/>
    <n v="8381.3829799999985"/>
    <n v="0"/>
  </r>
  <r>
    <x v="352"/>
    <x v="297"/>
    <d v="2024-08-20T00:00:00"/>
    <s v="Q3-2024"/>
    <d v="2024-08-20T00:00:00"/>
    <n v="12"/>
    <x v="0"/>
    <x v="1"/>
    <x v="2"/>
    <x v="4"/>
    <s v="Small Business"/>
    <x v="0"/>
    <x v="10"/>
    <x v="2"/>
    <s v="Medium"/>
    <x v="352"/>
    <n v="1233.3599999999999"/>
    <n v="2120.4"/>
    <n v="2120.4"/>
    <n v="0.17899999999999999"/>
    <n v="0.17899999999999999"/>
    <x v="0"/>
    <n v="20"/>
    <n v="34816.968000000001"/>
    <n v="24667.199999999997"/>
    <n v="10149.768000000004"/>
    <n v="0.29151785991244278"/>
    <n v="0.17"/>
    <n v="1759.932"/>
    <n v="1233.3599999999999"/>
    <n v="23.4"/>
    <n v="41182.408799999997"/>
    <n v="28860.623999999996"/>
    <n v="12321.784800000001"/>
    <n v="0.29920019637122347"/>
    <n v="6365.4407999999967"/>
    <n v="10149.768000000004"/>
    <n v="7.6823364587806919E-3"/>
  </r>
  <r>
    <x v="353"/>
    <x v="298"/>
    <d v="2024-11-26T00:00:00"/>
    <s v="Q4-2024"/>
    <d v="2024-11-26T00:00:00"/>
    <n v="19"/>
    <x v="0"/>
    <x v="2"/>
    <x v="5"/>
    <x v="30"/>
    <s v="Non-Profit"/>
    <x v="3"/>
    <x v="1"/>
    <x v="1"/>
    <s v="Low"/>
    <x v="353"/>
    <n v="55.35"/>
    <n v="128.68"/>
    <n v="128.68"/>
    <n v="0.128"/>
    <n v="0.128"/>
    <x v="0"/>
    <n v="10"/>
    <n v="1122.0896000000002"/>
    <n v="553.5"/>
    <n v="568.58960000000025"/>
    <n v="0.50672388372550647"/>
    <n v="0.128"/>
    <n v="112.20896"/>
    <n v="55.35"/>
    <n v="11.7"/>
    <n v="1312.844832"/>
    <n v="647.59500000000003"/>
    <n v="665.24983199999997"/>
    <n v="0.50672388372550636"/>
    <n v="190.75523199999975"/>
    <n v="568.58960000000025"/>
    <n v="0"/>
  </r>
  <r>
    <x v="354"/>
    <x v="299"/>
    <d v="2024-01-27T00:00:00"/>
    <s v="Q1-2024"/>
    <d v="2024-01-27T00:00:00"/>
    <n v="26"/>
    <x v="0"/>
    <x v="3"/>
    <x v="8"/>
    <x v="31"/>
    <s v="Education"/>
    <x v="3"/>
    <x v="14"/>
    <x v="6"/>
    <s v="Medium"/>
    <x v="354"/>
    <n v="657.45"/>
    <n v="1325.96"/>
    <n v="1325.96"/>
    <n v="0.16700000000000001"/>
    <n v="0.16700000000000001"/>
    <x v="0"/>
    <n v="21"/>
    <n v="23195.01828"/>
    <n v="13806.45"/>
    <n v="9388.5682799999995"/>
    <n v="0.40476658249048808"/>
    <n v="0.16700000000000001"/>
    <n v="1104.52468"/>
    <n v="657.45"/>
    <n v="24.57"/>
    <n v="27138.171387599999"/>
    <n v="16153.546500000002"/>
    <n v="10984.624887599997"/>
    <n v="0.40476658249048802"/>
    <n v="3943.1531075999992"/>
    <n v="9388.5682799999995"/>
    <n v="0"/>
  </r>
  <r>
    <x v="355"/>
    <x v="300"/>
    <d v="2025-09-11T00:00:00"/>
    <s v="Q3-2025"/>
    <d v="2025-09-11T00:00:00"/>
    <n v="28"/>
    <x v="0"/>
    <x v="2"/>
    <x v="5"/>
    <x v="8"/>
    <s v="Non-Profit"/>
    <x v="4"/>
    <x v="9"/>
    <x v="1"/>
    <s v="High"/>
    <x v="355"/>
    <n v="1203.02"/>
    <n v="2439.33"/>
    <n v="2439.33"/>
    <n v="0"/>
    <n v="0"/>
    <x v="0"/>
    <n v="18"/>
    <n v="43907.94"/>
    <n v="21654.36"/>
    <n v="22253.58"/>
    <n v="0.50682359500354612"/>
    <n v="0"/>
    <n v="2439.33"/>
    <n v="1203.02"/>
    <n v="21.06"/>
    <n v="51372.289799999999"/>
    <n v="25335.601199999997"/>
    <n v="26036.688600000001"/>
    <n v="0.50682359500354612"/>
    <n v="7464.3497999999963"/>
    <n v="22253.58"/>
    <n v="0"/>
  </r>
  <r>
    <x v="356"/>
    <x v="149"/>
    <d v="2024-04-21T00:00:00"/>
    <s v="Q2-2024"/>
    <d v="2024-04-21T00:00:00"/>
    <n v="18"/>
    <x v="0"/>
    <x v="2"/>
    <x v="5"/>
    <x v="10"/>
    <s v="Small Business"/>
    <x v="3"/>
    <x v="5"/>
    <x v="2"/>
    <s v="High"/>
    <x v="356"/>
    <n v="1176.69"/>
    <n v="2201.54"/>
    <n v="2201.54"/>
    <n v="0.17"/>
    <n v="0.17"/>
    <x v="0"/>
    <n v="27"/>
    <n v="49336.511399999996"/>
    <n v="31770.63"/>
    <n v="17565.881399999995"/>
    <n v="0.35604222717701106"/>
    <n v="0.17"/>
    <n v="1827.2782"/>
    <n v="1176.69"/>
    <n v="31.589999999999996"/>
    <n v="57723.718337999991"/>
    <n v="37171.6371"/>
    <n v="20552.081237999992"/>
    <n v="0.35604222717701106"/>
    <n v="8387.2069379999957"/>
    <n v="17565.881399999995"/>
    <n v="0"/>
  </r>
  <r>
    <x v="357"/>
    <x v="301"/>
    <d v="2024-12-07T00:00:00"/>
    <s v="Q4-2024"/>
    <d v="2024-12-07T00:00:00"/>
    <n v="12"/>
    <x v="0"/>
    <x v="1"/>
    <x v="9"/>
    <x v="23"/>
    <s v="Corporate"/>
    <x v="3"/>
    <x v="8"/>
    <x v="6"/>
    <s v="Medium"/>
    <x v="357"/>
    <n v="769.9"/>
    <n v="814.36"/>
    <n v="814.36"/>
    <n v="0"/>
    <n v="0"/>
    <x v="0"/>
    <n v="5"/>
    <n v="4071.8"/>
    <n v="3849.5"/>
    <n v="222.30000000000018"/>
    <n v="5.4595019401738831E-2"/>
    <n v="0"/>
    <n v="814.36"/>
    <n v="769.9"/>
    <n v="5.85"/>
    <n v="4764.0059999999994"/>
    <n v="4503.915"/>
    <n v="260.09099999999944"/>
    <n v="5.4595019401738679E-2"/>
    <n v="692.20599999999922"/>
    <n v="222.30000000000018"/>
    <n v="-1.5265566588595902E-16"/>
  </r>
  <r>
    <x v="358"/>
    <x v="302"/>
    <d v="2024-02-03T00:00:00"/>
    <s v="Q1-2024"/>
    <d v="2024-02-03T00:00:00"/>
    <n v="16"/>
    <x v="0"/>
    <x v="0"/>
    <x v="11"/>
    <x v="33"/>
    <s v="Non-Profit"/>
    <x v="3"/>
    <x v="4"/>
    <x v="1"/>
    <s v="Medium"/>
    <x v="358"/>
    <n v="666.23"/>
    <n v="1382.91"/>
    <n v="1382.91"/>
    <n v="0.17599999999999999"/>
    <n v="0.17599999999999999"/>
    <x v="0"/>
    <n v="13"/>
    <n v="14813.731920000002"/>
    <n v="8660.99"/>
    <n v="6152.7419200000022"/>
    <n v="0.41534043907553048"/>
    <n v="0.17"/>
    <n v="1147.8153"/>
    <n v="666.23"/>
    <n v="15.209999999999999"/>
    <n v="17458.270712999998"/>
    <n v="10133.3583"/>
    <n v="7324.9124129999982"/>
    <n v="0.41956689373281569"/>
    <n v="2644.5387929999961"/>
    <n v="6152.7419200000022"/>
    <n v="4.2264546572852169E-3"/>
  </r>
  <r>
    <x v="359"/>
    <x v="303"/>
    <d v="2024-06-25T00:00:00"/>
    <s v="Q2-2024"/>
    <d v="2024-06-25T00:00:00"/>
    <n v="2"/>
    <x v="1"/>
    <x v="3"/>
    <x v="8"/>
    <x v="12"/>
    <s v="Small Business"/>
    <x v="2"/>
    <x v="4"/>
    <x v="6"/>
    <s v="High"/>
    <x v="359"/>
    <n v="951.44"/>
    <n v="1646.43"/>
    <n v="1646.43"/>
    <n v="0.11"/>
    <n v="0.11"/>
    <x v="0"/>
    <n v="24"/>
    <n v="35167.7448"/>
    <n v="22834.560000000001"/>
    <n v="12333.184799999999"/>
    <n v="0.35069592520473475"/>
    <n v="0.11"/>
    <n v="1465.3227000000002"/>
    <n v="951.44"/>
    <n v="28.08"/>
    <n v="41146.261416000001"/>
    <n v="26716.4352"/>
    <n v="14429.826216000001"/>
    <n v="0.3506959252047348"/>
    <n v="5978.5166160000008"/>
    <n v="12333.184799999999"/>
    <n v="0"/>
  </r>
  <r>
    <x v="360"/>
    <x v="304"/>
    <d v="2025-07-10T00:00:00"/>
    <s v="Q2-2025"/>
    <d v="2025-07-10T00:00:00"/>
    <n v="15"/>
    <x v="0"/>
    <x v="3"/>
    <x v="8"/>
    <x v="12"/>
    <s v="Non-Profit"/>
    <x v="2"/>
    <x v="14"/>
    <x v="3"/>
    <s v="Low"/>
    <x v="360"/>
    <n v="546.83000000000004"/>
    <n v="400.84"/>
    <n v="400.84"/>
    <n v="7.8E-2"/>
    <n v="7.8E-2"/>
    <x v="0"/>
    <n v="13"/>
    <n v="4804.4682400000002"/>
    <n v="7108.7900000000009"/>
    <n v="-2304.3217600000007"/>
    <n v="-0.47962056254533608"/>
    <n v="7.8E-2"/>
    <n v="369.57447999999999"/>
    <n v="546.83000000000004"/>
    <n v="15.209999999999999"/>
    <n v="5621.2278407999993"/>
    <n v="8317.2842999999993"/>
    <n v="-2696.0564592000001"/>
    <n v="-0.47962056254533597"/>
    <n v="816.75960079999913"/>
    <n v="-2304.3217600000007"/>
    <n v="0"/>
  </r>
  <r>
    <x v="361"/>
    <x v="305"/>
    <d v="2023-07-08T00:00:00"/>
    <s v="Q3-2023"/>
    <d v="2023-07-08T00:00:00"/>
    <n v="7"/>
    <x v="1"/>
    <x v="0"/>
    <x v="1"/>
    <x v="1"/>
    <s v="Corporate"/>
    <x v="0"/>
    <x v="8"/>
    <x v="4"/>
    <s v="Medium"/>
    <x v="361"/>
    <n v="834.26"/>
    <n v="1780.56"/>
    <n v="1780.56"/>
    <n v="1.4E-2"/>
    <n v="1.4E-2"/>
    <x v="0"/>
    <n v="47"/>
    <n v="82514.711519999997"/>
    <n v="39210.22"/>
    <n v="43304.491519999996"/>
    <n v="0.5248093427497933"/>
    <n v="1.4E-2"/>
    <n v="1755.6321599999999"/>
    <n v="834.26"/>
    <n v="54.989999999999995"/>
    <n v="96542.21247839999"/>
    <n v="45875.957399999992"/>
    <n v="50666.255078399998"/>
    <n v="0.52480934274979341"/>
    <n v="14027.500958399993"/>
    <n v="43304.491519999996"/>
    <n v="0"/>
  </r>
  <r>
    <x v="362"/>
    <x v="306"/>
    <d v="2024-03-26T00:00:00"/>
    <s v="Q1-2024"/>
    <d v="2024-03-26T00:00:00"/>
    <n v="17"/>
    <x v="0"/>
    <x v="1"/>
    <x v="9"/>
    <x v="14"/>
    <s v="Enterprise"/>
    <x v="1"/>
    <x v="11"/>
    <x v="5"/>
    <s v="Medium"/>
    <x v="362"/>
    <n v="1029.67"/>
    <n v="1118.43"/>
    <n v="1118.43"/>
    <n v="0.27200000000000002"/>
    <n v="0.27200000000000002"/>
    <x v="1"/>
    <n v="9"/>
    <n v="7327.9533600000004"/>
    <n v="9267.0300000000007"/>
    <n v="-1939.0766400000002"/>
    <n v="-0.26461367106736061"/>
    <n v="0.17"/>
    <n v="928.29690000000005"/>
    <n v="1029.67"/>
    <n v="10.53"/>
    <n v="9774.9663569999993"/>
    <n v="10842.4251"/>
    <n v="-1067.458743000001"/>
    <n v="-0.10920331630968509"/>
    <n v="2447.0129969999989"/>
    <n v="-1939.0766400000002"/>
    <n v="0.15541035475767551"/>
  </r>
  <r>
    <x v="363"/>
    <x v="307"/>
    <d v="2023-06-28T00:00:00"/>
    <s v="Q2-2023"/>
    <d v="2023-06-28T00:00:00"/>
    <n v="23"/>
    <x v="0"/>
    <x v="3"/>
    <x v="8"/>
    <x v="12"/>
    <s v="Corporate"/>
    <x v="4"/>
    <x v="11"/>
    <x v="1"/>
    <s v="Low"/>
    <x v="363"/>
    <n v="605.82000000000005"/>
    <n v="771.12"/>
    <n v="771.12"/>
    <n v="0.13200000000000001"/>
    <n v="0.13200000000000001"/>
    <x v="0"/>
    <n v="19"/>
    <n v="12717.311040000001"/>
    <n v="11510.580000000002"/>
    <n v="1206.7310399999988"/>
    <n v="9.4888851597986767E-2"/>
    <n v="0.13200000000000001"/>
    <n v="669.33216000000004"/>
    <n v="605.82000000000005"/>
    <n v="22.229999999999997"/>
    <n v="14879.253916799998"/>
    <n v="13467.3786"/>
    <n v="1411.8753167999985"/>
    <n v="9.4888851597986767E-2"/>
    <n v="2161.942876799998"/>
    <n v="1206.7310399999988"/>
    <n v="0"/>
  </r>
  <r>
    <x v="364"/>
    <x v="308"/>
    <d v="2025-04-09T00:00:00"/>
    <s v="Q1-2025"/>
    <d v="2025-04-09T00:00:00"/>
    <n v="19"/>
    <x v="0"/>
    <x v="1"/>
    <x v="2"/>
    <x v="27"/>
    <s v="Small Business"/>
    <x v="3"/>
    <x v="6"/>
    <x v="0"/>
    <s v="Medium"/>
    <x v="364"/>
    <n v="1055.45"/>
    <n v="1210.04"/>
    <n v="1210.04"/>
    <n v="8.9999999999999993E-3"/>
    <n v="8.9999999999999993E-3"/>
    <x v="0"/>
    <n v="18"/>
    <n v="21584.693520000001"/>
    <n v="18998.100000000002"/>
    <n v="2586.5935199999985"/>
    <n v="0.1198346188053727"/>
    <n v="8.9999999999999993E-3"/>
    <n v="1199.1496399999999"/>
    <n v="1055.45"/>
    <n v="21.06"/>
    <n v="25254.091418399996"/>
    <n v="22227.776999999998"/>
    <n v="3026.3144183999975"/>
    <n v="0.1198346188053727"/>
    <n v="3669.397898399995"/>
    <n v="2586.5935199999985"/>
    <n v="0"/>
  </r>
  <r>
    <x v="365"/>
    <x v="101"/>
    <d v="2024-06-15T00:00:00"/>
    <s v="Q2-2024"/>
    <d v="2024-06-15T00:00:00"/>
    <n v="13"/>
    <x v="0"/>
    <x v="0"/>
    <x v="0"/>
    <x v="13"/>
    <s v="Education"/>
    <x v="1"/>
    <x v="7"/>
    <x v="3"/>
    <s v="High"/>
    <x v="365"/>
    <n v="1295.18"/>
    <n v="3024.03"/>
    <n v="3024.03"/>
    <n v="0.192"/>
    <n v="0.192"/>
    <x v="0"/>
    <n v="8"/>
    <n v="19547.329920000004"/>
    <n v="10361.44"/>
    <n v="9185.8899200000033"/>
    <n v="0.46993067378483178"/>
    <n v="0.17"/>
    <n v="2509.9449"/>
    <n v="1295.18"/>
    <n v="9.36"/>
    <n v="23493.084263999997"/>
    <n v="12122.8848"/>
    <n v="11370.199463999998"/>
    <n v="0.48398070411824573"/>
    <n v="3945.7543439999936"/>
    <n v="9185.8899200000033"/>
    <n v="1.4050030333413954E-2"/>
  </r>
  <r>
    <x v="366"/>
    <x v="309"/>
    <d v="2025-03-29T00:00:00"/>
    <s v="Q1-2025"/>
    <d v="2025-03-29T00:00:00"/>
    <n v="14"/>
    <x v="0"/>
    <x v="1"/>
    <x v="4"/>
    <x v="29"/>
    <s v="Enterprise"/>
    <x v="4"/>
    <x v="0"/>
    <x v="0"/>
    <s v="High"/>
    <x v="366"/>
    <n v="935.83"/>
    <n v="2303.46"/>
    <n v="2303.46"/>
    <n v="0.105"/>
    <n v="0.105"/>
    <x v="0"/>
    <n v="9"/>
    <n v="18554.370299999999"/>
    <n v="8422.4700000000012"/>
    <n v="10131.900299999998"/>
    <n v="0.54606543559174292"/>
    <n v="0.105"/>
    <n v="2061.5967000000001"/>
    <n v="935.83"/>
    <n v="10.53"/>
    <n v="21708.613250999999"/>
    <n v="9854.2898999999998"/>
    <n v="11854.323350999999"/>
    <n v="0.54606543559174303"/>
    <n v="3154.2429510000002"/>
    <n v="10131.900299999998"/>
    <n v="0"/>
  </r>
  <r>
    <x v="367"/>
    <x v="198"/>
    <d v="2023-10-09T00:00:00"/>
    <s v="Q3-2023"/>
    <d v="2023-10-09T00:00:00"/>
    <n v="14"/>
    <x v="0"/>
    <x v="2"/>
    <x v="10"/>
    <x v="39"/>
    <s v="Small Business"/>
    <x v="2"/>
    <x v="1"/>
    <x v="4"/>
    <s v="High"/>
    <x v="367"/>
    <n v="1279.56"/>
    <n v="3083.8"/>
    <n v="3083.8"/>
    <n v="0.106"/>
    <n v="0.106"/>
    <x v="0"/>
    <n v="5"/>
    <n v="13784.586000000001"/>
    <n v="6397.7999999999993"/>
    <n v="7386.7860000000019"/>
    <n v="0.53587289455047848"/>
    <n v="0.106"/>
    <n v="2756.9172000000003"/>
    <n v="1279.56"/>
    <n v="5.85"/>
    <n v="16127.965620000001"/>
    <n v="7485.4259999999995"/>
    <n v="8642.5396200000014"/>
    <n v="0.53587289455047837"/>
    <n v="2343.3796199999997"/>
    <n v="7386.7860000000019"/>
    <n v="0"/>
  </r>
  <r>
    <x v="368"/>
    <x v="35"/>
    <d v="2025-07-23T00:00:00"/>
    <s v="Q2-2025"/>
    <d v="2025-07-23T00:00:00"/>
    <n v="29"/>
    <x v="0"/>
    <x v="2"/>
    <x v="3"/>
    <x v="26"/>
    <s v="Non-Profit"/>
    <x v="2"/>
    <x v="2"/>
    <x v="1"/>
    <s v="Low"/>
    <x v="368"/>
    <n v="255.4"/>
    <n v="322.70999999999998"/>
    <n v="322.70999999999998"/>
    <n v="0.115"/>
    <n v="0.115"/>
    <x v="0"/>
    <n v="16"/>
    <n v="4569.5735999999997"/>
    <n v="4086.4"/>
    <n v="483.17359999999962"/>
    <n v="0.10573713048412212"/>
    <n v="0.115"/>
    <n v="285.59834999999998"/>
    <n v="255.4"/>
    <n v="18.72"/>
    <n v="5346.4011119999996"/>
    <n v="4781.0879999999997"/>
    <n v="565.31311199999982"/>
    <n v="0.10573713048412217"/>
    <n v="776.82751199999984"/>
    <n v="483.17359999999962"/>
    <n v="0"/>
  </r>
  <r>
    <x v="369"/>
    <x v="310"/>
    <d v="2024-01-03T00:00:00"/>
    <s v="Q4-2023"/>
    <d v="2024-01-03T00:00:00"/>
    <n v="8"/>
    <x v="0"/>
    <x v="3"/>
    <x v="7"/>
    <x v="17"/>
    <s v="Small Business"/>
    <x v="0"/>
    <x v="12"/>
    <x v="4"/>
    <s v="Low"/>
    <x v="369"/>
    <n v="492.75"/>
    <n v="731.29"/>
    <n v="731.29"/>
    <n v="5.8000000000000003E-2"/>
    <n v="5.8000000000000003E-2"/>
    <x v="0"/>
    <n v="6"/>
    <n v="4133.25108"/>
    <n v="2956.5"/>
    <n v="1176.75108"/>
    <n v="0.28470350753528384"/>
    <n v="5.8000000000000003E-2"/>
    <n v="688.87517999999989"/>
    <n v="492.75"/>
    <n v="7.02"/>
    <n v="4835.9037635999985"/>
    <n v="3459.1049999999996"/>
    <n v="1376.7987635999989"/>
    <n v="0.28470350753528367"/>
    <n v="702.65268359999845"/>
    <n v="1176.75108"/>
    <n v="0"/>
  </r>
  <r>
    <x v="370"/>
    <x v="311"/>
    <d v="2023-02-28T00:00:00"/>
    <s v="Q1-2023"/>
    <d v="2023-02-28T00:00:00"/>
    <n v="23"/>
    <x v="0"/>
    <x v="2"/>
    <x v="10"/>
    <x v="36"/>
    <s v="Non-Profit"/>
    <x v="3"/>
    <x v="4"/>
    <x v="3"/>
    <s v="Medium"/>
    <x v="370"/>
    <n v="1214.49"/>
    <n v="1533.95"/>
    <n v="1533.95"/>
    <n v="0"/>
    <n v="0"/>
    <x v="0"/>
    <n v="11"/>
    <n v="16873.45"/>
    <n v="13359.39"/>
    <n v="3514.0600000000013"/>
    <n v="0.20825972163369086"/>
    <n v="0"/>
    <n v="1533.95"/>
    <n v="1214.49"/>
    <n v="12.87"/>
    <n v="19741.9365"/>
    <n v="15630.486299999999"/>
    <n v="4111.4502000000011"/>
    <n v="0.20825972163369086"/>
    <n v="2868.4864999999991"/>
    <n v="3514.0600000000013"/>
    <n v="0"/>
  </r>
  <r>
    <x v="371"/>
    <x v="89"/>
    <d v="2023-04-08T00:00:00"/>
    <s v="Q2-2023"/>
    <d v="2023-04-08T00:00:00"/>
    <n v="2"/>
    <x v="1"/>
    <x v="0"/>
    <x v="1"/>
    <x v="7"/>
    <s v="Small Business"/>
    <x v="2"/>
    <x v="11"/>
    <x v="5"/>
    <s v="High"/>
    <x v="371"/>
    <n v="720.35"/>
    <n v="1571.66"/>
    <n v="1571.66"/>
    <n v="0.107"/>
    <n v="0.107"/>
    <x v="0"/>
    <n v="23"/>
    <n v="32280.32474"/>
    <n v="16568.05"/>
    <n v="15712.274740000001"/>
    <n v="0.4867446305622265"/>
    <n v="0.107"/>
    <n v="1403.4923800000001"/>
    <n v="720.35"/>
    <n v="26.909999999999997"/>
    <n v="37767.979945799998"/>
    <n v="19384.618499999997"/>
    <n v="18383.361445800001"/>
    <n v="0.48674463056222655"/>
    <n v="5487.6552057999979"/>
    <n v="15712.274740000001"/>
    <n v="0"/>
  </r>
  <r>
    <x v="372"/>
    <x v="253"/>
    <d v="2025-04-10T00:00:00"/>
    <s v="Q2-2025"/>
    <d v="2025-04-10T00:00:00"/>
    <n v="6"/>
    <x v="1"/>
    <x v="3"/>
    <x v="8"/>
    <x v="12"/>
    <s v="Non-Profit"/>
    <x v="4"/>
    <x v="13"/>
    <x v="1"/>
    <s v="Low"/>
    <x v="372"/>
    <n v="290.14"/>
    <n v="250.73"/>
    <n v="250.73"/>
    <n v="3.4000000000000002E-2"/>
    <n v="3.4000000000000002E-2"/>
    <x v="0"/>
    <n v="17"/>
    <n v="4117.4880599999997"/>
    <n v="4932.38"/>
    <n v="-814.89194000000043"/>
    <n v="-0.19790997038131072"/>
    <n v="3.4000000000000002E-2"/>
    <n v="242.20517999999998"/>
    <n v="290.14"/>
    <n v="19.89"/>
    <n v="4817.4610302000001"/>
    <n v="5770.8846000000003"/>
    <n v="-953.42356980000022"/>
    <n v="-0.19790997038131064"/>
    <n v="699.97297020000042"/>
    <n v="-814.89194000000043"/>
    <n v="0"/>
  </r>
  <r>
    <x v="373"/>
    <x v="312"/>
    <d v="2024-05-27T00:00:00"/>
    <s v="Q2-2024"/>
    <d v="2024-05-27T00:00:00"/>
    <n v="10"/>
    <x v="0"/>
    <x v="2"/>
    <x v="10"/>
    <x v="36"/>
    <s v="Non-Profit"/>
    <x v="1"/>
    <x v="0"/>
    <x v="3"/>
    <s v="High"/>
    <x v="373"/>
    <n v="1484.23"/>
    <n v="3472.81"/>
    <n v="3472.81"/>
    <n v="0.25600000000000001"/>
    <n v="0.25600000000000001"/>
    <x v="1"/>
    <n v="12"/>
    <n v="31005.24768"/>
    <n v="17810.760000000002"/>
    <n v="13194.487679999998"/>
    <n v="0.42555659661803413"/>
    <n v="0.17"/>
    <n v="2882.4322999999999"/>
    <n v="1484.23"/>
    <n v="14.04"/>
    <n v="40469.349491999994"/>
    <n v="20838.589199999999"/>
    <n v="19630.760291999995"/>
    <n v="0.48507723841423783"/>
    <n v="9464.1018119999935"/>
    <n v="13194.487679999998"/>
    <n v="5.9520641796203699E-2"/>
  </r>
  <r>
    <x v="374"/>
    <x v="313"/>
    <d v="2024-03-19T00:00:00"/>
    <s v="Q1-2024"/>
    <d v="2024-03-19T00:00:00"/>
    <n v="16"/>
    <x v="0"/>
    <x v="1"/>
    <x v="9"/>
    <x v="38"/>
    <s v="Consumer"/>
    <x v="3"/>
    <x v="3"/>
    <x v="3"/>
    <s v="Medium"/>
    <x v="374"/>
    <n v="988.83"/>
    <n v="1206.04"/>
    <n v="1206.04"/>
    <n v="6.3E-2"/>
    <n v="6.3E-2"/>
    <x v="0"/>
    <n v="34"/>
    <n v="38422.022320000004"/>
    <n v="33620.22"/>
    <n v="4801.8023200000025"/>
    <n v="0.12497526236406606"/>
    <n v="6.3E-2"/>
    <n v="1130.0594800000001"/>
    <n v="988.83"/>
    <n v="39.78"/>
    <n v="44953.766114400009"/>
    <n v="39335.657400000004"/>
    <n v="5618.1087144000048"/>
    <n v="0.12497526236406609"/>
    <n v="6531.7437944000048"/>
    <n v="4801.8023200000025"/>
    <n v="0"/>
  </r>
  <r>
    <x v="375"/>
    <x v="231"/>
    <d v="2025-07-11T00:00:00"/>
    <s v="Q2-2025"/>
    <d v="2025-07-11T00:00:00"/>
    <n v="14"/>
    <x v="0"/>
    <x v="1"/>
    <x v="9"/>
    <x v="23"/>
    <s v="Small Business"/>
    <x v="2"/>
    <x v="4"/>
    <x v="2"/>
    <s v="High"/>
    <x v="375"/>
    <n v="1227.7"/>
    <n v="2197.23"/>
    <n v="2197.23"/>
    <n v="9.9000000000000005E-2"/>
    <n v="9.9000000000000005E-2"/>
    <x v="0"/>
    <n v="22"/>
    <n v="43553.493060000001"/>
    <n v="27009.4"/>
    <n v="16544.093059999999"/>
    <n v="0.37985685871873898"/>
    <n v="9.9000000000000005E-2"/>
    <n v="1979.7042300000001"/>
    <n v="1227.7"/>
    <n v="25.74"/>
    <n v="50957.586880199997"/>
    <n v="31600.998"/>
    <n v="19356.588880199997"/>
    <n v="0.37985685871873898"/>
    <n v="7404.0938201999961"/>
    <n v="16544.093059999999"/>
    <n v="0"/>
  </r>
  <r>
    <x v="376"/>
    <x v="314"/>
    <d v="2023-04-04T00:00:00"/>
    <s v="Q1-2023"/>
    <d v="2023-04-04T00:00:00"/>
    <n v="22"/>
    <x v="0"/>
    <x v="0"/>
    <x v="11"/>
    <x v="25"/>
    <s v="Small Business"/>
    <x v="0"/>
    <x v="8"/>
    <x v="0"/>
    <s v="Medium"/>
    <x v="376"/>
    <n v="1113.7"/>
    <n v="1620.6"/>
    <n v="1620.6"/>
    <n v="0.13900000000000001"/>
    <n v="0.13900000000000001"/>
    <x v="0"/>
    <n v="11"/>
    <n v="15348.702599999999"/>
    <n v="12250.7"/>
    <n v="3098.002599999998"/>
    <n v="0.20184133348182787"/>
    <n v="0.13900000000000001"/>
    <n v="1395.3365999999999"/>
    <n v="1113.7"/>
    <n v="12.87"/>
    <n v="17957.982041999996"/>
    <n v="14333.319"/>
    <n v="3624.6630419999965"/>
    <n v="0.20184133348182781"/>
    <n v="2609.2794419999973"/>
    <n v="3098.002599999998"/>
    <n v="0"/>
  </r>
  <r>
    <x v="377"/>
    <x v="315"/>
    <d v="2025-01-20T00:00:00"/>
    <s v="Q1-2025"/>
    <d v="2025-01-20T00:00:00"/>
    <n v="13"/>
    <x v="0"/>
    <x v="0"/>
    <x v="11"/>
    <x v="33"/>
    <s v="Corporate"/>
    <x v="4"/>
    <x v="11"/>
    <x v="2"/>
    <s v="Medium"/>
    <x v="377"/>
    <n v="432.13"/>
    <n v="1034.6600000000001"/>
    <n v="1034.6600000000001"/>
    <n v="9.1999999999999998E-2"/>
    <n v="9.1999999999999998E-2"/>
    <x v="0"/>
    <n v="7"/>
    <n v="6576.298960000001"/>
    <n v="3024.91"/>
    <n v="3551.3889600000011"/>
    <n v="0.54002851476204794"/>
    <n v="9.1999999999999998E-2"/>
    <n v="939.47128000000009"/>
    <n v="432.13"/>
    <n v="8.19"/>
    <n v="7694.2697832000003"/>
    <n v="3539.1446999999998"/>
    <n v="4155.1250832000005"/>
    <n v="0.54002851476204794"/>
    <n v="1117.9708231999994"/>
    <n v="3551.3889600000011"/>
    <n v="0"/>
  </r>
  <r>
    <x v="378"/>
    <x v="316"/>
    <d v="2025-02-15T00:00:00"/>
    <s v="Q1-2025"/>
    <d v="2025-02-15T00:00:00"/>
    <n v="9"/>
    <x v="0"/>
    <x v="2"/>
    <x v="5"/>
    <x v="8"/>
    <s v="Non-Profit"/>
    <x v="3"/>
    <x v="9"/>
    <x v="2"/>
    <s v="Medium"/>
    <x v="378"/>
    <n v="837.39"/>
    <n v="1905.42"/>
    <n v="1905.42"/>
    <n v="3.2000000000000001E-2"/>
    <n v="3.2000000000000001E-2"/>
    <x v="0"/>
    <n v="18"/>
    <n v="33200.038079999998"/>
    <n v="15073.02"/>
    <n v="18127.018079999998"/>
    <n v="0.54599389423350919"/>
    <n v="3.2000000000000001E-2"/>
    <n v="1844.4465600000001"/>
    <n v="837.39"/>
    <n v="21.06"/>
    <n v="38844.044553599997"/>
    <n v="17635.433399999998"/>
    <n v="21208.611153599999"/>
    <n v="0.5459938942335093"/>
    <n v="5644.0064735999986"/>
    <n v="18127.018079999998"/>
    <n v="0"/>
  </r>
  <r>
    <x v="379"/>
    <x v="317"/>
    <d v="2025-02-17T00:00:00"/>
    <s v="Q1-2025"/>
    <d v="2025-02-17T00:00:00"/>
    <n v="17"/>
    <x v="0"/>
    <x v="3"/>
    <x v="8"/>
    <x v="21"/>
    <s v="Enterprise"/>
    <x v="0"/>
    <x v="10"/>
    <x v="0"/>
    <s v="Low"/>
    <x v="78"/>
    <n v="378.26"/>
    <n v="541.55999999999995"/>
    <n v="541.55999999999995"/>
    <n v="0.16300000000000001"/>
    <n v="0.16300000000000001"/>
    <x v="0"/>
    <n v="25"/>
    <n v="11332.142999999998"/>
    <n v="9456.5"/>
    <n v="1875.6429999999982"/>
    <n v="0.16551529573885526"/>
    <n v="0.16300000000000001"/>
    <n v="453.28571999999991"/>
    <n v="378.26"/>
    <n v="29.25"/>
    <n v="13258.607309999998"/>
    <n v="11064.105"/>
    <n v="2194.502309999998"/>
    <n v="0.16551529573885529"/>
    <n v="1926.4643099999994"/>
    <n v="1875.6429999999982"/>
    <n v="0"/>
  </r>
  <r>
    <x v="380"/>
    <x v="83"/>
    <d v="2025-09-06T00:00:00"/>
    <s v="Q3-2025"/>
    <d v="2025-09-06T00:00:00"/>
    <n v="30"/>
    <x v="0"/>
    <x v="2"/>
    <x v="3"/>
    <x v="19"/>
    <s v="Education"/>
    <x v="4"/>
    <x v="12"/>
    <x v="2"/>
    <s v="Medium"/>
    <x v="379"/>
    <n v="833.73"/>
    <n v="1116.5999999999999"/>
    <n v="1116.5999999999999"/>
    <n v="0.17599999999999999"/>
    <n v="0.17599999999999999"/>
    <x v="0"/>
    <n v="14"/>
    <n v="12881.097599999999"/>
    <n v="11672.220000000001"/>
    <n v="1208.877599999998"/>
    <n v="9.3848958958279924E-2"/>
    <n v="0.17"/>
    <n v="926.77799999999991"/>
    <n v="833.73"/>
    <n v="16.38"/>
    <n v="15180.623639999998"/>
    <n v="13656.4974"/>
    <n v="1524.1262399999978"/>
    <n v="0.10039944841159358"/>
    <n v="2299.5260399999988"/>
    <n v="1208.877599999998"/>
    <n v="6.5504894533136571E-3"/>
  </r>
  <r>
    <x v="381"/>
    <x v="318"/>
    <d v="2025-08-17T00:00:00"/>
    <s v="Q3-2025"/>
    <d v="2025-08-17T00:00:00"/>
    <n v="25"/>
    <x v="0"/>
    <x v="3"/>
    <x v="8"/>
    <x v="12"/>
    <s v="Education"/>
    <x v="1"/>
    <x v="2"/>
    <x v="1"/>
    <s v="High"/>
    <x v="380"/>
    <n v="1142.06"/>
    <n v="1455"/>
    <n v="1455"/>
    <n v="7.8E-2"/>
    <n v="7.8E-2"/>
    <x v="0"/>
    <n v="28"/>
    <n v="37562.28"/>
    <n v="31977.68"/>
    <n v="5584.5999999999985"/>
    <n v="0.1486757459877302"/>
    <n v="7.8E-2"/>
    <n v="1341.51"/>
    <n v="1142.06"/>
    <n v="32.76"/>
    <n v="43947.867599999998"/>
    <n v="37413.885599999994"/>
    <n v="6533.9820000000036"/>
    <n v="0.14867574598773034"/>
    <n v="6385.5875999999989"/>
    <n v="5584.5999999999985"/>
    <n v="0"/>
  </r>
  <r>
    <x v="382"/>
    <x v="263"/>
    <d v="2023-07-08T00:00:00"/>
    <s v="Q2-2023"/>
    <d v="2023-07-08T00:00:00"/>
    <n v="18"/>
    <x v="0"/>
    <x v="2"/>
    <x v="10"/>
    <x v="39"/>
    <s v="Consumer"/>
    <x v="2"/>
    <x v="7"/>
    <x v="2"/>
    <s v="Medium"/>
    <x v="381"/>
    <n v="1145.53"/>
    <n v="1278.3"/>
    <n v="1278.3"/>
    <n v="0.09"/>
    <n v="0.09"/>
    <x v="0"/>
    <n v="41"/>
    <n v="47693.373"/>
    <n v="46966.729999999996"/>
    <n v="726.64300000000367"/>
    <n v="1.5235722581416158E-2"/>
    <n v="0.09"/>
    <n v="1163.2529999999999"/>
    <n v="1145.53"/>
    <n v="47.97"/>
    <n v="55801.246409999992"/>
    <n v="54951.074099999998"/>
    <n v="850.17230999999447"/>
    <n v="1.5235722581415983E-2"/>
    <n v="8107.8734099999929"/>
    <n v="726.64300000000367"/>
    <n v="-1.7520707107365752E-16"/>
  </r>
  <r>
    <x v="383"/>
    <x v="319"/>
    <d v="2024-08-07T00:00:00"/>
    <s v="Q3-2024"/>
    <d v="2024-08-07T00:00:00"/>
    <n v="20"/>
    <x v="0"/>
    <x v="3"/>
    <x v="7"/>
    <x v="11"/>
    <s v="Corporate"/>
    <x v="0"/>
    <x v="9"/>
    <x v="5"/>
    <s v="Medium"/>
    <x v="382"/>
    <n v="941.35"/>
    <n v="899.83"/>
    <n v="899.83"/>
    <n v="5.8000000000000003E-2"/>
    <n v="5.8000000000000003E-2"/>
    <x v="0"/>
    <n v="18"/>
    <n v="15257.51748"/>
    <n v="16944.3"/>
    <n v="-1686.7825199999988"/>
    <n v="-0.11055419220139073"/>
    <n v="5.8000000000000003E-2"/>
    <n v="847.63986"/>
    <n v="941.35"/>
    <n v="21.06"/>
    <n v="17851.295451599999"/>
    <n v="19824.830999999998"/>
    <n v="-1973.5355483999992"/>
    <n v="-0.11055419220139077"/>
    <n v="2593.7779715999986"/>
    <n v="-1686.7825199999988"/>
    <n v="0"/>
  </r>
  <r>
    <x v="384"/>
    <x v="72"/>
    <d v="2023-06-19T00:00:00"/>
    <s v="Q2-2023"/>
    <d v="2023-06-19T00:00:00"/>
    <n v="30"/>
    <x v="0"/>
    <x v="1"/>
    <x v="4"/>
    <x v="18"/>
    <s v="Non-Profit"/>
    <x v="2"/>
    <x v="10"/>
    <x v="4"/>
    <s v="Low"/>
    <x v="383"/>
    <n v="1161.2"/>
    <n v="878.73"/>
    <n v="878.73"/>
    <n v="0.19"/>
    <n v="0.19"/>
    <x v="0"/>
    <n v="31"/>
    <n v="22064.910300000003"/>
    <n v="35997.200000000004"/>
    <n v="-13932.289700000001"/>
    <n v="-0.63142290227212028"/>
    <n v="0.17"/>
    <n v="729.34590000000003"/>
    <n v="1161.2"/>
    <n v="36.269999999999996"/>
    <n v="26453.375792999999"/>
    <n v="42116.723999999995"/>
    <n v="-15663.348206999995"/>
    <n v="-0.59211150703664739"/>
    <n v="4388.4654929999961"/>
    <n v="-13932.289700000001"/>
    <n v="3.931139523547289E-2"/>
  </r>
  <r>
    <x v="385"/>
    <x v="320"/>
    <d v="2025-05-26T00:00:00"/>
    <s v="Q2-2025"/>
    <d v="2025-05-26T00:00:00"/>
    <n v="14"/>
    <x v="0"/>
    <x v="1"/>
    <x v="4"/>
    <x v="34"/>
    <s v="Corporate"/>
    <x v="2"/>
    <x v="3"/>
    <x v="1"/>
    <s v="Low"/>
    <x v="384"/>
    <n v="320.12"/>
    <n v="594.41999999999996"/>
    <n v="594.41999999999996"/>
    <n v="0.104"/>
    <n v="0.104"/>
    <x v="0"/>
    <n v="18"/>
    <n v="9586.8057599999993"/>
    <n v="5762.16"/>
    <n v="3824.6457599999994"/>
    <n v="0.39894891538931104"/>
    <n v="0.104"/>
    <n v="532.60032000000001"/>
    <n v="320.12"/>
    <n v="21.06"/>
    <n v="11216.562739199999"/>
    <n v="6741.7271999999994"/>
    <n v="4474.8355391999994"/>
    <n v="0.39894891538931104"/>
    <n v="1629.7569791999995"/>
    <n v="3824.6457599999994"/>
    <n v="0"/>
  </r>
  <r>
    <x v="386"/>
    <x v="321"/>
    <d v="2024-05-12T00:00:00"/>
    <s v="Q2-2024"/>
    <d v="2024-05-12T00:00:00"/>
    <n v="5"/>
    <x v="1"/>
    <x v="0"/>
    <x v="1"/>
    <x v="7"/>
    <s v="Non-Profit"/>
    <x v="3"/>
    <x v="4"/>
    <x v="4"/>
    <s v="Medium"/>
    <x v="385"/>
    <n v="1163.99"/>
    <n v="1617.85"/>
    <n v="1617.85"/>
    <n v="0.127"/>
    <n v="0.127"/>
    <x v="0"/>
    <n v="14"/>
    <n v="19773.362699999998"/>
    <n v="16295.86"/>
    <n v="3477.5026999999973"/>
    <n v="0.17586804797749436"/>
    <n v="0.127"/>
    <n v="1412.3830499999999"/>
    <n v="1163.99"/>
    <n v="16.38"/>
    <n v="23134.834358999997"/>
    <n v="19066.156199999998"/>
    <n v="4068.6781589999991"/>
    <n v="0.17586804797749447"/>
    <n v="3361.4716589999989"/>
    <n v="3477.5026999999973"/>
    <n v="0"/>
  </r>
  <r>
    <x v="387"/>
    <x v="322"/>
    <d v="2023-10-03T00:00:00"/>
    <s v="Q3-2023"/>
    <d v="2023-10-03T00:00:00"/>
    <n v="3"/>
    <x v="1"/>
    <x v="1"/>
    <x v="9"/>
    <x v="38"/>
    <s v="Non-Profit"/>
    <x v="0"/>
    <x v="1"/>
    <x v="4"/>
    <s v="Low"/>
    <x v="386"/>
    <n v="1019.36"/>
    <n v="972.91"/>
    <n v="972.91"/>
    <n v="0.14699999999999999"/>
    <n v="0.14699999999999999"/>
    <x v="0"/>
    <n v="17"/>
    <n v="14108.16791"/>
    <n v="17329.12"/>
    <n v="-3220.9520899999989"/>
    <n v="-0.22830406545678819"/>
    <n v="0.14699999999999999"/>
    <n v="829.89222999999993"/>
    <n v="1019.36"/>
    <n v="19.89"/>
    <n v="16506.556454699999"/>
    <n v="20275.070400000001"/>
    <n v="-3768.5139453000011"/>
    <n v="-0.22830406545678836"/>
    <n v="2398.3885446999993"/>
    <n v="-3220.9520899999989"/>
    <n v="0"/>
  </r>
  <r>
    <x v="388"/>
    <x v="323"/>
    <d v="2023-11-05T00:00:00"/>
    <s v="Q4-2023"/>
    <d v="2023-11-05T00:00:00"/>
    <n v="10"/>
    <x v="0"/>
    <x v="0"/>
    <x v="11"/>
    <x v="33"/>
    <s v="Non-Profit"/>
    <x v="1"/>
    <x v="2"/>
    <x v="4"/>
    <s v="Low"/>
    <x v="387"/>
    <n v="20.38"/>
    <n v="42.56"/>
    <n v="42.56"/>
    <n v="7.1999999999999995E-2"/>
    <n v="7.1999999999999995E-2"/>
    <x v="0"/>
    <n v="11"/>
    <n v="434.45248000000004"/>
    <n v="224.17999999999998"/>
    <n v="210.27248000000006"/>
    <n v="0.48399419885921713"/>
    <n v="7.1999999999999995E-2"/>
    <n v="39.495680000000007"/>
    <n v="20.38"/>
    <n v="12.87"/>
    <n v="508.30940160000006"/>
    <n v="262.29059999999998"/>
    <n v="246.01880160000007"/>
    <n v="0.48399419885921707"/>
    <n v="73.856921600000021"/>
    <n v="210.27248000000006"/>
    <n v="0"/>
  </r>
  <r>
    <x v="389"/>
    <x v="324"/>
    <d v="2025-06-30T00:00:00"/>
    <s v="Q2-2025"/>
    <d v="2025-06-30T00:00:00"/>
    <n v="15"/>
    <x v="0"/>
    <x v="0"/>
    <x v="11"/>
    <x v="20"/>
    <s v="Small Business"/>
    <x v="4"/>
    <x v="0"/>
    <x v="5"/>
    <s v="Medium"/>
    <x v="388"/>
    <n v="1487.59"/>
    <n v="1480.83"/>
    <n v="1480.83"/>
    <n v="8.9999999999999993E-3"/>
    <n v="8.9999999999999993E-3"/>
    <x v="0"/>
    <n v="11"/>
    <n v="16142.527829999999"/>
    <n v="16363.49"/>
    <n v="-220.9621700000007"/>
    <n v="-1.3688201273492908E-2"/>
    <n v="8.9999999999999993E-3"/>
    <n v="1467.50253"/>
    <n v="1487.59"/>
    <n v="12.87"/>
    <n v="18886.757561099999"/>
    <n v="19145.283299999999"/>
    <n v="-258.52573889999985"/>
    <n v="-1.3688201273492857E-2"/>
    <n v="2744.2297311000002"/>
    <n v="-220.9621700000007"/>
    <n v="5.0306980803327406E-17"/>
  </r>
  <r>
    <x v="390"/>
    <x v="325"/>
    <d v="2024-09-07T00:00:00"/>
    <s v="Q3-2024"/>
    <d v="2024-09-07T00:00:00"/>
    <n v="28"/>
    <x v="0"/>
    <x v="3"/>
    <x v="7"/>
    <x v="11"/>
    <s v="Non-Profit"/>
    <x v="4"/>
    <x v="9"/>
    <x v="1"/>
    <s v="Low"/>
    <x v="389"/>
    <n v="229.96"/>
    <n v="564.26"/>
    <n v="564.26"/>
    <n v="0.105"/>
    <n v="0.105"/>
    <x v="0"/>
    <n v="5"/>
    <n v="2525.0635000000002"/>
    <n v="1149.8"/>
    <n v="1375.2635000000002"/>
    <n v="0.54464511486542821"/>
    <n v="0.105"/>
    <n v="505.0127"/>
    <n v="229.96"/>
    <n v="5.85"/>
    <n v="2954.3242949999999"/>
    <n v="1345.2660000000001"/>
    <n v="1609.0582949999998"/>
    <n v="0.5446451148654281"/>
    <n v="429.26079499999969"/>
    <n v="1375.2635000000002"/>
    <n v="0"/>
  </r>
  <r>
    <x v="391"/>
    <x v="326"/>
    <d v="2023-10-26T00:00:00"/>
    <s v="Q4-2023"/>
    <d v="2023-10-26T00:00:00"/>
    <n v="17"/>
    <x v="0"/>
    <x v="1"/>
    <x v="9"/>
    <x v="23"/>
    <s v="Consumer"/>
    <x v="2"/>
    <x v="0"/>
    <x v="0"/>
    <s v="High"/>
    <x v="390"/>
    <n v="1132.03"/>
    <n v="2137.21"/>
    <n v="2137.21"/>
    <n v="0.35699999999999998"/>
    <n v="0.12"/>
    <x v="0"/>
    <n v="35"/>
    <n v="65826.067999999999"/>
    <n v="39621.049999999996"/>
    <n v="26205.018000000004"/>
    <n v="0.39809483987407546"/>
    <n v="0.35699999999999998"/>
    <n v="1374.22603"/>
    <n v="1132.03"/>
    <n v="40.949999999999996"/>
    <n v="56274.555928499998"/>
    <n v="46356.628499999992"/>
    <n v="9917.9274285000065"/>
    <n v="0.17624177152284051"/>
    <n v="-9551.5120715000012"/>
    <n v="26205.018000000004"/>
    <n v="-0.22185306835123494"/>
  </r>
  <r>
    <x v="392"/>
    <x v="306"/>
    <d v="2024-03-26T00:00:00"/>
    <s v="Q1-2024"/>
    <d v="2024-03-26T00:00:00"/>
    <n v="17"/>
    <x v="0"/>
    <x v="2"/>
    <x v="10"/>
    <x v="24"/>
    <s v="Education"/>
    <x v="4"/>
    <x v="2"/>
    <x v="3"/>
    <s v="High"/>
    <x v="391"/>
    <n v="1137.4100000000001"/>
    <n v="1680.93"/>
    <n v="1680.93"/>
    <n v="0.254"/>
    <n v="0.254"/>
    <x v="1"/>
    <n v="9"/>
    <n v="11285.764020000001"/>
    <n v="10236.69"/>
    <n v="1049.07402"/>
    <n v="9.2955516183121464E-2"/>
    <n v="0.17"/>
    <n v="1395.1719000000001"/>
    <n v="1137.4100000000001"/>
    <n v="10.53"/>
    <n v="14691.160107"/>
    <n v="11976.927299999999"/>
    <n v="2714.2328070000003"/>
    <n v="0.18475278924410679"/>
    <n v="3405.3960869999992"/>
    <n v="1049.07402"/>
    <n v="9.1797273060985327E-2"/>
  </r>
  <r>
    <x v="393"/>
    <x v="327"/>
    <d v="2023-06-20T00:00:00"/>
    <s v="Q2-2023"/>
    <d v="2023-06-20T00:00:00"/>
    <n v="22"/>
    <x v="0"/>
    <x v="3"/>
    <x v="8"/>
    <x v="21"/>
    <s v="Small Business"/>
    <x v="4"/>
    <x v="11"/>
    <x v="0"/>
    <s v="High"/>
    <x v="392"/>
    <n v="1295.3900000000001"/>
    <n v="2905.06"/>
    <n v="2905.06"/>
    <n v="0.14799999999999999"/>
    <n v="0.14799999999999999"/>
    <x v="0"/>
    <n v="8"/>
    <n v="19800.88896"/>
    <n v="10363.120000000001"/>
    <n v="9437.7689599999994"/>
    <n v="0.47663359857556614"/>
    <n v="0.14799999999999999"/>
    <n v="2475.11112"/>
    <n v="1295.3900000000001"/>
    <n v="9.36"/>
    <n v="23167.040083199998"/>
    <n v="12124.850399999999"/>
    <n v="11042.189683199998"/>
    <n v="0.47663359857556614"/>
    <n v="3366.1511231999975"/>
    <n v="9437.7689599999994"/>
    <n v="0"/>
  </r>
  <r>
    <x v="394"/>
    <x v="328"/>
    <d v="2025-06-08T00:00:00"/>
    <s v="Q2-2025"/>
    <d v="2025-06-08T00:00:00"/>
    <n v="12"/>
    <x v="0"/>
    <x v="1"/>
    <x v="2"/>
    <x v="4"/>
    <s v="Corporate"/>
    <x v="0"/>
    <x v="10"/>
    <x v="6"/>
    <s v="Medium"/>
    <x v="393"/>
    <n v="653.6"/>
    <n v="842.09"/>
    <n v="842.09"/>
    <n v="9.8000000000000004E-2"/>
    <n v="9.8000000000000004E-2"/>
    <x v="0"/>
    <n v="19"/>
    <n v="14431.738420000001"/>
    <n v="12418.4"/>
    <n v="2013.3384200000019"/>
    <n v="0.13950768517324622"/>
    <n v="9.8000000000000004E-2"/>
    <n v="759.56518000000005"/>
    <n v="653.6"/>
    <n v="22.229999999999997"/>
    <n v="16885.133951399999"/>
    <n v="14529.527999999998"/>
    <n v="2355.6059514000008"/>
    <n v="0.13950768517324613"/>
    <n v="2453.3955313999977"/>
    <n v="2013.3384200000019"/>
    <n v="0"/>
  </r>
  <r>
    <x v="395"/>
    <x v="164"/>
    <d v="2025-09-14T00:00:00"/>
    <s v="Q3-2025"/>
    <d v="2025-09-14T00:00:00"/>
    <n v="24"/>
    <x v="0"/>
    <x v="3"/>
    <x v="6"/>
    <x v="9"/>
    <s v="Non-Profit"/>
    <x v="1"/>
    <x v="8"/>
    <x v="5"/>
    <s v="High"/>
    <x v="394"/>
    <n v="1397.67"/>
    <n v="3131.37"/>
    <n v="3131.37"/>
    <n v="0.10299999999999999"/>
    <n v="0.10299999999999999"/>
    <x v="0"/>
    <n v="20"/>
    <n v="56176.777799999996"/>
    <n v="27953.4"/>
    <n v="28223.377799999995"/>
    <n v="0.50240293062874808"/>
    <n v="0.10299999999999999"/>
    <n v="2808.83889"/>
    <n v="1397.67"/>
    <n v="23.4"/>
    <n v="65726.830025999996"/>
    <n v="32705.477999999999"/>
    <n v="33021.352025999993"/>
    <n v="0.50240293062874808"/>
    <n v="9550.0522259999998"/>
    <n v="28223.377799999995"/>
    <n v="0"/>
  </r>
  <r>
    <x v="396"/>
    <x v="329"/>
    <d v="2024-12-20T00:00:00"/>
    <s v="Q4-2024"/>
    <d v="2024-12-20T00:00:00"/>
    <n v="8"/>
    <x v="0"/>
    <x v="1"/>
    <x v="2"/>
    <x v="27"/>
    <s v="Corporate"/>
    <x v="0"/>
    <x v="5"/>
    <x v="4"/>
    <s v="Medium"/>
    <x v="395"/>
    <n v="1202.47"/>
    <n v="1444.72"/>
    <n v="1444.72"/>
    <n v="0.24099999999999999"/>
    <n v="0.24099999999999999"/>
    <x v="1"/>
    <n v="17"/>
    <n v="18641.222160000001"/>
    <n v="20441.990000000002"/>
    <n v="-1800.7678400000004"/>
    <n v="-9.6601382921343834E-2"/>
    <n v="0.17"/>
    <n v="1199.1176"/>
    <n v="1202.47"/>
    <n v="19.89"/>
    <n v="23850.449064"/>
    <n v="23917.1283"/>
    <n v="-66.679235999999946"/>
    <n v="-2.7957224545782644E-3"/>
    <n v="5209.2269039999992"/>
    <n v="-1800.7678400000004"/>
    <n v="9.380566046676557E-2"/>
  </r>
  <r>
    <x v="397"/>
    <x v="283"/>
    <d v="2025-09-23T00:00:00"/>
    <s v="Q3-2025"/>
    <d v="2025-09-23T00:00:00"/>
    <n v="9"/>
    <x v="0"/>
    <x v="0"/>
    <x v="11"/>
    <x v="25"/>
    <s v="Non-Profit"/>
    <x v="1"/>
    <x v="14"/>
    <x v="0"/>
    <s v="High"/>
    <x v="396"/>
    <n v="1310.3"/>
    <n v="2875.8"/>
    <n v="2875.8"/>
    <n v="8.3000000000000004E-2"/>
    <n v="8.3000000000000004E-2"/>
    <x v="0"/>
    <n v="5"/>
    <n v="13185.543"/>
    <n v="6551.5"/>
    <n v="6634.0429999999997"/>
    <n v="0.50313005691157353"/>
    <n v="8.3000000000000004E-2"/>
    <n v="2637.1086000000005"/>
    <n v="1310.3"/>
    <n v="5.85"/>
    <n v="15427.085310000002"/>
    <n v="7665.2549999999992"/>
    <n v="7761.830310000003"/>
    <n v="0.50313005691157364"/>
    <n v="2241.5423100000025"/>
    <n v="6634.0429999999997"/>
    <n v="0"/>
  </r>
  <r>
    <x v="398"/>
    <x v="330"/>
    <d v="2024-10-04T00:00:00"/>
    <s v="Q3-2024"/>
    <d v="2024-10-04T00:00:00"/>
    <n v="28"/>
    <x v="0"/>
    <x v="0"/>
    <x v="11"/>
    <x v="33"/>
    <s v="Corporate"/>
    <x v="2"/>
    <x v="14"/>
    <x v="5"/>
    <s v="High"/>
    <x v="397"/>
    <n v="1174.17"/>
    <n v="1641.61"/>
    <n v="1641.61"/>
    <n v="0.122"/>
    <n v="0.122"/>
    <x v="0"/>
    <n v="9"/>
    <n v="12972.00222"/>
    <n v="10567.53"/>
    <n v="2404.4722199999997"/>
    <n v="0.18535860380079394"/>
    <n v="0.122"/>
    <n v="1441.33358"/>
    <n v="1174.17"/>
    <n v="10.53"/>
    <n v="15177.2425974"/>
    <n v="12364.0101"/>
    <n v="2813.2324974000003"/>
    <n v="0.185358603800794"/>
    <n v="2205.2403773999995"/>
    <n v="2404.4722199999997"/>
    <n v="0"/>
  </r>
  <r>
    <x v="399"/>
    <x v="331"/>
    <d v="2025-04-30T00:00:00"/>
    <s v="Q2-2025"/>
    <d v="2025-04-30T00:00:00"/>
    <n v="18"/>
    <x v="0"/>
    <x v="0"/>
    <x v="0"/>
    <x v="0"/>
    <s v="Corporate"/>
    <x v="2"/>
    <x v="9"/>
    <x v="2"/>
    <s v="Medium"/>
    <x v="398"/>
    <n v="1119.04"/>
    <n v="1299.02"/>
    <n v="1299.02"/>
    <n v="2.5000000000000001E-2"/>
    <n v="2.5000000000000001E-2"/>
    <x v="0"/>
    <n v="14"/>
    <n v="17731.623"/>
    <n v="15666.56"/>
    <n v="2065.0630000000001"/>
    <n v="0.11646215352085933"/>
    <n v="2.5000000000000001E-2"/>
    <n v="1266.5445"/>
    <n v="1119.04"/>
    <n v="16.38"/>
    <n v="20745.998909999998"/>
    <n v="18329.875199999999"/>
    <n v="2416.1237099999998"/>
    <n v="0.11646215352085931"/>
    <n v="3014.3759099999988"/>
    <n v="2065.0630000000001"/>
    <n v="0"/>
  </r>
  <r>
    <x v="400"/>
    <x v="174"/>
    <d v="2024-08-15T00:00:00"/>
    <s v="Q3-2024"/>
    <d v="2024-08-15T00:00:00"/>
    <n v="3"/>
    <x v="1"/>
    <x v="2"/>
    <x v="10"/>
    <x v="15"/>
    <s v="Corporate"/>
    <x v="2"/>
    <x v="14"/>
    <x v="1"/>
    <s v="Medium"/>
    <x v="399"/>
    <n v="850.7"/>
    <n v="1118.56"/>
    <n v="1118.56"/>
    <n v="0.18"/>
    <n v="0.18"/>
    <x v="0"/>
    <n v="19"/>
    <n v="17427.164800000002"/>
    <n v="16163.300000000001"/>
    <n v="1263.8648000000012"/>
    <n v="7.2522685962090688E-2"/>
    <n v="0.17"/>
    <n v="928.40479999999991"/>
    <n v="850.7"/>
    <n v="22.229999999999997"/>
    <n v="20638.438703999997"/>
    <n v="18911.060999999998"/>
    <n v="1727.3777039999986"/>
    <n v="8.3697111432426835E-2"/>
    <n v="3211.2739039999942"/>
    <n v="1263.8648000000012"/>
    <n v="1.1174425470336147E-2"/>
  </r>
  <r>
    <x v="401"/>
    <x v="332"/>
    <d v="2024-11-08T00:00:00"/>
    <s v="Q4-2024"/>
    <d v="2024-11-08T00:00:00"/>
    <n v="3"/>
    <x v="1"/>
    <x v="2"/>
    <x v="3"/>
    <x v="5"/>
    <s v="Education"/>
    <x v="2"/>
    <x v="7"/>
    <x v="0"/>
    <s v="Medium"/>
    <x v="400"/>
    <n v="1020.4"/>
    <n v="1184.71"/>
    <n v="1184.71"/>
    <n v="0.106"/>
    <n v="0.106"/>
    <x v="0"/>
    <n v="16"/>
    <n v="16946.091840000001"/>
    <n v="16326.4"/>
    <n v="619.69184000000132"/>
    <n v="3.6568422138328345E-2"/>
    <n v="0.106"/>
    <n v="1059.1307400000001"/>
    <n v="1020.4"/>
    <n v="18.72"/>
    <n v="19826.927452799999"/>
    <n v="19101.887999999999"/>
    <n v="725.03945279999971"/>
    <n v="3.6568422138328255E-2"/>
    <n v="2880.8356127999978"/>
    <n v="619.69184000000132"/>
    <n v="-9.0205620750793969E-17"/>
  </r>
  <r>
    <x v="402"/>
    <x v="333"/>
    <d v="2024-08-08T00:00:00"/>
    <s v="Q3-2024"/>
    <d v="2024-08-08T00:00:00"/>
    <n v="15"/>
    <x v="0"/>
    <x v="3"/>
    <x v="7"/>
    <x v="11"/>
    <s v="Enterprise"/>
    <x v="2"/>
    <x v="10"/>
    <x v="4"/>
    <s v="Medium"/>
    <x v="401"/>
    <n v="501.5"/>
    <n v="1201.47"/>
    <n v="1201.47"/>
    <n v="0.126"/>
    <n v="0.126"/>
    <x v="0"/>
    <n v="5"/>
    <n v="5250.4239000000007"/>
    <n v="2507.5"/>
    <n v="2742.9239000000007"/>
    <n v="0.52241951359394057"/>
    <n v="0.126"/>
    <n v="1050.0847799999999"/>
    <n v="501.5"/>
    <n v="5.85"/>
    <n v="6142.9959629999994"/>
    <n v="2933.7749999999996"/>
    <n v="3209.2209629999998"/>
    <n v="0.52241951359394045"/>
    <n v="892.57206299999871"/>
    <n v="2742.9239000000007"/>
    <n v="0"/>
  </r>
  <r>
    <x v="403"/>
    <x v="334"/>
    <d v="2025-02-03T00:00:00"/>
    <s v="Q1-2025"/>
    <d v="2025-02-03T00:00:00"/>
    <n v="14"/>
    <x v="0"/>
    <x v="2"/>
    <x v="5"/>
    <x v="10"/>
    <s v="Enterprise"/>
    <x v="2"/>
    <x v="9"/>
    <x v="0"/>
    <s v="Medium"/>
    <x v="402"/>
    <n v="974.11"/>
    <n v="880.99"/>
    <n v="880.99"/>
    <n v="0.111"/>
    <n v="0.111"/>
    <x v="0"/>
    <n v="10"/>
    <n v="7832.0010999999995"/>
    <n v="9741.1"/>
    <n v="-1909.0989000000009"/>
    <n v="-0.2437562093805121"/>
    <n v="0.111"/>
    <n v="783.20011"/>
    <n v="974.11"/>
    <n v="11.7"/>
    <n v="9163.4412869999996"/>
    <n v="11397.087"/>
    <n v="-2233.6457129999999"/>
    <n v="-0.24375620938051196"/>
    <n v="1331.4401870000002"/>
    <n v="-1909.0989000000009"/>
    <n v="0"/>
  </r>
  <r>
    <x v="404"/>
    <x v="335"/>
    <d v="2023-04-04T00:00:00"/>
    <s v="Q1-2023"/>
    <d v="2023-04-04T00:00:00"/>
    <n v="29"/>
    <x v="0"/>
    <x v="1"/>
    <x v="9"/>
    <x v="38"/>
    <s v="Small Business"/>
    <x v="4"/>
    <x v="0"/>
    <x v="5"/>
    <s v="High"/>
    <x v="403"/>
    <n v="1126.29"/>
    <n v="2050.87"/>
    <n v="2050.87"/>
    <n v="6.4000000000000001E-2"/>
    <n v="6.4000000000000001E-2"/>
    <x v="0"/>
    <n v="7"/>
    <n v="13437.300239999999"/>
    <n v="7884.03"/>
    <n v="5553.2702399999989"/>
    <n v="0.41327276616690373"/>
    <n v="6.4000000000000001E-2"/>
    <n v="1919.6143199999997"/>
    <n v="1126.29"/>
    <n v="8.19"/>
    <n v="15721.641280799997"/>
    <n v="9224.3150999999998"/>
    <n v="6497.326180799997"/>
    <n v="0.41327276616690367"/>
    <n v="2284.3410407999982"/>
    <n v="5553.2702399999989"/>
    <n v="0"/>
  </r>
  <r>
    <x v="405"/>
    <x v="336"/>
    <d v="2025-01-14T00:00:00"/>
    <s v="Q4-2024"/>
    <d v="2025-01-14T00:00:00"/>
    <n v="25"/>
    <x v="0"/>
    <x v="1"/>
    <x v="4"/>
    <x v="18"/>
    <s v="Small Business"/>
    <x v="0"/>
    <x v="12"/>
    <x v="1"/>
    <s v="High"/>
    <x v="404"/>
    <n v="1361.34"/>
    <n v="1737.9"/>
    <n v="1737.9"/>
    <n v="7.6999999999999999E-2"/>
    <n v="7.6999999999999999E-2"/>
    <x v="0"/>
    <n v="14"/>
    <n v="22457.143800000002"/>
    <n v="19058.759999999998"/>
    <n v="3398.3838000000032"/>
    <n v="0.15132751654731813"/>
    <n v="7.6999999999999999E-2"/>
    <n v="1604.0817000000002"/>
    <n v="1361.34"/>
    <n v="16.38"/>
    <n v="26274.858246"/>
    <n v="22298.749199999998"/>
    <n v="3976.1090460000014"/>
    <n v="0.15132751654731808"/>
    <n v="3817.7144459999981"/>
    <n v="3398.3838000000032"/>
    <n v="0"/>
  </r>
  <r>
    <x v="406"/>
    <x v="337"/>
    <d v="2025-03-21T00:00:00"/>
    <s v="Q1-2025"/>
    <d v="2025-03-21T00:00:00"/>
    <n v="28"/>
    <x v="0"/>
    <x v="0"/>
    <x v="1"/>
    <x v="7"/>
    <s v="Enterprise"/>
    <x v="2"/>
    <x v="2"/>
    <x v="3"/>
    <s v="Medium"/>
    <x v="405"/>
    <n v="1437.39"/>
    <n v="1388.31"/>
    <n v="1388.31"/>
    <n v="0.13800000000000001"/>
    <n v="0.13800000000000001"/>
    <x v="0"/>
    <n v="18"/>
    <n v="21541.017959999997"/>
    <n v="25873.02"/>
    <n v="-4332.002040000003"/>
    <n v="-0.20110479681341872"/>
    <n v="0.13800000000000001"/>
    <n v="1196.7232199999999"/>
    <n v="1437.39"/>
    <n v="21.06"/>
    <n v="25202.991013199997"/>
    <n v="30271.433400000002"/>
    <n v="-5068.4423868000049"/>
    <n v="-0.20110479681341878"/>
    <n v="3661.9730531999994"/>
    <n v="-4332.002040000003"/>
    <n v="0"/>
  </r>
  <r>
    <x v="407"/>
    <x v="338"/>
    <d v="2025-03-15T00:00:00"/>
    <s v="Q1-2025"/>
    <d v="2025-03-15T00:00:00"/>
    <n v="7"/>
    <x v="1"/>
    <x v="1"/>
    <x v="4"/>
    <x v="6"/>
    <s v="Corporate"/>
    <x v="3"/>
    <x v="11"/>
    <x v="4"/>
    <s v="Low"/>
    <x v="406"/>
    <n v="475.66"/>
    <n v="529.14"/>
    <n v="529.14"/>
    <n v="0.19600000000000001"/>
    <n v="0.19600000000000001"/>
    <x v="0"/>
    <n v="11"/>
    <n v="4679.7141600000004"/>
    <n v="5232.26"/>
    <n v="-552.54583999999977"/>
    <n v="-0.11807256193613323"/>
    <n v="0.17"/>
    <n v="439.18619999999999"/>
    <n v="475.66"/>
    <n v="12.87"/>
    <n v="5652.3263939999997"/>
    <n v="6121.7442000000001"/>
    <n v="-469.41780600000038"/>
    <n v="-8.3048602164640037E-2"/>
    <n v="972.61223399999926"/>
    <n v="-552.54583999999977"/>
    <n v="3.5023959771493196E-2"/>
  </r>
  <r>
    <x v="408"/>
    <x v="339"/>
    <d v="2023-12-19T00:00:00"/>
    <s v="Q4-2023"/>
    <d v="2023-12-19T00:00:00"/>
    <n v="3"/>
    <x v="1"/>
    <x v="1"/>
    <x v="9"/>
    <x v="38"/>
    <s v="Education"/>
    <x v="0"/>
    <x v="8"/>
    <x v="6"/>
    <s v="High"/>
    <x v="407"/>
    <n v="1415.05"/>
    <n v="1972.38"/>
    <n v="1972.38"/>
    <n v="0"/>
    <n v="0"/>
    <x v="0"/>
    <n v="12"/>
    <n v="23668.560000000001"/>
    <n v="16980.599999999999"/>
    <n v="6687.9600000000028"/>
    <n v="0.28256725377462771"/>
    <n v="0"/>
    <n v="1972.38"/>
    <n v="1415.05"/>
    <n v="14.04"/>
    <n v="27692.215199999999"/>
    <n v="19867.302"/>
    <n v="7824.9131999999991"/>
    <n v="0.2825672537746276"/>
    <n v="4023.6551999999974"/>
    <n v="6687.9600000000028"/>
    <n v="0"/>
  </r>
  <r>
    <x v="409"/>
    <x v="340"/>
    <d v="2024-09-05T00:00:00"/>
    <s v="Q3-2024"/>
    <d v="2024-09-05T00:00:00"/>
    <n v="6"/>
    <x v="1"/>
    <x v="1"/>
    <x v="2"/>
    <x v="32"/>
    <s v="Education"/>
    <x v="1"/>
    <x v="13"/>
    <x v="4"/>
    <s v="Low"/>
    <x v="408"/>
    <n v="466.16"/>
    <n v="876.81"/>
    <n v="876.81"/>
    <n v="0.24099999999999999"/>
    <n v="0.24099999999999999"/>
    <x v="1"/>
    <n v="8"/>
    <n v="5323.9903199999999"/>
    <n v="3729.28"/>
    <n v="1594.7103199999997"/>
    <n v="0.29953291124691594"/>
    <n v="0.17"/>
    <n v="727.75229999999988"/>
    <n v="466.16"/>
    <n v="9.36"/>
    <n v="6811.7615279999982"/>
    <n v="4363.2575999999999"/>
    <n v="2448.5039279999983"/>
    <n v="0.35945238510410737"/>
    <n v="1487.7712079999983"/>
    <n v="1594.7103199999997"/>
    <n v="5.991947385719143E-2"/>
  </r>
  <r>
    <x v="410"/>
    <x v="22"/>
    <d v="2024-05-21T00:00:00"/>
    <s v="Q2-2024"/>
    <d v="2024-05-21T00:00:00"/>
    <n v="3"/>
    <x v="1"/>
    <x v="3"/>
    <x v="7"/>
    <x v="11"/>
    <s v="Non-Profit"/>
    <x v="2"/>
    <x v="14"/>
    <x v="1"/>
    <s v="Low"/>
    <x v="409"/>
    <n v="663.66"/>
    <n v="824.26"/>
    <n v="824.26"/>
    <n v="0.23899999999999999"/>
    <n v="0.23899999999999999"/>
    <x v="1"/>
    <n v="11"/>
    <n v="6899.8804600000003"/>
    <n v="7300.2599999999993"/>
    <n v="-400.379539999999"/>
    <n v="-5.8027025587048933E-2"/>
    <n v="0.17"/>
    <n v="684.1357999999999"/>
    <n v="663.66"/>
    <n v="12.87"/>
    <n v="8804.827745999999"/>
    <n v="8541.3041999999987"/>
    <n v="263.52354600000035"/>
    <n v="2.9929437985850221E-2"/>
    <n v="1904.9472859999987"/>
    <n v="-400.379539999999"/>
    <n v="8.7956463572899157E-2"/>
  </r>
  <r>
    <x v="411"/>
    <x v="341"/>
    <d v="2023-04-06T00:00:00"/>
    <s v="Q1-2023"/>
    <d v="2023-04-06T00:00:00"/>
    <n v="20"/>
    <x v="0"/>
    <x v="3"/>
    <x v="6"/>
    <x v="22"/>
    <s v="Consumer"/>
    <x v="0"/>
    <x v="7"/>
    <x v="3"/>
    <s v="Medium"/>
    <x v="410"/>
    <n v="692.18"/>
    <n v="1159.3499999999999"/>
    <n v="1159.3499999999999"/>
    <n v="0.112"/>
    <n v="0.112"/>
    <x v="0"/>
    <n v="2"/>
    <n v="2059.0056"/>
    <n v="1384.36"/>
    <n v="674.64560000000006"/>
    <n v="0.32765602968734037"/>
    <n v="0.112"/>
    <n v="1029.5028"/>
    <n v="692.18"/>
    <n v="2.34"/>
    <n v="2409.036552"/>
    <n v="1619.7011999999997"/>
    <n v="789.33535200000028"/>
    <n v="0.32765602968734042"/>
    <n v="350.03095200000007"/>
    <n v="674.64560000000006"/>
    <n v="0"/>
  </r>
  <r>
    <x v="412"/>
    <x v="342"/>
    <d v="2023-09-16T00:00:00"/>
    <s v="Q3-2023"/>
    <d v="2023-09-16T00:00:00"/>
    <n v="22"/>
    <x v="0"/>
    <x v="0"/>
    <x v="1"/>
    <x v="7"/>
    <s v="Corporate"/>
    <x v="2"/>
    <x v="4"/>
    <x v="3"/>
    <s v="High"/>
    <x v="411"/>
    <n v="1196.83"/>
    <n v="2513.5100000000002"/>
    <n v="2513.5100000000002"/>
    <n v="8.3000000000000004E-2"/>
    <n v="8.3000000000000004E-2"/>
    <x v="0"/>
    <n v="7"/>
    <n v="16134.22069"/>
    <n v="8377.81"/>
    <n v="7756.4106900000006"/>
    <n v="0.48074281609445374"/>
    <n v="8.3000000000000004E-2"/>
    <n v="2304.8886700000003"/>
    <n v="1196.83"/>
    <n v="8.19"/>
    <n v="18877.0382073"/>
    <n v="9802.0376999999989"/>
    <n v="9075.0005073000011"/>
    <n v="0.48074281609445374"/>
    <n v="2742.8175173"/>
    <n v="7756.4106900000006"/>
    <n v="0"/>
  </r>
  <r>
    <x v="413"/>
    <x v="343"/>
    <d v="2024-06-24T00:00:00"/>
    <s v="Q2-2024"/>
    <d v="2024-06-24T00:00:00"/>
    <n v="18"/>
    <x v="0"/>
    <x v="1"/>
    <x v="4"/>
    <x v="6"/>
    <s v="Small Business"/>
    <x v="4"/>
    <x v="10"/>
    <x v="2"/>
    <s v="High"/>
    <x v="412"/>
    <n v="1253.25"/>
    <n v="3087.13"/>
    <n v="3087.13"/>
    <n v="7.1999999999999995E-2"/>
    <n v="7.1999999999999995E-2"/>
    <x v="0"/>
    <n v="11"/>
    <n v="31513.423040000001"/>
    <n v="13785.75"/>
    <n v="17727.673040000001"/>
    <n v="0.562543555408064"/>
    <n v="7.1999999999999995E-2"/>
    <n v="2864.8566400000004"/>
    <n v="1253.25"/>
    <n v="12.87"/>
    <n v="36870.7049568"/>
    <n v="16129.327499999999"/>
    <n v="20741.377456800001"/>
    <n v="0.562543555408064"/>
    <n v="5357.2819167999987"/>
    <n v="17727.673040000001"/>
    <n v="0"/>
  </r>
  <r>
    <x v="414"/>
    <x v="344"/>
    <d v="2023-09-13T00:00:00"/>
    <s v="Q3-2023"/>
    <d v="2023-09-13T00:00:00"/>
    <n v="15"/>
    <x v="0"/>
    <x v="2"/>
    <x v="3"/>
    <x v="26"/>
    <s v="Small Business"/>
    <x v="2"/>
    <x v="7"/>
    <x v="1"/>
    <s v="High"/>
    <x v="413"/>
    <n v="1287.6400000000001"/>
    <n v="2717.15"/>
    <n v="2717.15"/>
    <n v="3.2000000000000001E-2"/>
    <n v="3.2000000000000001E-2"/>
    <x v="0"/>
    <n v="7"/>
    <n v="18411.4084"/>
    <n v="9013.4800000000014"/>
    <n v="9397.9283999999989"/>
    <n v="0.51044049405802105"/>
    <n v="3.2000000000000001E-2"/>
    <n v="2630.2012"/>
    <n v="1287.6400000000001"/>
    <n v="8.19"/>
    <n v="21541.347827999998"/>
    <n v="10545.7716"/>
    <n v="10995.576227999998"/>
    <n v="0.51044049405802105"/>
    <n v="3129.9394279999979"/>
    <n v="9397.9283999999989"/>
    <n v="0"/>
  </r>
  <r>
    <x v="415"/>
    <x v="25"/>
    <d v="2024-12-10T00:00:00"/>
    <s v="Q4-2024"/>
    <d v="2024-12-10T00:00:00"/>
    <n v="10"/>
    <x v="0"/>
    <x v="1"/>
    <x v="4"/>
    <x v="34"/>
    <s v="Small Business"/>
    <x v="0"/>
    <x v="9"/>
    <x v="6"/>
    <s v="Medium"/>
    <x v="414"/>
    <n v="851.49"/>
    <n v="901.79"/>
    <n v="901.79"/>
    <n v="0.245"/>
    <n v="0.245"/>
    <x v="1"/>
    <n v="16"/>
    <n v="10893.6232"/>
    <n v="13623.84"/>
    <n v="-2730.2168000000001"/>
    <n v="-0.25062522816100341"/>
    <n v="0.17"/>
    <n v="748.48569999999995"/>
    <n v="851.49"/>
    <n v="18.72"/>
    <n v="14011.652303999997"/>
    <n v="15939.8928"/>
    <n v="-1928.2404960000022"/>
    <n v="-0.13761692441151532"/>
    <n v="3118.0291039999975"/>
    <n v="-2730.2168000000001"/>
    <n v="0.11300830374948809"/>
  </r>
  <r>
    <x v="416"/>
    <x v="345"/>
    <d v="2025-06-14T00:00:00"/>
    <s v="Q2-2025"/>
    <d v="2025-06-14T00:00:00"/>
    <n v="9"/>
    <x v="0"/>
    <x v="1"/>
    <x v="4"/>
    <x v="18"/>
    <s v="Non-Profit"/>
    <x v="0"/>
    <x v="8"/>
    <x v="6"/>
    <s v="Medium"/>
    <x v="415"/>
    <n v="618.69000000000005"/>
    <n v="796.15"/>
    <n v="796.15"/>
    <n v="0.09"/>
    <n v="0.09"/>
    <x v="0"/>
    <n v="11"/>
    <n v="7969.4615000000003"/>
    <n v="6805.59"/>
    <n v="1163.8715000000002"/>
    <n v="0.14604142325049191"/>
    <n v="0.09"/>
    <n v="724.49649999999997"/>
    <n v="618.69000000000005"/>
    <n v="12.87"/>
    <n v="9324.2699549999998"/>
    <n v="7962.5403000000006"/>
    <n v="1361.7296549999992"/>
    <n v="0.1460414232504918"/>
    <n v="1354.8084549999994"/>
    <n v="1163.8715000000002"/>
    <n v="0"/>
  </r>
  <r>
    <x v="417"/>
    <x v="251"/>
    <d v="2025-04-08T00:00:00"/>
    <s v="Q1-2025"/>
    <d v="2025-04-08T00:00:00"/>
    <n v="25"/>
    <x v="0"/>
    <x v="1"/>
    <x v="9"/>
    <x v="35"/>
    <s v="Corporate"/>
    <x v="3"/>
    <x v="14"/>
    <x v="1"/>
    <s v="Low"/>
    <x v="416"/>
    <n v="80.59"/>
    <n v="157.82"/>
    <n v="157.82"/>
    <n v="0.217"/>
    <n v="0.217"/>
    <x v="1"/>
    <n v="6"/>
    <n v="741.43835999999999"/>
    <n v="483.54"/>
    <n v="257.89835999999997"/>
    <n v="0.34783519967863541"/>
    <n v="0.17"/>
    <n v="130.9906"/>
    <n v="80.59"/>
    <n v="7.02"/>
    <n v="919.55401199999994"/>
    <n v="565.74180000000001"/>
    <n v="353.81221199999993"/>
    <n v="0.38476501367273674"/>
    <n v="178.11565199999995"/>
    <n v="257.89835999999997"/>
    <n v="3.6929813994101335E-2"/>
  </r>
  <r>
    <x v="418"/>
    <x v="346"/>
    <d v="2024-02-11T00:00:00"/>
    <s v="Q1-2024"/>
    <d v="2024-02-11T00:00:00"/>
    <n v="26"/>
    <x v="0"/>
    <x v="3"/>
    <x v="6"/>
    <x v="37"/>
    <s v="Non-Profit"/>
    <x v="3"/>
    <x v="6"/>
    <x v="5"/>
    <s v="Medium"/>
    <x v="417"/>
    <n v="504.93"/>
    <n v="819.06"/>
    <n v="819.06"/>
    <n v="0.22600000000000001"/>
    <n v="0.22600000000000001"/>
    <x v="1"/>
    <n v="15"/>
    <n v="9509.2865999999995"/>
    <n v="7573.95"/>
    <n v="1935.3365999999996"/>
    <n v="0.20352069312959814"/>
    <n v="0.17"/>
    <n v="679.81979999999987"/>
    <n v="504.93"/>
    <n v="17.549999999999997"/>
    <n v="11930.837489999996"/>
    <n v="8861.5214999999989"/>
    <n v="3069.3159899999973"/>
    <n v="0.25725905600278176"/>
    <n v="2421.5508899999968"/>
    <n v="1935.3365999999996"/>
    <n v="5.373836287318362E-2"/>
  </r>
  <r>
    <x v="419"/>
    <x v="347"/>
    <d v="2023-10-29T00:00:00"/>
    <s v="Q4-2023"/>
    <d v="2023-10-29T00:00:00"/>
    <n v="17"/>
    <x v="0"/>
    <x v="1"/>
    <x v="2"/>
    <x v="32"/>
    <s v="Non-Profit"/>
    <x v="4"/>
    <x v="10"/>
    <x v="3"/>
    <s v="High"/>
    <x v="418"/>
    <n v="1102.19"/>
    <n v="1711.16"/>
    <n v="1711.16"/>
    <n v="0.151"/>
    <n v="0.151"/>
    <x v="0"/>
    <n v="10"/>
    <n v="14527.748400000002"/>
    <n v="11021.900000000001"/>
    <n v="3505.8484000000008"/>
    <n v="0.24132083675127525"/>
    <n v="0.151"/>
    <n v="1452.77484"/>
    <n v="1102.19"/>
    <n v="11.7"/>
    <n v="16997.465627999998"/>
    <n v="12895.623"/>
    <n v="4101.8426279999985"/>
    <n v="0.24132083675127516"/>
    <n v="2469.7172279999959"/>
    <n v="3505.8484000000008"/>
    <n v="0"/>
  </r>
  <r>
    <x v="420"/>
    <x v="348"/>
    <d v="2025-03-17T00:00:00"/>
    <s v="Q1-2025"/>
    <d v="2025-03-17T00:00:00"/>
    <n v="20"/>
    <x v="0"/>
    <x v="2"/>
    <x v="10"/>
    <x v="24"/>
    <s v="Non-Profit"/>
    <x v="2"/>
    <x v="10"/>
    <x v="3"/>
    <s v="High"/>
    <x v="419"/>
    <n v="1205.26"/>
    <n v="1696.35"/>
    <n v="1696.35"/>
    <n v="1.9E-2"/>
    <n v="1.9E-2"/>
    <x v="0"/>
    <n v="6"/>
    <n v="9984.7160999999978"/>
    <n v="7231.5599999999995"/>
    <n v="2753.1560999999983"/>
    <n v="0.27573704374028213"/>
    <n v="1.9E-2"/>
    <n v="1664.1193499999999"/>
    <n v="1205.26"/>
    <n v="7.02"/>
    <n v="11682.117836999998"/>
    <n v="8460.9251999999997"/>
    <n v="3221.1926369999983"/>
    <n v="0.27573704374028213"/>
    <n v="1697.4017370000001"/>
    <n v="2753.1560999999983"/>
    <n v="0"/>
  </r>
  <r>
    <x v="421"/>
    <x v="349"/>
    <d v="2025-07-06T00:00:00"/>
    <s v="Q3-2025"/>
    <d v="2025-07-06T00:00:00"/>
    <n v="3"/>
    <x v="1"/>
    <x v="0"/>
    <x v="1"/>
    <x v="3"/>
    <s v="Consumer"/>
    <x v="1"/>
    <x v="15"/>
    <x v="4"/>
    <s v="High"/>
    <x v="420"/>
    <n v="1313.3"/>
    <n v="2884.34"/>
    <n v="2884.34"/>
    <n v="0.157"/>
    <n v="0.157"/>
    <x v="0"/>
    <n v="42"/>
    <n v="102122.94203999999"/>
    <n v="55158.6"/>
    <n v="46964.342039999996"/>
    <n v="0.45988042551305253"/>
    <n v="0.157"/>
    <n v="2431.4986199999998"/>
    <n v="1313.3"/>
    <n v="49.14"/>
    <n v="119483.8421868"/>
    <n v="64535.561999999998"/>
    <n v="54948.280186800002"/>
    <n v="0.45988042551305253"/>
    <n v="17360.900146800006"/>
    <n v="46964.342039999996"/>
    <n v="0"/>
  </r>
  <r>
    <x v="422"/>
    <x v="165"/>
    <d v="2025-09-25T00:00:00"/>
    <s v="Q3-2025"/>
    <d v="2025-09-25T00:00:00"/>
    <n v="10"/>
    <x v="0"/>
    <x v="1"/>
    <x v="4"/>
    <x v="18"/>
    <s v="Consumer"/>
    <x v="0"/>
    <x v="8"/>
    <x v="3"/>
    <s v="High"/>
    <x v="421"/>
    <n v="1488.91"/>
    <n v="1483.74"/>
    <n v="1483.74"/>
    <n v="0.16800000000000001"/>
    <n v="0.16800000000000001"/>
    <x v="0"/>
    <n v="24"/>
    <n v="29627.320319999999"/>
    <n v="35733.840000000004"/>
    <n v="-6106.5196800000049"/>
    <n v="-0.20611110333450519"/>
    <n v="0.16800000000000001"/>
    <n v="1234.4716799999999"/>
    <n v="1488.91"/>
    <n v="28.08"/>
    <n v="34663.964774399996"/>
    <n v="41808.592799999999"/>
    <n v="-7144.6280256000027"/>
    <n v="-0.20611110333450511"/>
    <n v="5036.6444543999969"/>
    <n v="-6106.5196800000049"/>
    <n v="0"/>
  </r>
  <r>
    <x v="423"/>
    <x v="350"/>
    <d v="2024-03-06T00:00:00"/>
    <s v="Q1-2024"/>
    <d v="2024-03-06T00:00:00"/>
    <n v="16"/>
    <x v="0"/>
    <x v="1"/>
    <x v="9"/>
    <x v="38"/>
    <s v="Education"/>
    <x v="2"/>
    <x v="7"/>
    <x v="1"/>
    <s v="High"/>
    <x v="422"/>
    <n v="1477.84"/>
    <n v="3197.47"/>
    <n v="3197.47"/>
    <n v="0.24299999999999999"/>
    <n v="0.24299999999999999"/>
    <x v="1"/>
    <n v="24"/>
    <n v="58091.634960000003"/>
    <n v="35468.159999999996"/>
    <n v="22623.474960000007"/>
    <n v="0.38944462443823091"/>
    <n v="0.17"/>
    <n v="2653.9000999999998"/>
    <n v="1477.84"/>
    <n v="28.08"/>
    <n v="74521.514807999993"/>
    <n v="41497.747199999998"/>
    <n v="33023.767607999995"/>
    <n v="0.44314407313221771"/>
    <n v="16429.87984799999"/>
    <n v="22623.474960000007"/>
    <n v="5.3699448693986795E-2"/>
  </r>
  <r>
    <x v="424"/>
    <x v="351"/>
    <d v="2024-03-26T00:00:00"/>
    <s v="Q1-2024"/>
    <d v="2024-03-26T00:00:00"/>
    <n v="28"/>
    <x v="0"/>
    <x v="1"/>
    <x v="4"/>
    <x v="29"/>
    <s v="Education"/>
    <x v="2"/>
    <x v="3"/>
    <x v="4"/>
    <s v="High"/>
    <x v="423"/>
    <n v="1035.19"/>
    <n v="2322.6999999999998"/>
    <n v="2322.6999999999998"/>
    <n v="0.17299999999999999"/>
    <n v="0.17299999999999999"/>
    <x v="0"/>
    <n v="8"/>
    <n v="15366.983199999999"/>
    <n v="8281.52"/>
    <n v="7085.4631999999983"/>
    <n v="0.46108355217047409"/>
    <n v="0.17"/>
    <n v="1927.8409999999997"/>
    <n v="1035.19"/>
    <n v="9.36"/>
    <n v="18044.591759999996"/>
    <n v="9689.3783999999996"/>
    <n v="8355.2133599999961"/>
    <n v="0.46303144294576148"/>
    <n v="2677.6085599999969"/>
    <n v="7085.4631999999983"/>
    <n v="1.9478907752873975E-3"/>
  </r>
  <r>
    <x v="425"/>
    <x v="256"/>
    <d v="2025-09-05T00:00:00"/>
    <s v="Q3-2025"/>
    <d v="2025-09-05T00:00:00"/>
    <n v="8"/>
    <x v="0"/>
    <x v="0"/>
    <x v="1"/>
    <x v="1"/>
    <s v="Small Business"/>
    <x v="2"/>
    <x v="6"/>
    <x v="4"/>
    <s v="Medium"/>
    <x v="424"/>
    <n v="1271.0999999999999"/>
    <n v="1932.42"/>
    <n v="1932.42"/>
    <n v="0.25"/>
    <n v="0.25"/>
    <x v="1"/>
    <n v="21"/>
    <n v="30435.614999999998"/>
    <n v="26693.1"/>
    <n v="3742.5149999999994"/>
    <n v="0.12296498690760807"/>
    <n v="0.17"/>
    <n v="1603.9086"/>
    <n v="1271.0999999999999"/>
    <n v="24.57"/>
    <n v="39408.034302"/>
    <n v="31230.927"/>
    <n v="8177.1073020000003"/>
    <n v="0.20749848214542899"/>
    <n v="8972.4193020000021"/>
    <n v="3742.5149999999994"/>
    <n v="8.4533495237820916E-2"/>
  </r>
  <r>
    <x v="426"/>
    <x v="352"/>
    <d v="2024-09-12T00:00:00"/>
    <s v="Q3-2024"/>
    <d v="2024-09-12T00:00:00"/>
    <n v="25"/>
    <x v="0"/>
    <x v="1"/>
    <x v="4"/>
    <x v="29"/>
    <s v="Consumer"/>
    <x v="2"/>
    <x v="0"/>
    <x v="3"/>
    <s v="High"/>
    <x v="425"/>
    <n v="1154.03"/>
    <n v="1590.36"/>
    <n v="1590.36"/>
    <n v="0.314"/>
    <n v="0.12"/>
    <x v="0"/>
    <n v="18"/>
    <n v="25191.3024"/>
    <n v="20772.54"/>
    <n v="4418.7623999999996"/>
    <n v="0.1754082551920777"/>
    <n v="0.314"/>
    <n v="1090.98696"/>
    <n v="1154.03"/>
    <n v="21.06"/>
    <n v="22976.185377599999"/>
    <n v="24303.871799999997"/>
    <n v="-1327.6864223999983"/>
    <n v="-5.7785328616576606E-2"/>
    <n v="-2215.1170224000016"/>
    <n v="4418.7623999999996"/>
    <n v="-0.23319358380865429"/>
  </r>
  <r>
    <x v="427"/>
    <x v="353"/>
    <d v="2024-03-09T00:00:00"/>
    <s v="Q1-2024"/>
    <d v="2024-03-09T00:00:00"/>
    <n v="13"/>
    <x v="0"/>
    <x v="3"/>
    <x v="7"/>
    <x v="11"/>
    <s v="Small Business"/>
    <x v="3"/>
    <x v="6"/>
    <x v="5"/>
    <s v="Low"/>
    <x v="426"/>
    <n v="322.44"/>
    <n v="395.61"/>
    <n v="395.61"/>
    <n v="0"/>
    <n v="0"/>
    <x v="0"/>
    <n v="34"/>
    <n v="13450.74"/>
    <n v="10962.96"/>
    <n v="2487.7800000000007"/>
    <n v="0.18495487980586947"/>
    <n v="0"/>
    <n v="395.61"/>
    <n v="322.44"/>
    <n v="39.78"/>
    <n v="15737.365800000001"/>
    <n v="12826.663200000001"/>
    <n v="2910.7026000000005"/>
    <n v="0.18495487980586944"/>
    <n v="2286.6258000000016"/>
    <n v="2487.7800000000007"/>
    <n v="0"/>
  </r>
  <r>
    <x v="428"/>
    <x v="354"/>
    <d v="2025-05-13T00:00:00"/>
    <s v="Q2-2025"/>
    <d v="2025-05-13T00:00:00"/>
    <n v="6"/>
    <x v="1"/>
    <x v="1"/>
    <x v="4"/>
    <x v="6"/>
    <s v="Enterprise"/>
    <x v="4"/>
    <x v="1"/>
    <x v="3"/>
    <s v="High"/>
    <x v="427"/>
    <n v="935.98"/>
    <n v="2077.69"/>
    <n v="2077.69"/>
    <n v="0.17499999999999999"/>
    <n v="0.17499999999999999"/>
    <x v="0"/>
    <n v="24"/>
    <n v="41138.261999999995"/>
    <n v="22463.52"/>
    <n v="18674.741999999995"/>
    <n v="0.45395067978321491"/>
    <n v="0.17"/>
    <n v="1724.4827"/>
    <n v="935.98"/>
    <n v="28.08"/>
    <n v="48423.474215999995"/>
    <n v="26282.3184"/>
    <n v="22141.155815999995"/>
    <n v="0.45724013351946058"/>
    <n v="7285.2122159999999"/>
    <n v="18674.741999999995"/>
    <n v="3.2894537362456733E-3"/>
  </r>
  <r>
    <x v="429"/>
    <x v="355"/>
    <d v="2024-11-12T00:00:00"/>
    <s v="Q4-2024"/>
    <d v="2024-11-12T00:00:00"/>
    <n v="11"/>
    <x v="0"/>
    <x v="3"/>
    <x v="6"/>
    <x v="37"/>
    <s v="Consumer"/>
    <x v="1"/>
    <x v="5"/>
    <x v="1"/>
    <s v="Medium"/>
    <x v="428"/>
    <n v="599.84"/>
    <n v="1330.85"/>
    <n v="1330.85"/>
    <n v="0.115"/>
    <n v="0.115"/>
    <x v="0"/>
    <n v="11"/>
    <n v="12955.824749999998"/>
    <n v="6598.2400000000007"/>
    <n v="6357.5847499999973"/>
    <n v="0.49071246892252063"/>
    <n v="0.115"/>
    <n v="1177.80225"/>
    <n v="599.84"/>
    <n v="12.87"/>
    <n v="15158.314957499999"/>
    <n v="7719.9408000000003"/>
    <n v="7438.3741574999985"/>
    <n v="0.49071246892252068"/>
    <n v="2202.4902075000009"/>
    <n v="6357.5847499999973"/>
    <n v="0"/>
  </r>
  <r>
    <x v="430"/>
    <x v="356"/>
    <d v="2025-01-08T00:00:00"/>
    <s v="Q4-2024"/>
    <d v="2025-01-08T00:00:00"/>
    <n v="11"/>
    <x v="0"/>
    <x v="1"/>
    <x v="9"/>
    <x v="14"/>
    <s v="Enterprise"/>
    <x v="1"/>
    <x v="11"/>
    <x v="4"/>
    <s v="High"/>
    <x v="429"/>
    <n v="1201.31"/>
    <n v="2764.65"/>
    <n v="2764.65"/>
    <n v="0"/>
    <n v="0"/>
    <x v="0"/>
    <n v="21"/>
    <n v="58057.65"/>
    <n v="25227.51"/>
    <n v="32830.14"/>
    <n v="0.56547483406579491"/>
    <n v="0"/>
    <n v="2764.65"/>
    <n v="1201.31"/>
    <n v="24.57"/>
    <n v="67927.450500000006"/>
    <n v="29516.186699999998"/>
    <n v="38411.263800000008"/>
    <n v="0.56547483406579502"/>
    <n v="9869.8005000000048"/>
    <n v="32830.14"/>
    <n v="0"/>
  </r>
  <r>
    <x v="431"/>
    <x v="258"/>
    <d v="2023-10-21T00:00:00"/>
    <s v="Q4-2023"/>
    <d v="2023-10-21T00:00:00"/>
    <n v="0"/>
    <x v="1"/>
    <x v="3"/>
    <x v="8"/>
    <x v="31"/>
    <s v="Enterprise"/>
    <x v="3"/>
    <x v="1"/>
    <x v="5"/>
    <s v="Low"/>
    <x v="430"/>
    <n v="384.19"/>
    <n v="278.35000000000002"/>
    <n v="278.35000000000002"/>
    <n v="5.6000000000000001E-2"/>
    <n v="5.6000000000000001E-2"/>
    <x v="0"/>
    <n v="10"/>
    <n v="2627.6239999999998"/>
    <n v="3841.9"/>
    <n v="-1214.2760000000003"/>
    <n v="-0.46211938998882657"/>
    <n v="5.6000000000000001E-2"/>
    <n v="262.76240000000001"/>
    <n v="384.19"/>
    <n v="11.7"/>
    <n v="3074.32008"/>
    <n v="4495.0230000000001"/>
    <n v="-1420.7029200000002"/>
    <n v="-0.46211938998882646"/>
    <n v="446.69608000000017"/>
    <n v="-1214.2760000000003"/>
    <n v="0"/>
  </r>
  <r>
    <x v="432"/>
    <x v="16"/>
    <d v="2024-12-19T00:00:00"/>
    <s v="Q4-2024"/>
    <d v="2024-12-19T00:00:00"/>
    <n v="9"/>
    <x v="0"/>
    <x v="0"/>
    <x v="1"/>
    <x v="3"/>
    <s v="Corporate"/>
    <x v="0"/>
    <x v="7"/>
    <x v="5"/>
    <s v="Medium"/>
    <x v="431"/>
    <n v="488.68"/>
    <n v="984.36"/>
    <n v="984.36"/>
    <n v="5.8999999999999997E-2"/>
    <n v="5.8999999999999997E-2"/>
    <x v="0"/>
    <n v="14"/>
    <n v="12967.958640000001"/>
    <n v="6841.52"/>
    <n v="6126.4386400000003"/>
    <n v="0.47242891576649876"/>
    <n v="5.8999999999999997E-2"/>
    <n v="926.28276000000005"/>
    <n v="488.68"/>
    <n v="16.38"/>
    <n v="15172.5116088"/>
    <n v="8004.5783999999994"/>
    <n v="7167.9332088000001"/>
    <n v="0.47242891576649881"/>
    <n v="2204.5529687999988"/>
    <n v="6126.4386400000003"/>
    <n v="0"/>
  </r>
  <r>
    <x v="433"/>
    <x v="254"/>
    <d v="2024-09-18T00:00:00"/>
    <s v="Q3-2024"/>
    <d v="2024-09-18T00:00:00"/>
    <n v="11"/>
    <x v="0"/>
    <x v="1"/>
    <x v="9"/>
    <x v="38"/>
    <s v="Consumer"/>
    <x v="3"/>
    <x v="7"/>
    <x v="2"/>
    <s v="Low"/>
    <x v="432"/>
    <n v="181.74"/>
    <n v="190.84"/>
    <n v="190.84"/>
    <n v="0.214"/>
    <n v="0.214"/>
    <x v="1"/>
    <n v="13"/>
    <n v="1950.0031200000001"/>
    <n v="2362.62"/>
    <n v="-412.61687999999981"/>
    <n v="-0.21159806144310159"/>
    <n v="0.17"/>
    <n v="158.3972"/>
    <n v="181.74"/>
    <n v="15.209999999999999"/>
    <n v="2409.2214119999999"/>
    <n v="2764.2653999999998"/>
    <n v="-355.0439879999999"/>
    <n v="-0.14736876661961193"/>
    <n v="459.21829199999979"/>
    <n v="-412.61687999999981"/>
    <n v="6.4229294823489658E-2"/>
  </r>
  <r>
    <x v="434"/>
    <x v="357"/>
    <d v="2023-10-20T00:00:00"/>
    <s v="Q4-2023"/>
    <d v="2023-10-20T00:00:00"/>
    <n v="2"/>
    <x v="1"/>
    <x v="0"/>
    <x v="0"/>
    <x v="0"/>
    <s v="Consumer"/>
    <x v="0"/>
    <x v="1"/>
    <x v="3"/>
    <s v="Medium"/>
    <x v="433"/>
    <n v="774.12"/>
    <n v="908.3"/>
    <n v="908.3"/>
    <n v="0"/>
    <n v="0"/>
    <x v="0"/>
    <n v="30"/>
    <n v="27249"/>
    <n v="23223.599999999999"/>
    <n v="4025.4000000000015"/>
    <n v="0.14772652207420461"/>
    <n v="0"/>
    <n v="908.3"/>
    <n v="774.12"/>
    <n v="35.099999999999994"/>
    <n v="31881.329999999994"/>
    <n v="27171.611999999997"/>
    <n v="4709.7179999999971"/>
    <n v="0.1477265220742045"/>
    <n v="4632.3299999999945"/>
    <n v="4025.4000000000015"/>
    <n v="0"/>
  </r>
  <r>
    <x v="435"/>
    <x v="358"/>
    <d v="2025-01-13T00:00:00"/>
    <s v="Q4-2024"/>
    <d v="2025-01-13T00:00:00"/>
    <n v="20"/>
    <x v="0"/>
    <x v="1"/>
    <x v="4"/>
    <x v="6"/>
    <s v="Corporate"/>
    <x v="2"/>
    <x v="14"/>
    <x v="2"/>
    <s v="Low"/>
    <x v="434"/>
    <n v="126.15"/>
    <n v="284.23"/>
    <n v="284.23"/>
    <n v="0.113"/>
    <n v="0.113"/>
    <x v="0"/>
    <n v="22"/>
    <n v="5546.4642200000008"/>
    <n v="2775.3"/>
    <n v="2771.1642200000006"/>
    <n v="0.49962716968541088"/>
    <n v="0.113"/>
    <n v="252.11201000000003"/>
    <n v="126.15"/>
    <n v="25.74"/>
    <n v="6489.3631374000006"/>
    <n v="3247.1010000000001"/>
    <n v="3242.2621374000005"/>
    <n v="0.49962716968541088"/>
    <n v="942.89891739999985"/>
    <n v="2771.1642200000006"/>
    <n v="0"/>
  </r>
  <r>
    <x v="436"/>
    <x v="67"/>
    <d v="2023-04-19T00:00:00"/>
    <s v="Q2-2023"/>
    <d v="2023-05-09T00:00:00"/>
    <n v="18"/>
    <x v="0"/>
    <x v="1"/>
    <x v="2"/>
    <x v="32"/>
    <s v="Small Business"/>
    <x v="4"/>
    <x v="12"/>
    <x v="0"/>
    <s v="Medium"/>
    <x v="435"/>
    <n v="607.04"/>
    <n v="1229.3399999999999"/>
    <n v="1229.3399999999999"/>
    <n v="0.14699999999999999"/>
    <n v="0.14699999999999999"/>
    <x v="0"/>
    <n v="7"/>
    <n v="7340.3891399999993"/>
    <n v="4249.28"/>
    <n v="3091.1091399999996"/>
    <n v="0.42110970972310058"/>
    <n v="0.14699999999999999"/>
    <n v="1048.6270199999999"/>
    <n v="607.04"/>
    <n v="8.19"/>
    <n v="8588.255293799999"/>
    <n v="4971.6575999999995"/>
    <n v="3616.5976937999994"/>
    <n v="0.42110970972310058"/>
    <n v="1247.8661537999997"/>
    <n v="3091.1091399999996"/>
    <n v="0"/>
  </r>
  <r>
    <x v="437"/>
    <x v="359"/>
    <d v="2024-01-08T00:00:00"/>
    <s v="Q4-2023"/>
    <d v="2024-01-08T00:00:00"/>
    <n v="9"/>
    <x v="0"/>
    <x v="3"/>
    <x v="7"/>
    <x v="11"/>
    <s v="Consumer"/>
    <x v="2"/>
    <x v="4"/>
    <x v="6"/>
    <s v="Medium"/>
    <x v="436"/>
    <n v="861.1"/>
    <n v="1224.72"/>
    <n v="1224.72"/>
    <n v="0.17399999999999999"/>
    <n v="0.17399999999999999"/>
    <x v="0"/>
    <n v="24"/>
    <n v="24278.849280000002"/>
    <n v="20666.400000000001"/>
    <n v="3612.4492800000007"/>
    <n v="0.14878997098827909"/>
    <n v="0.17"/>
    <n v="1016.5176"/>
    <n v="861.1"/>
    <n v="28.08"/>
    <n v="28543.814208"/>
    <n v="24179.687999999998"/>
    <n v="4364.1262080000015"/>
    <n v="0.1528921879955645"/>
    <n v="4264.9649279999976"/>
    <n v="3612.4492800000007"/>
    <n v="4.1022170072854136E-3"/>
  </r>
  <r>
    <x v="438"/>
    <x v="360"/>
    <d v="2023-03-12T00:00:00"/>
    <s v="Q1-2023"/>
    <d v="2023-03-12T00:00:00"/>
    <n v="19"/>
    <x v="0"/>
    <x v="0"/>
    <x v="0"/>
    <x v="16"/>
    <s v="Corporate"/>
    <x v="1"/>
    <x v="9"/>
    <x v="2"/>
    <s v="Low"/>
    <x v="437"/>
    <n v="352.65"/>
    <n v="485.86"/>
    <n v="485.86"/>
    <n v="4.1000000000000002E-2"/>
    <n v="4.1000000000000002E-2"/>
    <x v="0"/>
    <n v="6"/>
    <n v="2795.6384399999997"/>
    <n v="2115.8999999999996"/>
    <n v="679.73844000000008"/>
    <n v="0.24314247159943908"/>
    <n v="4.1000000000000002E-2"/>
    <n v="465.93973999999997"/>
    <n v="352.65"/>
    <n v="7.02"/>
    <n v="3270.8969747999995"/>
    <n v="2475.6029999999996"/>
    <n v="795.29397479999989"/>
    <n v="0.24314247159943903"/>
    <n v="475.25853479999978"/>
    <n v="679.73844000000008"/>
    <n v="0"/>
  </r>
  <r>
    <x v="439"/>
    <x v="361"/>
    <d v="2023-06-03T00:00:00"/>
    <s v="Q2-2023"/>
    <d v="2023-06-03T00:00:00"/>
    <n v="17"/>
    <x v="0"/>
    <x v="1"/>
    <x v="9"/>
    <x v="38"/>
    <s v="Non-Profit"/>
    <x v="3"/>
    <x v="12"/>
    <x v="1"/>
    <s v="High"/>
    <x v="438"/>
    <n v="979.59"/>
    <n v="2210.94"/>
    <n v="2210.94"/>
    <n v="0.15"/>
    <n v="0.15"/>
    <x v="0"/>
    <n v="11"/>
    <n v="20672.289000000001"/>
    <n v="10775.49"/>
    <n v="9896.7990000000009"/>
    <n v="0.47874712858358359"/>
    <n v="0.15"/>
    <n v="1879.299"/>
    <n v="979.59"/>
    <n v="12.87"/>
    <n v="24186.578129999998"/>
    <n v="12607.3233"/>
    <n v="11579.254829999998"/>
    <n v="0.47874712858358354"/>
    <n v="3514.2891299999974"/>
    <n v="9896.7990000000009"/>
    <n v="0"/>
  </r>
  <r>
    <x v="440"/>
    <x v="362"/>
    <d v="2024-03-26T00:00:00"/>
    <s v="Q1-2024"/>
    <d v="2024-03-26T00:00:00"/>
    <n v="3"/>
    <x v="1"/>
    <x v="1"/>
    <x v="4"/>
    <x v="6"/>
    <s v="Education"/>
    <x v="4"/>
    <x v="3"/>
    <x v="3"/>
    <s v="Low"/>
    <x v="439"/>
    <n v="382.21"/>
    <n v="571.89"/>
    <n v="571.89"/>
    <n v="0.14799999999999999"/>
    <n v="0.14799999999999999"/>
    <x v="0"/>
    <n v="26"/>
    <n v="12668.50728"/>
    <n v="9937.4599999999991"/>
    <n v="2731.0472800000007"/>
    <n v="0.2155776698578809"/>
    <n v="0.14799999999999999"/>
    <n v="487.25027999999998"/>
    <n v="382.21"/>
    <n v="30.419999999999998"/>
    <n v="14822.153517599998"/>
    <n v="11626.828199999998"/>
    <n v="3195.3253175999998"/>
    <n v="0.21557766985788085"/>
    <n v="2153.6462375999981"/>
    <n v="2731.0472800000007"/>
    <n v="0"/>
  </r>
  <r>
    <x v="441"/>
    <x v="363"/>
    <d v="2023-09-28T00:00:00"/>
    <s v="Q3-2023"/>
    <d v="2023-09-28T00:00:00"/>
    <n v="8"/>
    <x v="0"/>
    <x v="1"/>
    <x v="4"/>
    <x v="35"/>
    <s v="Corporate"/>
    <x v="5"/>
    <x v="5"/>
    <x v="6"/>
    <s v="High"/>
    <x v="440"/>
    <n v="1362.06"/>
    <n v="3398.37"/>
    <n v="3398.37"/>
    <n v="0.157"/>
    <n v="0.157"/>
    <x v="0"/>
    <n v="11"/>
    <n v="31513.085009999999"/>
    <n v="14982.66"/>
    <n v="16530.425009999999"/>
    <n v="0.52455749745714919"/>
    <n v="0.157"/>
    <n v="2864.82591"/>
    <n v="1362.06"/>
    <n v="12.87"/>
    <n v="36870.309461699995"/>
    <n v="17529.712199999998"/>
    <n v="19340.597261699997"/>
    <n v="0.52455749745714919"/>
    <n v="5357.2244516999963"/>
    <n v="16530.425009999999"/>
    <n v="0"/>
  </r>
  <r>
    <x v="442"/>
    <x v="364"/>
    <d v="2024-09-04T00:00:00"/>
    <s v="Q3-2024"/>
    <d v="2024-09-04T00:00:00"/>
    <n v="13"/>
    <x v="0"/>
    <x v="3"/>
    <x v="6"/>
    <x v="37"/>
    <s v="Non-Profit"/>
    <x v="0"/>
    <x v="4"/>
    <x v="1"/>
    <s v="Low"/>
    <x v="441"/>
    <n v="90.04"/>
    <n v="194.62"/>
    <n v="194.62"/>
    <n v="4.2999999999999997E-2"/>
    <n v="4.2999999999999997E-2"/>
    <x v="0"/>
    <n v="32"/>
    <n v="5960.04288"/>
    <n v="2881.28"/>
    <n v="3078.7628799999998"/>
    <n v="0.51656723650954672"/>
    <n v="4.2999999999999997E-2"/>
    <n v="186.25134"/>
    <n v="90.04"/>
    <n v="37.44"/>
    <n v="6973.2501695999999"/>
    <n v="3371.0976000000001"/>
    <n v="3602.1525695999999"/>
    <n v="0.51656723650954672"/>
    <n v="1013.2072896"/>
    <n v="3078.7628799999998"/>
    <n v="0"/>
  </r>
  <r>
    <x v="443"/>
    <x v="365"/>
    <d v="2024-10-03T00:00:00"/>
    <s v="Q3-2024"/>
    <d v="2024-10-03T00:00:00"/>
    <n v="8"/>
    <x v="0"/>
    <x v="2"/>
    <x v="3"/>
    <x v="5"/>
    <s v="Consumer"/>
    <x v="1"/>
    <x v="6"/>
    <x v="1"/>
    <s v="Medium"/>
    <x v="442"/>
    <n v="558.19000000000005"/>
    <n v="1031.6400000000001"/>
    <n v="1031.6400000000001"/>
    <n v="0"/>
    <n v="0"/>
    <x v="0"/>
    <n v="21"/>
    <n v="21664.440000000002"/>
    <n v="11721.990000000002"/>
    <n v="9942.4500000000007"/>
    <n v="0.45892947152107322"/>
    <n v="0"/>
    <n v="1031.6400000000001"/>
    <n v="558.19000000000005"/>
    <n v="24.57"/>
    <n v="25347.394800000002"/>
    <n v="13714.728300000001"/>
    <n v="11632.666500000001"/>
    <n v="0.45892947152107327"/>
    <n v="3682.9547999999995"/>
    <n v="9942.4500000000007"/>
    <n v="0"/>
  </r>
  <r>
    <x v="444"/>
    <x v="366"/>
    <d v="2023-06-24T00:00:00"/>
    <s v="Q2-2023"/>
    <d v="2023-06-24T00:00:00"/>
    <n v="11"/>
    <x v="0"/>
    <x v="2"/>
    <x v="3"/>
    <x v="5"/>
    <s v="Corporate"/>
    <x v="1"/>
    <x v="0"/>
    <x v="1"/>
    <s v="Low"/>
    <x v="443"/>
    <n v="247.07"/>
    <n v="495.19"/>
    <n v="495.19"/>
    <n v="2.8000000000000001E-2"/>
    <n v="2.8000000000000001E-2"/>
    <x v="0"/>
    <n v="4"/>
    <n v="1925.29872"/>
    <n v="988.28"/>
    <n v="937.01872000000003"/>
    <n v="0.48668744764968214"/>
    <n v="2.8000000000000001E-2"/>
    <n v="481.32468"/>
    <n v="247.07"/>
    <n v="4.68"/>
    <n v="2252.5995023999999"/>
    <n v="1156.2875999999999"/>
    <n v="1096.3119024"/>
    <n v="0.48668744764968214"/>
    <n v="327.30078239999989"/>
    <n v="937.01872000000003"/>
    <n v="0"/>
  </r>
  <r>
    <x v="445"/>
    <x v="239"/>
    <d v="2024-01-13T00:00:00"/>
    <s v="Q4-2023"/>
    <d v="2024-01-13T00:00:00"/>
    <n v="20"/>
    <x v="0"/>
    <x v="1"/>
    <x v="2"/>
    <x v="32"/>
    <s v="Education"/>
    <x v="4"/>
    <x v="5"/>
    <x v="4"/>
    <s v="Medium"/>
    <x v="444"/>
    <n v="625.37"/>
    <n v="1319.04"/>
    <n v="1319.04"/>
    <n v="7.3999999999999996E-2"/>
    <n v="7.3999999999999996E-2"/>
    <x v="0"/>
    <n v="8"/>
    <n v="9771.4483199999995"/>
    <n v="5002.96"/>
    <n v="4768.4883199999995"/>
    <n v="0.48800220436513547"/>
    <n v="7.3999999999999996E-2"/>
    <n v="1221.4310399999999"/>
    <n v="625.37"/>
    <n v="9.36"/>
    <n v="11432.594534399999"/>
    <n v="5853.4631999999992"/>
    <n v="5579.1313344"/>
    <n v="0.48800220436513553"/>
    <n v="1661.1462143999997"/>
    <n v="4768.4883199999995"/>
    <n v="0"/>
  </r>
  <r>
    <x v="446"/>
    <x v="257"/>
    <d v="2025-04-29T00:00:00"/>
    <s v="Q1-2025"/>
    <d v="2025-04-29T00:00:00"/>
    <n v="30"/>
    <x v="0"/>
    <x v="0"/>
    <x v="11"/>
    <x v="25"/>
    <s v="Consumer"/>
    <x v="2"/>
    <x v="1"/>
    <x v="5"/>
    <s v="Low"/>
    <x v="445"/>
    <n v="194.6"/>
    <n v="314.87"/>
    <n v="314.87"/>
    <n v="0.29299999999999998"/>
    <n v="0.29299999999999998"/>
    <x v="1"/>
    <n v="25"/>
    <n v="5565.3272500000003"/>
    <n v="4865"/>
    <n v="700.32725000000028"/>
    <n v="0.1258375686712763"/>
    <n v="0.17"/>
    <n v="261.34210000000002"/>
    <n v="194.6"/>
    <n v="29.25"/>
    <n v="7644.2564250000005"/>
    <n v="5692.05"/>
    <n v="1952.2064250000003"/>
    <n v="0.25538212174770158"/>
    <n v="2078.9291750000002"/>
    <n v="700.32725000000028"/>
    <n v="0.12954455307642529"/>
  </r>
  <r>
    <x v="447"/>
    <x v="367"/>
    <d v="2024-06-24T00:00:00"/>
    <s v="Q2-2024"/>
    <d v="2024-06-24T00:00:00"/>
    <n v="21"/>
    <x v="0"/>
    <x v="2"/>
    <x v="3"/>
    <x v="5"/>
    <s v="Small Business"/>
    <x v="4"/>
    <x v="3"/>
    <x v="5"/>
    <s v="High"/>
    <x v="446"/>
    <n v="1205.5"/>
    <n v="2210.17"/>
    <n v="2210.17"/>
    <n v="0.104"/>
    <n v="0.104"/>
    <x v="0"/>
    <n v="23"/>
    <n v="45547.183360000003"/>
    <n v="27726.5"/>
    <n v="17820.683360000003"/>
    <n v="0.39125763758314652"/>
    <n v="0.104"/>
    <n v="1980.31232"/>
    <n v="1205.5"/>
    <n v="26.909999999999997"/>
    <n v="53290.20453119999"/>
    <n v="32440.004999999997"/>
    <n v="20850.199531199993"/>
    <n v="0.39125763758314641"/>
    <n v="7743.0211711999873"/>
    <n v="17820.683360000003"/>
    <n v="0"/>
  </r>
  <r>
    <x v="448"/>
    <x v="368"/>
    <d v="2024-07-09T00:00:00"/>
    <s v="Q2-2024"/>
    <d v="2024-07-09T00:00:00"/>
    <n v="28"/>
    <x v="0"/>
    <x v="0"/>
    <x v="1"/>
    <x v="1"/>
    <s v="Corporate"/>
    <x v="2"/>
    <x v="2"/>
    <x v="3"/>
    <s v="Medium"/>
    <x v="447"/>
    <n v="895.54"/>
    <n v="1045"/>
    <n v="1045"/>
    <n v="0.216"/>
    <n v="0.216"/>
    <x v="1"/>
    <n v="15"/>
    <n v="12289.2"/>
    <n v="13433.099999999999"/>
    <n v="-1143.8999999999978"/>
    <n v="-9.3081730299775234E-2"/>
    <n v="0.17"/>
    <n v="867.34999999999991"/>
    <n v="895.54"/>
    <n v="17.549999999999997"/>
    <n v="15221.992499999997"/>
    <n v="15716.726999999997"/>
    <n v="-494.73450000000048"/>
    <n v="-3.2501297054245731E-2"/>
    <n v="2932.7924999999959"/>
    <n v="-1143.8999999999978"/>
    <n v="6.0580433245529502E-2"/>
  </r>
  <r>
    <x v="449"/>
    <x v="369"/>
    <d v="2023-07-21T00:00:00"/>
    <s v="Q3-2023"/>
    <d v="2023-08-10T00:00:00"/>
    <n v="19"/>
    <x v="0"/>
    <x v="1"/>
    <x v="4"/>
    <x v="18"/>
    <s v="Small Business"/>
    <x v="3"/>
    <x v="6"/>
    <x v="1"/>
    <s v="High"/>
    <x v="448"/>
    <n v="946.99"/>
    <n v="2132.19"/>
    <n v="2132.19"/>
    <n v="0.16500000000000001"/>
    <n v="0.16500000000000001"/>
    <x v="0"/>
    <n v="7"/>
    <n v="12462.65055"/>
    <n v="6628.93"/>
    <n v="5833.72055"/>
    <n v="0.46809629513362228"/>
    <n v="0.16500000000000001"/>
    <n v="1780.3786499999999"/>
    <n v="946.99"/>
    <n v="8.19"/>
    <n v="14581.301143499999"/>
    <n v="7755.8480999999992"/>
    <n v="6825.4530434999997"/>
    <n v="0.46809629513362228"/>
    <n v="2118.6505934999986"/>
    <n v="5833.72055"/>
    <n v="0"/>
  </r>
  <r>
    <x v="450"/>
    <x v="370"/>
    <d v="2023-02-03T00:00:00"/>
    <s v="Q1-2023"/>
    <d v="2023-02-03T00:00:00"/>
    <n v="15"/>
    <x v="0"/>
    <x v="3"/>
    <x v="8"/>
    <x v="21"/>
    <s v="Enterprise"/>
    <x v="3"/>
    <x v="3"/>
    <x v="6"/>
    <s v="High"/>
    <x v="449"/>
    <n v="873.06"/>
    <n v="2101.5500000000002"/>
    <n v="2101.5500000000002"/>
    <n v="6.6000000000000003E-2"/>
    <n v="6.6000000000000003E-2"/>
    <x v="0"/>
    <n v="10"/>
    <n v="19628.476999999999"/>
    <n v="8730.5999999999985"/>
    <n v="10897.877"/>
    <n v="0.55520746719167269"/>
    <n v="6.6000000000000003E-2"/>
    <n v="1962.8477"/>
    <n v="873.06"/>
    <n v="11.7"/>
    <n v="22965.318090000001"/>
    <n v="10214.801999999998"/>
    <n v="12750.516090000003"/>
    <n v="0.55520746719167269"/>
    <n v="3336.8410900000017"/>
    <n v="10897.877"/>
    <n v="0"/>
  </r>
  <r>
    <x v="451"/>
    <x v="371"/>
    <d v="2024-05-16T00:00:00"/>
    <s v="Q2-2024"/>
    <d v="2024-05-16T00:00:00"/>
    <n v="15"/>
    <x v="0"/>
    <x v="1"/>
    <x v="4"/>
    <x v="6"/>
    <s v="Small Business"/>
    <x v="0"/>
    <x v="4"/>
    <x v="0"/>
    <s v="High"/>
    <x v="450"/>
    <n v="901.19"/>
    <n v="2125.44"/>
    <n v="2125.44"/>
    <n v="7.0999999999999994E-2"/>
    <n v="7.0999999999999994E-2"/>
    <x v="0"/>
    <n v="12"/>
    <n v="23694.405119999999"/>
    <n v="10814.28"/>
    <n v="12880.125119999999"/>
    <n v="0.54359352154100415"/>
    <n v="7.0999999999999994E-2"/>
    <n v="1974.5337600000003"/>
    <n v="901.19"/>
    <n v="14.04"/>
    <n v="27722.453990400001"/>
    <n v="12652.7076"/>
    <n v="15069.746390400001"/>
    <n v="0.54359352154100427"/>
    <n v="4028.0488704000018"/>
    <n v="12880.125119999999"/>
    <n v="0"/>
  </r>
  <r>
    <x v="452"/>
    <x v="56"/>
    <d v="2025-06-24T00:00:00"/>
    <s v="Q2-2025"/>
    <d v="2025-06-24T00:00:00"/>
    <n v="15"/>
    <x v="0"/>
    <x v="1"/>
    <x v="2"/>
    <x v="32"/>
    <s v="Corporate"/>
    <x v="4"/>
    <x v="5"/>
    <x v="3"/>
    <s v="Medium"/>
    <x v="451"/>
    <n v="400.39"/>
    <n v="712.75"/>
    <n v="712.75"/>
    <n v="0.115"/>
    <n v="0.115"/>
    <x v="0"/>
    <n v="19"/>
    <n v="11984.891250000001"/>
    <n v="7607.41"/>
    <n v="4377.4812500000007"/>
    <n v="0.36524997671547504"/>
    <n v="0.115"/>
    <n v="630.78375000000005"/>
    <n v="400.39"/>
    <n v="22.229999999999997"/>
    <n v="14022.3227625"/>
    <n v="8900.6696999999986"/>
    <n v="5121.6530625000014"/>
    <n v="0.3652499767154751"/>
    <n v="2037.4315124999994"/>
    <n v="4377.4812500000007"/>
    <n v="0"/>
  </r>
  <r>
    <x v="453"/>
    <x v="372"/>
    <d v="2023-06-21T00:00:00"/>
    <s v="Q2-2023"/>
    <d v="2023-06-21T00:00:00"/>
    <n v="28"/>
    <x v="0"/>
    <x v="2"/>
    <x v="10"/>
    <x v="36"/>
    <s v="Small Business"/>
    <x v="2"/>
    <x v="3"/>
    <x v="5"/>
    <s v="High"/>
    <x v="452"/>
    <n v="813.97"/>
    <n v="1568.83"/>
    <n v="1568.83"/>
    <n v="1.7000000000000001E-2"/>
    <n v="1.7000000000000001E-2"/>
    <x v="0"/>
    <n v="15"/>
    <n v="23132.398349999996"/>
    <n v="12209.550000000001"/>
    <n v="10922.848349999995"/>
    <n v="0.4721883215364911"/>
    <n v="1.7000000000000001E-2"/>
    <n v="1542.1598899999999"/>
    <n v="813.97"/>
    <n v="17.549999999999997"/>
    <n v="27064.906069499993"/>
    <n v="14285.173499999999"/>
    <n v="12779.732569499994"/>
    <n v="0.47218832153649115"/>
    <n v="3932.5077194999976"/>
    <n v="10922.848349999995"/>
    <n v="0"/>
  </r>
  <r>
    <x v="454"/>
    <x v="6"/>
    <d v="2024-12-29T00:00:00"/>
    <s v="Q4-2024"/>
    <d v="2024-12-29T00:00:00"/>
    <n v="2"/>
    <x v="1"/>
    <x v="2"/>
    <x v="3"/>
    <x v="26"/>
    <s v="Enterprise"/>
    <x v="2"/>
    <x v="0"/>
    <x v="6"/>
    <s v="High"/>
    <x v="453"/>
    <n v="1146.72"/>
    <n v="2074.34"/>
    <n v="2074.34"/>
    <n v="0.111"/>
    <n v="0.111"/>
    <x v="0"/>
    <n v="8"/>
    <n v="14752.706080000002"/>
    <n v="9173.76"/>
    <n v="5578.9460800000015"/>
    <n v="0.37816425337472737"/>
    <n v="0.111"/>
    <n v="1844.0882600000002"/>
    <n v="1146.72"/>
    <n v="9.36"/>
    <n v="17260.6661136"/>
    <n v="10733.299199999999"/>
    <n v="6527.3669136000008"/>
    <n v="0.37816425337472737"/>
    <n v="2507.9600335999985"/>
    <n v="5578.9460800000015"/>
    <n v="0"/>
  </r>
  <r>
    <x v="455"/>
    <x v="373"/>
    <d v="2023-12-12T00:00:00"/>
    <s v="Q4-2023"/>
    <d v="2023-12-12T00:00:00"/>
    <n v="7"/>
    <x v="1"/>
    <x v="2"/>
    <x v="5"/>
    <x v="10"/>
    <s v="Corporate"/>
    <x v="4"/>
    <x v="9"/>
    <x v="3"/>
    <s v="Low"/>
    <x v="454"/>
    <n v="307.43"/>
    <n v="495.19"/>
    <n v="495.19"/>
    <n v="0"/>
    <n v="0"/>
    <x v="0"/>
    <n v="42"/>
    <n v="20797.98"/>
    <n v="12912.06"/>
    <n v="7885.92"/>
    <n v="0.37916759223732305"/>
    <n v="0"/>
    <n v="495.19"/>
    <n v="307.43"/>
    <n v="49.14"/>
    <n v="24333.636600000002"/>
    <n v="15107.110200000001"/>
    <n v="9226.5264000000006"/>
    <n v="0.37916759223732305"/>
    <n v="3535.6566000000021"/>
    <n v="7885.92"/>
    <n v="0"/>
  </r>
  <r>
    <x v="456"/>
    <x v="129"/>
    <d v="2023-05-19T00:00:00"/>
    <s v="Q2-2023"/>
    <d v="2023-05-19T00:00:00"/>
    <n v="17"/>
    <x v="0"/>
    <x v="1"/>
    <x v="9"/>
    <x v="23"/>
    <s v="Non-Profit"/>
    <x v="4"/>
    <x v="1"/>
    <x v="5"/>
    <s v="Low"/>
    <x v="455"/>
    <n v="714.28"/>
    <n v="757.59"/>
    <n v="757.59"/>
    <n v="0.13600000000000001"/>
    <n v="0.13600000000000001"/>
    <x v="0"/>
    <n v="12"/>
    <n v="7854.6931199999999"/>
    <n v="8571.36"/>
    <n v="-716.66688000000067"/>
    <n v="-9.1240595787910383E-2"/>
    <n v="0.13600000000000001"/>
    <n v="654.55776000000003"/>
    <n v="714.28"/>
    <n v="14.04"/>
    <n v="9189.9909504000007"/>
    <n v="10028.491199999999"/>
    <n v="-838.50024959999791"/>
    <n v="-9.1240595787910064E-2"/>
    <n v="1335.2978304000007"/>
    <n v="-716.66688000000067"/>
    <n v="3.1918911957973251E-16"/>
  </r>
  <r>
    <x v="457"/>
    <x v="134"/>
    <d v="2023-12-10T00:00:00"/>
    <s v="Q4-2023"/>
    <d v="2023-12-10T00:00:00"/>
    <n v="10"/>
    <x v="0"/>
    <x v="3"/>
    <x v="6"/>
    <x v="22"/>
    <s v="Small Business"/>
    <x v="4"/>
    <x v="9"/>
    <x v="4"/>
    <s v="Low"/>
    <x v="456"/>
    <n v="174.74"/>
    <n v="415.96"/>
    <n v="415.96"/>
    <n v="0.125"/>
    <n v="0.125"/>
    <x v="0"/>
    <n v="21"/>
    <n v="7643.2649999999994"/>
    <n v="3669.54"/>
    <n v="3973.7249999999995"/>
    <n v="0.51989889137691803"/>
    <n v="0.125"/>
    <n v="363.96499999999997"/>
    <n v="174.74"/>
    <n v="24.57"/>
    <n v="8942.6200499999995"/>
    <n v="4293.3618000000006"/>
    <n v="4649.258249999999"/>
    <n v="0.51989889137691803"/>
    <n v="1299.3550500000001"/>
    <n v="3973.7249999999995"/>
    <n v="0"/>
  </r>
  <r>
    <x v="458"/>
    <x v="374"/>
    <d v="2024-05-18T00:00:00"/>
    <s v="Q2-2024"/>
    <d v="2024-05-18T00:00:00"/>
    <n v="13"/>
    <x v="0"/>
    <x v="3"/>
    <x v="7"/>
    <x v="11"/>
    <s v="Corporate"/>
    <x v="2"/>
    <x v="8"/>
    <x v="0"/>
    <s v="High"/>
    <x v="457"/>
    <n v="1264.04"/>
    <n v="1870.89"/>
    <n v="1870.89"/>
    <n v="0"/>
    <n v="0"/>
    <x v="0"/>
    <n v="13"/>
    <n v="24321.57"/>
    <n v="16432.52"/>
    <n v="7889.0499999999993"/>
    <n v="0.32436433996653996"/>
    <n v="0"/>
    <n v="1870.89"/>
    <n v="1264.04"/>
    <n v="15.209999999999999"/>
    <n v="28456.2369"/>
    <n v="19226.0484"/>
    <n v="9230.1885000000002"/>
    <n v="0.32436433996654002"/>
    <n v="4134.6669000000002"/>
    <n v="7889.0499999999993"/>
    <n v="0"/>
  </r>
  <r>
    <x v="459"/>
    <x v="375"/>
    <d v="2023-07-19T00:00:00"/>
    <s v="Q3-2023"/>
    <d v="2023-07-19T00:00:00"/>
    <n v="10"/>
    <x v="0"/>
    <x v="1"/>
    <x v="2"/>
    <x v="27"/>
    <s v="Enterprise"/>
    <x v="3"/>
    <x v="13"/>
    <x v="0"/>
    <s v="Low"/>
    <x v="458"/>
    <n v="141.26"/>
    <n v="206.88"/>
    <n v="206.88"/>
    <n v="0.107"/>
    <n v="0.107"/>
    <x v="0"/>
    <n v="9"/>
    <n v="1662.6945600000001"/>
    <n v="1271.3399999999999"/>
    <n v="391.35456000000022"/>
    <n v="0.23537369365062469"/>
    <n v="0.107"/>
    <n v="184.74384000000001"/>
    <n v="141.26"/>
    <n v="10.53"/>
    <n v="1945.3526351999999"/>
    <n v="1487.4677999999999"/>
    <n v="457.8848352"/>
    <n v="0.23537369365062458"/>
    <n v="282.65807519999976"/>
    <n v="391.35456000000022"/>
    <n v="0"/>
  </r>
  <r>
    <x v="460"/>
    <x v="361"/>
    <d v="2023-06-15T00:00:00"/>
    <s v="Q2-2023"/>
    <d v="2023-06-15T00:00:00"/>
    <n v="29"/>
    <x v="0"/>
    <x v="0"/>
    <x v="11"/>
    <x v="25"/>
    <s v="Enterprise"/>
    <x v="0"/>
    <x v="11"/>
    <x v="6"/>
    <s v="Low"/>
    <x v="459"/>
    <n v="40.89"/>
    <n v="62.82"/>
    <n v="62.82"/>
    <n v="0.129"/>
    <n v="0.129"/>
    <x v="0"/>
    <n v="17"/>
    <n v="930.17574000000002"/>
    <n v="695.13"/>
    <n v="235.04574000000002"/>
    <n v="0.25268960465470752"/>
    <n v="0.129"/>
    <n v="54.71622"/>
    <n v="40.89"/>
    <n v="19.89"/>
    <n v="1088.3056157999999"/>
    <n v="813.3021"/>
    <n v="275.00351579999995"/>
    <n v="0.25268960465470747"/>
    <n v="158.12987579999992"/>
    <n v="235.04574000000002"/>
    <n v="0"/>
  </r>
  <r>
    <x v="461"/>
    <x v="34"/>
    <d v="2024-04-03T00:00:00"/>
    <s v="Q1-2024"/>
    <d v="2024-04-03T00:00:00"/>
    <n v="27"/>
    <x v="0"/>
    <x v="3"/>
    <x v="6"/>
    <x v="37"/>
    <s v="Corporate"/>
    <x v="4"/>
    <x v="12"/>
    <x v="1"/>
    <s v="Low"/>
    <x v="460"/>
    <n v="738.16"/>
    <n v="956.49"/>
    <n v="956.49"/>
    <n v="0.152"/>
    <n v="0.152"/>
    <x v="0"/>
    <n v="5"/>
    <n v="4055.5175999999997"/>
    <n v="3690.7999999999997"/>
    <n v="364.71759999999995"/>
    <n v="8.9931208780847108E-2"/>
    <n v="0.152"/>
    <n v="811.10352"/>
    <n v="738.16"/>
    <n v="5.85"/>
    <n v="4744.9555919999993"/>
    <n v="4318.2359999999999"/>
    <n v="426.71959199999947"/>
    <n v="8.9931208780847011E-2"/>
    <n v="689.43799199999967"/>
    <n v="364.71759999999995"/>
    <n v="0"/>
  </r>
  <r>
    <x v="462"/>
    <x v="376"/>
    <d v="2025-04-19T00:00:00"/>
    <s v="Q2-2025"/>
    <d v="2025-04-19T00:00:00"/>
    <n v="9"/>
    <x v="0"/>
    <x v="0"/>
    <x v="11"/>
    <x v="25"/>
    <s v="Enterprise"/>
    <x v="5"/>
    <x v="3"/>
    <x v="2"/>
    <s v="Low"/>
    <x v="461"/>
    <n v="113.74"/>
    <n v="165.7"/>
    <n v="165.7"/>
    <n v="0.124"/>
    <n v="0.124"/>
    <x v="0"/>
    <n v="13"/>
    <n v="1886.9915999999998"/>
    <n v="1478.62"/>
    <n v="408.37159999999994"/>
    <n v="0.21641410592394794"/>
    <n v="0.124"/>
    <n v="145.1532"/>
    <n v="113.74"/>
    <n v="15.209999999999999"/>
    <n v="2207.7801719999998"/>
    <n v="1729.9853999999998"/>
    <n v="477.79477199999997"/>
    <n v="0.21641410592394794"/>
    <n v="320.78857199999993"/>
    <n v="408.37159999999994"/>
    <n v="0"/>
  </r>
  <r>
    <x v="463"/>
    <x v="377"/>
    <d v="2025-08-15T00:00:00"/>
    <s v="Q3-2025"/>
    <d v="2025-08-15T00:00:00"/>
    <n v="19"/>
    <x v="0"/>
    <x v="1"/>
    <x v="2"/>
    <x v="27"/>
    <s v="Small Business"/>
    <x v="2"/>
    <x v="1"/>
    <x v="0"/>
    <s v="Low"/>
    <x v="462"/>
    <n v="275.43"/>
    <n v="608.36"/>
    <n v="608.36"/>
    <n v="0.25700000000000001"/>
    <n v="0.25700000000000001"/>
    <x v="1"/>
    <n v="4"/>
    <n v="1808.04592"/>
    <n v="1101.72"/>
    <n v="706.32592"/>
    <n v="0.39065706915231446"/>
    <n v="0.17"/>
    <n v="504.93880000000001"/>
    <n v="275.43"/>
    <n v="4.68"/>
    <n v="2363.1135839999997"/>
    <n v="1289.0123999999998"/>
    <n v="1074.1011839999999"/>
    <n v="0.4545279546749032"/>
    <n v="555.0676639999997"/>
    <n v="706.32592"/>
    <n v="6.3870885522588738E-2"/>
  </r>
  <r>
    <x v="464"/>
    <x v="378"/>
    <d v="2024-12-15T00:00:00"/>
    <s v="Q4-2024"/>
    <d v="2024-12-15T00:00:00"/>
    <n v="23"/>
    <x v="0"/>
    <x v="0"/>
    <x v="0"/>
    <x v="13"/>
    <s v="Non-Profit"/>
    <x v="3"/>
    <x v="0"/>
    <x v="0"/>
    <s v="High"/>
    <x v="463"/>
    <n v="1335.76"/>
    <n v="2665.91"/>
    <n v="2665.91"/>
    <n v="0.21099999999999999"/>
    <n v="0.21099999999999999"/>
    <x v="1"/>
    <n v="40"/>
    <n v="84136.119600000005"/>
    <n v="53430.400000000001"/>
    <n v="30705.719600000004"/>
    <n v="0.36495288522909253"/>
    <n v="0.17"/>
    <n v="2212.7052999999996"/>
    <n v="1335.76"/>
    <n v="46.8"/>
    <n v="103554.60803999998"/>
    <n v="62513.567999999999"/>
    <n v="41041.040039999978"/>
    <n v="0.39632268246476371"/>
    <n v="19418.488439999972"/>
    <n v="30705.719600000004"/>
    <n v="3.1369797235671182E-2"/>
  </r>
  <r>
    <x v="465"/>
    <x v="303"/>
    <d v="2024-06-28T00:00:00"/>
    <s v="Q2-2024"/>
    <d v="2024-06-28T00:00:00"/>
    <n v="5"/>
    <x v="1"/>
    <x v="0"/>
    <x v="1"/>
    <x v="1"/>
    <s v="Non-Profit"/>
    <x v="4"/>
    <x v="12"/>
    <x v="6"/>
    <s v="Low"/>
    <x v="464"/>
    <n v="242.31"/>
    <n v="587.95000000000005"/>
    <n v="587.95000000000005"/>
    <n v="0.22900000000000001"/>
    <n v="0.22900000000000001"/>
    <x v="1"/>
    <n v="6"/>
    <n v="2719.8567000000003"/>
    <n v="1453.8600000000001"/>
    <n v="1265.9967000000001"/>
    <n v="0.46546448568411714"/>
    <n v="0.17"/>
    <n v="487.99850000000004"/>
    <n v="242.31"/>
    <n v="7.02"/>
    <n v="3425.7494700000002"/>
    <n v="1701.0162"/>
    <n v="1724.7332700000002"/>
    <n v="0.50346158850898104"/>
    <n v="705.89276999999993"/>
    <n v="1265.9967000000001"/>
    <n v="3.7997102824863904E-2"/>
  </r>
  <r>
    <x v="466"/>
    <x v="379"/>
    <d v="2024-01-14T00:00:00"/>
    <s v="Q4-2023"/>
    <d v="2024-01-14T00:00:00"/>
    <n v="27"/>
    <x v="0"/>
    <x v="1"/>
    <x v="4"/>
    <x v="29"/>
    <s v="Consumer"/>
    <x v="3"/>
    <x v="14"/>
    <x v="2"/>
    <s v="Medium"/>
    <x v="465"/>
    <n v="1408.3"/>
    <n v="2193.13"/>
    <n v="2193.13"/>
    <n v="7.0999999999999994E-2"/>
    <n v="7.0999999999999994E-2"/>
    <x v="0"/>
    <n v="7"/>
    <n v="14261.92439"/>
    <n v="9858.1"/>
    <n v="4403.8243899999998"/>
    <n v="0.30878191957656281"/>
    <n v="7.0999999999999994E-2"/>
    <n v="2037.4177700000002"/>
    <n v="1408.3"/>
    <n v="8.19"/>
    <n v="16686.451536300003"/>
    <n v="11533.976999999999"/>
    <n v="5152.4745363000038"/>
    <n v="0.30878191957656304"/>
    <n v="2424.5271463000026"/>
    <n v="4403.8243899999998"/>
    <n v="0"/>
  </r>
  <r>
    <x v="467"/>
    <x v="261"/>
    <d v="2025-06-05T00:00:00"/>
    <s v="Q2-2025"/>
    <d v="2025-06-05T00:00:00"/>
    <n v="4"/>
    <x v="1"/>
    <x v="3"/>
    <x v="6"/>
    <x v="22"/>
    <s v="Enterprise"/>
    <x v="4"/>
    <x v="12"/>
    <x v="0"/>
    <s v="High"/>
    <x v="466"/>
    <n v="1171.42"/>
    <n v="2187.8000000000002"/>
    <n v="2187.8000000000002"/>
    <n v="0.23"/>
    <n v="0.23"/>
    <x v="1"/>
    <n v="15"/>
    <n v="25269.09"/>
    <n v="17571.300000000003"/>
    <n v="7697.7899999999972"/>
    <n v="0.30463265594447592"/>
    <n v="0.17"/>
    <n v="1815.874"/>
    <n v="1171.42"/>
    <n v="17.549999999999997"/>
    <n v="31868.588699999997"/>
    <n v="20558.420999999998"/>
    <n v="11310.167699999998"/>
    <n v="0.35490017479186331"/>
    <n v="6599.4986999999965"/>
    <n v="7697.7899999999972"/>
    <n v="5.0267518847387394E-2"/>
  </r>
  <r>
    <x v="468"/>
    <x v="380"/>
    <d v="2025-04-02T00:00:00"/>
    <s v="Q1-2025"/>
    <d v="2025-04-02T00:00:00"/>
    <n v="10"/>
    <x v="0"/>
    <x v="3"/>
    <x v="6"/>
    <x v="9"/>
    <s v="Enterprise"/>
    <x v="1"/>
    <x v="6"/>
    <x v="1"/>
    <s v="Medium"/>
    <x v="467"/>
    <n v="663.61"/>
    <n v="1002.11"/>
    <n v="1002.11"/>
    <n v="4.5999999999999999E-2"/>
    <n v="4.5999999999999999E-2"/>
    <x v="0"/>
    <n v="17"/>
    <n v="16252.219979999998"/>
    <n v="11281.37"/>
    <n v="4970.8499799999972"/>
    <n v="0.30585667595670812"/>
    <n v="4.5999999999999999E-2"/>
    <n v="956.01293999999996"/>
    <n v="663.61"/>
    <n v="19.89"/>
    <n v="19015.097376599999"/>
    <n v="13199.2029"/>
    <n v="5815.8944765999986"/>
    <n v="0.30585667595670823"/>
    <n v="2762.8773966000008"/>
    <n v="4970.8499799999972"/>
    <n v="0"/>
  </r>
  <r>
    <x v="469"/>
    <x v="381"/>
    <d v="2023-05-22T00:00:00"/>
    <s v="Q2-2023"/>
    <d v="2023-05-22T00:00:00"/>
    <n v="8"/>
    <x v="0"/>
    <x v="0"/>
    <x v="0"/>
    <x v="13"/>
    <s v="Small Business"/>
    <x v="3"/>
    <x v="9"/>
    <x v="1"/>
    <s v="Low"/>
    <x v="468"/>
    <n v="432.01"/>
    <n v="913.78"/>
    <n v="913.78"/>
    <n v="4.9000000000000002E-2"/>
    <n v="4.9000000000000002E-2"/>
    <x v="0"/>
    <n v="12"/>
    <n v="10428.057360000001"/>
    <n v="5184.12"/>
    <n v="5243.9373600000008"/>
    <n v="0.50286809699711899"/>
    <n v="4.9000000000000002E-2"/>
    <n v="869.00477999999998"/>
    <n v="432.01"/>
    <n v="14.04"/>
    <n v="12200.827111199998"/>
    <n v="6065.4203999999991"/>
    <n v="6135.4067111999993"/>
    <n v="0.50286809699711899"/>
    <n v="1772.7697511999977"/>
    <n v="5243.9373600000008"/>
    <n v="0"/>
  </r>
  <r>
    <x v="470"/>
    <x v="344"/>
    <d v="2023-09-19T00:00:00"/>
    <s v="Q3-2023"/>
    <d v="2023-09-19T00:00:00"/>
    <n v="21"/>
    <x v="0"/>
    <x v="3"/>
    <x v="7"/>
    <x v="17"/>
    <s v="Small Business"/>
    <x v="4"/>
    <x v="5"/>
    <x v="1"/>
    <s v="High"/>
    <x v="469"/>
    <n v="784.46"/>
    <n v="1843.51"/>
    <n v="1843.51"/>
    <n v="0.13800000000000001"/>
    <n v="0.13800000000000001"/>
    <x v="0"/>
    <n v="23"/>
    <n v="36549.429260000004"/>
    <n v="18042.580000000002"/>
    <n v="18506.849260000003"/>
    <n v="0.50635125184441798"/>
    <n v="0.13800000000000001"/>
    <n v="1589.10562"/>
    <n v="784.46"/>
    <n v="26.909999999999997"/>
    <n v="42762.832234199996"/>
    <n v="21109.818599999999"/>
    <n v="21653.013634199997"/>
    <n v="0.50635125184441798"/>
    <n v="6213.4029741999911"/>
    <n v="18506.849260000003"/>
    <n v="0"/>
  </r>
  <r>
    <x v="471"/>
    <x v="349"/>
    <d v="2025-07-23T00:00:00"/>
    <s v="Q3-2025"/>
    <d v="2025-07-23T00:00:00"/>
    <n v="20"/>
    <x v="0"/>
    <x v="1"/>
    <x v="9"/>
    <x v="38"/>
    <s v="Small Business"/>
    <x v="1"/>
    <x v="12"/>
    <x v="0"/>
    <s v="Medium"/>
    <x v="470"/>
    <n v="647.36"/>
    <n v="1383.6"/>
    <n v="1383.6"/>
    <n v="7.3999999999999996E-2"/>
    <n v="7.3999999999999996E-2"/>
    <x v="0"/>
    <n v="12"/>
    <n v="15374.563199999999"/>
    <n v="7768.32"/>
    <n v="7606.243199999999"/>
    <n v="0.49472906000997802"/>
    <n v="7.3999999999999996E-2"/>
    <n v="1281.2136"/>
    <n v="647.36"/>
    <n v="14.04"/>
    <n v="17988.238944000001"/>
    <n v="9088.9344000000001"/>
    <n v="8899.3045440000005"/>
    <n v="0.49472906000997807"/>
    <n v="2613.6757440000019"/>
    <n v="7606.243199999999"/>
    <n v="0"/>
  </r>
  <r>
    <x v="472"/>
    <x v="382"/>
    <d v="2024-02-28T00:00:00"/>
    <s v="Q1-2024"/>
    <d v="2024-02-28T00:00:00"/>
    <n v="22"/>
    <x v="0"/>
    <x v="0"/>
    <x v="0"/>
    <x v="0"/>
    <s v="Non-Profit"/>
    <x v="1"/>
    <x v="11"/>
    <x v="5"/>
    <s v="High"/>
    <x v="471"/>
    <n v="834.93"/>
    <n v="1588.53"/>
    <n v="1588.53"/>
    <n v="0.126"/>
    <n v="0.126"/>
    <x v="0"/>
    <n v="6"/>
    <n v="8330.2513199999994"/>
    <n v="5009.58"/>
    <n v="3320.6713199999995"/>
    <n v="0.39862798761274343"/>
    <n v="0.126"/>
    <n v="1388.3752199999999"/>
    <n v="834.93"/>
    <n v="7.02"/>
    <n v="9746.3940443999982"/>
    <n v="5861.208599999999"/>
    <n v="3885.1854443999991"/>
    <n v="0.39862798761274348"/>
    <n v="1416.1427243999988"/>
    <n v="3320.6713199999995"/>
    <n v="0"/>
  </r>
  <r>
    <x v="473"/>
    <x v="383"/>
    <d v="2025-09-03T00:00:00"/>
    <s v="Q3-2025"/>
    <d v="2025-09-03T00:00:00"/>
    <n v="21"/>
    <x v="0"/>
    <x v="3"/>
    <x v="7"/>
    <x v="28"/>
    <s v="Education"/>
    <x v="0"/>
    <x v="2"/>
    <x v="3"/>
    <s v="Medium"/>
    <x v="472"/>
    <n v="603.47"/>
    <n v="1344.05"/>
    <n v="1344.05"/>
    <n v="0.20499999999999999"/>
    <n v="0.20499999999999999"/>
    <x v="1"/>
    <n v="18"/>
    <n v="19233.355499999998"/>
    <n v="10862.460000000001"/>
    <n v="8370.8954999999969"/>
    <n v="0.43522803392262976"/>
    <n v="0.17"/>
    <n v="1115.5614999999998"/>
    <n v="603.47"/>
    <n v="21.06"/>
    <n v="23493.725189999994"/>
    <n v="12709.0782"/>
    <n v="10784.646989999994"/>
    <n v="0.45904371923914533"/>
    <n v="4260.3696899999959"/>
    <n v="8370.8954999999969"/>
    <n v="2.3815685316515567E-2"/>
  </r>
  <r>
    <x v="474"/>
    <x v="206"/>
    <d v="2023-05-25T00:00:00"/>
    <s v="Q2-2023"/>
    <d v="2023-05-25T00:00:00"/>
    <n v="2"/>
    <x v="1"/>
    <x v="2"/>
    <x v="5"/>
    <x v="30"/>
    <s v="Enterprise"/>
    <x v="0"/>
    <x v="12"/>
    <x v="1"/>
    <s v="Medium"/>
    <x v="473"/>
    <n v="690.49"/>
    <n v="1290.29"/>
    <n v="1290.29"/>
    <n v="4.2000000000000003E-2"/>
    <n v="4.2000000000000003E-2"/>
    <x v="0"/>
    <n v="22"/>
    <n v="27194.152039999997"/>
    <n v="15190.78"/>
    <n v="12003.372039999997"/>
    <n v="0.44139534199647718"/>
    <n v="4.2000000000000003E-2"/>
    <n v="1236.09782"/>
    <n v="690.49"/>
    <n v="25.74"/>
    <n v="31817.157886799996"/>
    <n v="17773.212599999999"/>
    <n v="14043.945286799997"/>
    <n v="0.44139534199647723"/>
    <n v="4623.0058467999988"/>
    <n v="12003.372039999997"/>
    <n v="0"/>
  </r>
  <r>
    <x v="475"/>
    <x v="384"/>
    <d v="2024-05-16T00:00:00"/>
    <s v="Q2-2024"/>
    <d v="2024-05-16T00:00:00"/>
    <n v="6"/>
    <x v="1"/>
    <x v="3"/>
    <x v="8"/>
    <x v="12"/>
    <s v="Non-Profit"/>
    <x v="4"/>
    <x v="3"/>
    <x v="4"/>
    <s v="Low"/>
    <x v="474"/>
    <n v="210.76"/>
    <n v="221.58"/>
    <n v="221.58"/>
    <n v="8.8999999999999996E-2"/>
    <n v="8.8999999999999996E-2"/>
    <x v="0"/>
    <n v="5"/>
    <n v="1009.2969000000002"/>
    <n v="1053.8"/>
    <n v="-44.50309999999979"/>
    <n v="-4.4093170205912434E-2"/>
    <n v="8.8999999999999996E-2"/>
    <n v="201.85938000000002"/>
    <n v="210.76"/>
    <n v="5.85"/>
    <n v="1180.877373"/>
    <n v="1232.9459999999999"/>
    <n v="-52.068626999999879"/>
    <n v="-4.4093170205912545E-2"/>
    <n v="171.58047299999987"/>
    <n v="-44.50309999999979"/>
    <n v="-1.1102230246251565E-16"/>
  </r>
  <r>
    <x v="476"/>
    <x v="210"/>
    <d v="2023-03-18T00:00:00"/>
    <s v="Q1-2023"/>
    <d v="2023-03-18T00:00:00"/>
    <n v="4"/>
    <x v="1"/>
    <x v="3"/>
    <x v="6"/>
    <x v="37"/>
    <s v="Enterprise"/>
    <x v="4"/>
    <x v="8"/>
    <x v="0"/>
    <s v="Low"/>
    <x v="475"/>
    <n v="472.33"/>
    <n v="360.34"/>
    <n v="360.34"/>
    <n v="0.16500000000000001"/>
    <n v="0.16500000000000001"/>
    <x v="0"/>
    <n v="14"/>
    <n v="4212.3745999999992"/>
    <n v="6612.62"/>
    <n v="-2400.2454000000007"/>
    <n v="-0.56980815523861561"/>
    <n v="0.16500000000000001"/>
    <n v="300.88389999999998"/>
    <n v="472.33"/>
    <n v="16.38"/>
    <n v="4928.4782819999991"/>
    <n v="7736.7653999999993"/>
    <n v="-2808.2871180000002"/>
    <n v="-0.56980815523861539"/>
    <n v="716.10368199999994"/>
    <n v="-2400.2454000000007"/>
    <n v="0"/>
  </r>
  <r>
    <x v="477"/>
    <x v="385"/>
    <d v="2023-08-13T00:00:00"/>
    <s v="Q3-2023"/>
    <d v="2023-08-13T00:00:00"/>
    <n v="28"/>
    <x v="0"/>
    <x v="3"/>
    <x v="8"/>
    <x v="31"/>
    <s v="Non-Profit"/>
    <x v="1"/>
    <x v="1"/>
    <x v="4"/>
    <s v="High"/>
    <x v="476"/>
    <n v="1039.03"/>
    <n v="2545.81"/>
    <n v="2545.81"/>
    <n v="0.216"/>
    <n v="0.216"/>
    <x v="1"/>
    <n v="21"/>
    <n v="41914.215840000004"/>
    <n v="21819.63"/>
    <n v="20094.585840000003"/>
    <n v="0.47942172929364774"/>
    <n v="0.17"/>
    <n v="2113.0222999999996"/>
    <n v="1039.03"/>
    <n v="24.57"/>
    <n v="51916.95791099999"/>
    <n v="25528.967099999998"/>
    <n v="26387.990810999992"/>
    <n v="0.50827305514002374"/>
    <n v="10002.742070999986"/>
    <n v="20094.585840000003"/>
    <n v="2.8851325846376008E-2"/>
  </r>
  <r>
    <x v="478"/>
    <x v="386"/>
    <d v="2023-04-19T00:00:00"/>
    <s v="Q2-2023"/>
    <d v="2023-04-19T00:00:00"/>
    <n v="3"/>
    <x v="1"/>
    <x v="3"/>
    <x v="6"/>
    <x v="22"/>
    <s v="Corporate"/>
    <x v="4"/>
    <x v="5"/>
    <x v="6"/>
    <s v="Low"/>
    <x v="477"/>
    <n v="553.61"/>
    <n v="699.47"/>
    <n v="699.47"/>
    <n v="0.02"/>
    <n v="0.02"/>
    <x v="0"/>
    <n v="33"/>
    <n v="22620.859800000002"/>
    <n v="18269.13"/>
    <n v="4351.729800000001"/>
    <n v="0.19237685209472014"/>
    <n v="0.02"/>
    <n v="685.48059999999998"/>
    <n v="553.61"/>
    <n v="38.61"/>
    <n v="26466.405965999998"/>
    <n v="21374.882099999999"/>
    <n v="5091.5238659999995"/>
    <n v="0.19237685209472011"/>
    <n v="3845.5461659999964"/>
    <n v="4351.729800000001"/>
    <n v="0"/>
  </r>
  <r>
    <x v="479"/>
    <x v="278"/>
    <d v="2024-01-15T00:00:00"/>
    <s v="Q1-2024"/>
    <d v="2024-01-15T00:00:00"/>
    <n v="13"/>
    <x v="0"/>
    <x v="1"/>
    <x v="2"/>
    <x v="32"/>
    <s v="Small Business"/>
    <x v="2"/>
    <x v="3"/>
    <x v="2"/>
    <s v="High"/>
    <x v="478"/>
    <n v="1219.06"/>
    <n v="2738.69"/>
    <n v="2738.69"/>
    <n v="7.5999999999999998E-2"/>
    <n v="7.5999999999999998E-2"/>
    <x v="0"/>
    <n v="16"/>
    <n v="40488.792960000006"/>
    <n v="19504.96"/>
    <n v="20983.832960000007"/>
    <n v="0.51826274447673737"/>
    <n v="7.5999999999999998E-2"/>
    <n v="2530.5495600000004"/>
    <n v="1219.06"/>
    <n v="18.72"/>
    <n v="47371.887763200008"/>
    <n v="22820.803199999998"/>
    <n v="24551.084563200009"/>
    <n v="0.51826274447673737"/>
    <n v="6883.0948032000015"/>
    <n v="20983.832960000007"/>
    <n v="0"/>
  </r>
  <r>
    <x v="480"/>
    <x v="208"/>
    <d v="2024-09-07T00:00:00"/>
    <s v="Q3-2024"/>
    <d v="2024-09-07T00:00:00"/>
    <n v="4"/>
    <x v="1"/>
    <x v="1"/>
    <x v="2"/>
    <x v="27"/>
    <s v="Small Business"/>
    <x v="3"/>
    <x v="13"/>
    <x v="1"/>
    <s v="Low"/>
    <x v="479"/>
    <n v="43.23"/>
    <n v="94.78"/>
    <n v="94.78"/>
    <n v="9.0999999999999998E-2"/>
    <n v="9.0999999999999998E-2"/>
    <x v="0"/>
    <n v="55"/>
    <n v="4738.5261"/>
    <n v="2377.6499999999996"/>
    <n v="2360.8761000000004"/>
    <n v="0.49823005090127082"/>
    <n v="9.0999999999999998E-2"/>
    <n v="86.155020000000007"/>
    <n v="43.23"/>
    <n v="64.349999999999994"/>
    <n v="5544.0755369999997"/>
    <n v="2781.8504999999996"/>
    <n v="2762.2250370000002"/>
    <n v="0.49823005090127082"/>
    <n v="805.54943699999967"/>
    <n v="2360.8761000000004"/>
    <n v="0"/>
  </r>
  <r>
    <x v="481"/>
    <x v="387"/>
    <d v="2025-09-03T00:00:00"/>
    <s v="Q3-2025"/>
    <d v="2025-09-03T00:00:00"/>
    <n v="4"/>
    <x v="1"/>
    <x v="3"/>
    <x v="7"/>
    <x v="11"/>
    <s v="Small Business"/>
    <x v="2"/>
    <x v="1"/>
    <x v="4"/>
    <s v="High"/>
    <x v="480"/>
    <n v="1286.56"/>
    <n v="2777.35"/>
    <n v="2777.35"/>
    <n v="0.13200000000000001"/>
    <n v="0.13200000000000001"/>
    <x v="0"/>
    <n v="15"/>
    <n v="36161.097000000002"/>
    <n v="19298.399999999998"/>
    <n v="16862.697000000004"/>
    <n v="0.46632150014696744"/>
    <n v="0.13200000000000001"/>
    <n v="2410.7397999999998"/>
    <n v="1286.56"/>
    <n v="17.549999999999997"/>
    <n v="42308.483489999991"/>
    <n v="22579.127999999997"/>
    <n v="19729.355489999994"/>
    <n v="0.46632150014696727"/>
    <n v="6147.3864899999899"/>
    <n v="16862.697000000004"/>
    <n v="0"/>
  </r>
  <r>
    <x v="482"/>
    <x v="86"/>
    <d v="2025-05-19T00:00:00"/>
    <s v="Q2-2025"/>
    <d v="2025-05-19T00:00:00"/>
    <n v="21"/>
    <x v="0"/>
    <x v="3"/>
    <x v="6"/>
    <x v="9"/>
    <s v="Corporate"/>
    <x v="3"/>
    <x v="5"/>
    <x v="3"/>
    <s v="Low"/>
    <x v="481"/>
    <n v="350.76"/>
    <n v="492.18"/>
    <n v="492.18"/>
    <n v="5.2999999999999999E-2"/>
    <n v="5.2999999999999999E-2"/>
    <x v="0"/>
    <n v="11"/>
    <n v="5127.0390600000001"/>
    <n v="3858.3599999999997"/>
    <n v="1268.6790600000004"/>
    <n v="0.24744868239798437"/>
    <n v="5.2999999999999999E-2"/>
    <n v="466.09445999999997"/>
    <n v="350.76"/>
    <n v="12.87"/>
    <n v="5998.6357001999995"/>
    <n v="4514.2811999999994"/>
    <n v="1484.3545002000001"/>
    <n v="0.24744868239798434"/>
    <n v="871.59664019999946"/>
    <n v="1268.6790600000004"/>
    <n v="0"/>
  </r>
  <r>
    <x v="483"/>
    <x v="388"/>
    <d v="2023-08-15T00:00:00"/>
    <s v="Q3-2023"/>
    <d v="2023-08-15T00:00:00"/>
    <n v="5"/>
    <x v="1"/>
    <x v="2"/>
    <x v="5"/>
    <x v="8"/>
    <s v="Education"/>
    <x v="4"/>
    <x v="3"/>
    <x v="2"/>
    <s v="Medium"/>
    <x v="482"/>
    <n v="1307.52"/>
    <n v="1921.65"/>
    <n v="1921.65"/>
    <n v="0.123"/>
    <n v="0.123"/>
    <x v="0"/>
    <n v="13"/>
    <n v="21908.731650000002"/>
    <n v="16997.759999999998"/>
    <n v="4910.9716500000031"/>
    <n v="0.22415590863289445"/>
    <n v="0.123"/>
    <n v="1685.2870500000001"/>
    <n v="1307.52"/>
    <n v="15.209999999999999"/>
    <n v="25633.2160305"/>
    <n v="19887.379199999999"/>
    <n v="5745.8368305000004"/>
    <n v="0.22415590863289434"/>
    <n v="3724.4843804999982"/>
    <n v="4910.9716500000031"/>
    <n v="0"/>
  </r>
  <r>
    <x v="484"/>
    <x v="389"/>
    <d v="2024-12-08T00:00:00"/>
    <s v="Q4-2024"/>
    <d v="2024-12-08T00:00:00"/>
    <n v="0"/>
    <x v="1"/>
    <x v="3"/>
    <x v="7"/>
    <x v="17"/>
    <s v="Enterprise"/>
    <x v="0"/>
    <x v="10"/>
    <x v="0"/>
    <s v="Low"/>
    <x v="483"/>
    <n v="257.44"/>
    <n v="290.33"/>
    <n v="290.33"/>
    <n v="9.1999999999999998E-2"/>
    <n v="9.1999999999999998E-2"/>
    <x v="0"/>
    <n v="23"/>
    <n v="6063.2517199999993"/>
    <n v="5921.12"/>
    <n v="142.1317199999994"/>
    <n v="2.3441500792581216E-2"/>
    <n v="9.1999999999999998E-2"/>
    <n v="263.61964"/>
    <n v="257.44"/>
    <n v="26.909999999999997"/>
    <n v="7094.0045123999989"/>
    <n v="6927.710399999999"/>
    <n v="166.2941123999999"/>
    <n v="2.34415007925813E-2"/>
    <n v="1030.7527923999996"/>
    <n v="142.1317199999994"/>
    <n v="8.3266726846886741E-17"/>
  </r>
  <r>
    <x v="485"/>
    <x v="390"/>
    <d v="2023-11-24T00:00:00"/>
    <s v="Q4-2023"/>
    <d v="2023-11-24T00:00:00"/>
    <n v="30"/>
    <x v="0"/>
    <x v="3"/>
    <x v="7"/>
    <x v="28"/>
    <s v="Enterprise"/>
    <x v="3"/>
    <x v="0"/>
    <x v="3"/>
    <s v="Low"/>
    <x v="484"/>
    <n v="287.85000000000002"/>
    <n v="602.91999999999996"/>
    <n v="602.91999999999996"/>
    <n v="0.222"/>
    <n v="0.222"/>
    <x v="1"/>
    <n v="11"/>
    <n v="5159.7893599999998"/>
    <n v="3166.3500000000004"/>
    <n v="1993.4393599999994"/>
    <n v="0.38634122847216373"/>
    <n v="0.17"/>
    <n v="500.42359999999996"/>
    <n v="287.85000000000002"/>
    <n v="12.87"/>
    <n v="6440.4517319999995"/>
    <n v="3704.6295"/>
    <n v="2735.8222319999995"/>
    <n v="0.4247873201823415"/>
    <n v="1280.6623719999998"/>
    <n v="1993.4393599999994"/>
    <n v="3.8446091710177765E-2"/>
  </r>
  <r>
    <x v="486"/>
    <x v="391"/>
    <d v="2024-11-28T00:00:00"/>
    <s v="Q4-2024"/>
    <d v="2024-11-28T00:00:00"/>
    <n v="11"/>
    <x v="0"/>
    <x v="2"/>
    <x v="3"/>
    <x v="35"/>
    <s v="Consumer"/>
    <x v="3"/>
    <x v="8"/>
    <x v="1"/>
    <s v="High"/>
    <x v="485"/>
    <n v="1008.16"/>
    <n v="2077.5"/>
    <n v="2077.5"/>
    <n v="7.3999999999999996E-2"/>
    <n v="7.3999999999999996E-2"/>
    <x v="0"/>
    <n v="15"/>
    <n v="28856.475000000002"/>
    <n v="15122.4"/>
    <n v="13734.075000000003"/>
    <n v="0.47594430712691005"/>
    <n v="7.3999999999999996E-2"/>
    <n v="1923.7650000000001"/>
    <n v="1008.16"/>
    <n v="17.549999999999997"/>
    <n v="33762.075749999996"/>
    <n v="17693.207999999995"/>
    <n v="16068.867750000001"/>
    <n v="0.4759443071269101"/>
    <n v="4905.6007499999942"/>
    <n v="13734.075000000003"/>
    <n v="0"/>
  </r>
  <r>
    <x v="487"/>
    <x v="392"/>
    <d v="2024-05-24T00:00:00"/>
    <s v="Q2-2024"/>
    <d v="2024-05-24T00:00:00"/>
    <n v="12"/>
    <x v="0"/>
    <x v="3"/>
    <x v="8"/>
    <x v="31"/>
    <s v="Education"/>
    <x v="2"/>
    <x v="11"/>
    <x v="1"/>
    <s v="Low"/>
    <x v="486"/>
    <n v="111.02"/>
    <n v="172.88"/>
    <n v="172.88"/>
    <n v="0.19700000000000001"/>
    <n v="0.19700000000000001"/>
    <x v="0"/>
    <n v="29"/>
    <n v="4025.8565599999993"/>
    <n v="3219.58"/>
    <n v="806.27655999999934"/>
    <n v="0.20027453735212053"/>
    <n v="0.17"/>
    <n v="143.49039999999999"/>
    <n v="111.02"/>
    <n v="33.93"/>
    <n v="4868.6292720000001"/>
    <n v="3766.9085999999998"/>
    <n v="1101.7206720000004"/>
    <n v="0.22628970300452164"/>
    <n v="842.77271200000087"/>
    <n v="806.27655999999934"/>
    <n v="2.6015165652401112E-2"/>
  </r>
  <r>
    <x v="488"/>
    <x v="393"/>
    <d v="2025-06-05T00:00:00"/>
    <s v="Q2-2025"/>
    <d v="2025-06-05T00:00:00"/>
    <n v="21"/>
    <x v="0"/>
    <x v="1"/>
    <x v="2"/>
    <x v="4"/>
    <s v="Enterprise"/>
    <x v="4"/>
    <x v="10"/>
    <x v="3"/>
    <s v="High"/>
    <x v="487"/>
    <n v="1466.5"/>
    <n v="2778.74"/>
    <n v="2778.74"/>
    <n v="0.13500000000000001"/>
    <n v="0.13500000000000001"/>
    <x v="0"/>
    <n v="4"/>
    <n v="9614.4403999999995"/>
    <n v="5866"/>
    <n v="3748.4403999999995"/>
    <n v="0.38987608680792279"/>
    <n v="0.13500000000000001"/>
    <n v="2403.6100999999999"/>
    <n v="1466.5"/>
    <n v="4.68"/>
    <n v="11248.895267999998"/>
    <n v="6863.2199999999993"/>
    <n v="4385.6752679999991"/>
    <n v="0.38987608680792279"/>
    <n v="1634.4548679999989"/>
    <n v="3748.4403999999995"/>
    <n v="0"/>
  </r>
  <r>
    <x v="489"/>
    <x v="394"/>
    <d v="2024-05-19T00:00:00"/>
    <s v="Q2-2024"/>
    <d v="2024-05-19T00:00:00"/>
    <n v="28"/>
    <x v="0"/>
    <x v="0"/>
    <x v="1"/>
    <x v="3"/>
    <s v="Corporate"/>
    <x v="3"/>
    <x v="8"/>
    <x v="6"/>
    <s v="Low"/>
    <x v="488"/>
    <n v="187.22"/>
    <n v="309.47000000000003"/>
    <n v="309.47000000000003"/>
    <n v="0"/>
    <n v="0"/>
    <x v="0"/>
    <n v="5"/>
    <n v="1547.3500000000001"/>
    <n v="936.1"/>
    <n v="611.25000000000011"/>
    <n v="0.39503021294471197"/>
    <n v="0"/>
    <n v="309.47000000000003"/>
    <n v="187.22"/>
    <n v="5.85"/>
    <n v="1810.3995"/>
    <n v="1095.2369999999999"/>
    <n v="715.16250000000014"/>
    <n v="0.39503021294471202"/>
    <n v="263.04949999999985"/>
    <n v="611.25000000000011"/>
    <n v="0"/>
  </r>
  <r>
    <x v="490"/>
    <x v="395"/>
    <d v="2024-09-07T00:00:00"/>
    <s v="Q3-2024"/>
    <d v="2024-09-07T00:00:00"/>
    <n v="19"/>
    <x v="0"/>
    <x v="3"/>
    <x v="7"/>
    <x v="17"/>
    <s v="Corporate"/>
    <x v="4"/>
    <x v="1"/>
    <x v="0"/>
    <s v="Low"/>
    <x v="489"/>
    <n v="297.58999999999997"/>
    <n v="666.41"/>
    <n v="666.41"/>
    <n v="0"/>
    <n v="0"/>
    <x v="0"/>
    <n v="10"/>
    <n v="6664.0999999999995"/>
    <n v="2975.8999999999996"/>
    <n v="3688.2"/>
    <n v="0.55344307558409989"/>
    <n v="0"/>
    <n v="666.41"/>
    <n v="297.58999999999997"/>
    <n v="11.7"/>
    <n v="7796.9969999999994"/>
    <n v="3481.8029999999994"/>
    <n v="4315.1939999999995"/>
    <n v="0.55344307558409989"/>
    <n v="1132.8969999999999"/>
    <n v="3688.2"/>
    <n v="0"/>
  </r>
  <r>
    <x v="491"/>
    <x v="318"/>
    <d v="2025-08-19T00:00:00"/>
    <s v="Q3-2025"/>
    <d v="2025-08-19T00:00:00"/>
    <n v="27"/>
    <x v="0"/>
    <x v="1"/>
    <x v="2"/>
    <x v="32"/>
    <s v="Consumer"/>
    <x v="2"/>
    <x v="5"/>
    <x v="6"/>
    <s v="Low"/>
    <x v="490"/>
    <n v="896.09"/>
    <n v="744.27"/>
    <n v="744.27"/>
    <n v="8.3000000000000004E-2"/>
    <n v="8.3000000000000004E-2"/>
    <x v="0"/>
    <n v="11"/>
    <n v="7507.4514899999995"/>
    <n v="9856.99"/>
    <n v="-2349.5385100000003"/>
    <n v="-0.31296086469950679"/>
    <n v="8.3000000000000004E-2"/>
    <n v="682.49558999999999"/>
    <n v="896.09"/>
    <n v="12.87"/>
    <n v="8783.7182432999998"/>
    <n v="11532.6783"/>
    <n v="-2748.9600566999998"/>
    <n v="-0.31296086469950668"/>
    <n v="1276.2667533000003"/>
    <n v="-2349.5385100000003"/>
    <n v="0"/>
  </r>
  <r>
    <x v="492"/>
    <x v="396"/>
    <d v="2024-02-29T00:00:00"/>
    <s v="Q1-2024"/>
    <d v="2024-03-20T00:00:00"/>
    <n v="19"/>
    <x v="0"/>
    <x v="2"/>
    <x v="5"/>
    <x v="8"/>
    <s v="Non-Profit"/>
    <x v="4"/>
    <x v="2"/>
    <x v="3"/>
    <s v="Low"/>
    <x v="491"/>
    <n v="5.34"/>
    <n v="12.69"/>
    <n v="12.69"/>
    <n v="0.13200000000000001"/>
    <n v="0.13200000000000001"/>
    <x v="0"/>
    <n v="10"/>
    <n v="110.14919999999999"/>
    <n v="53.4"/>
    <n v="56.749199999999995"/>
    <n v="0.51520301554618642"/>
    <n v="0.13200000000000001"/>
    <n v="11.01492"/>
    <n v="5.34"/>
    <n v="11.7"/>
    <n v="128.87456399999999"/>
    <n v="62.477999999999994"/>
    <n v="66.396563999999998"/>
    <n v="0.51520301554618642"/>
    <n v="18.725363999999999"/>
    <n v="56.749199999999995"/>
    <n v="0"/>
  </r>
  <r>
    <x v="493"/>
    <x v="397"/>
    <d v="2024-06-17T00:00:00"/>
    <s v="Q2-2024"/>
    <d v="2024-06-17T00:00:00"/>
    <n v="21"/>
    <x v="0"/>
    <x v="1"/>
    <x v="4"/>
    <x v="18"/>
    <s v="Small Business"/>
    <x v="1"/>
    <x v="10"/>
    <x v="6"/>
    <s v="Low"/>
    <x v="492"/>
    <n v="465.02"/>
    <n v="651.55999999999995"/>
    <n v="651.55999999999995"/>
    <n v="4.2000000000000003E-2"/>
    <n v="4.2000000000000003E-2"/>
    <x v="0"/>
    <n v="19"/>
    <n v="11859.695119999998"/>
    <n v="8835.3799999999992"/>
    <n v="3024.3151199999993"/>
    <n v="0.25500783025187918"/>
    <n v="4.2000000000000003E-2"/>
    <n v="624.19447999999988"/>
    <n v="465.02"/>
    <n v="22.229999999999997"/>
    <n v="13875.843290399995"/>
    <n v="10337.394599999998"/>
    <n v="3538.4486903999968"/>
    <n v="0.25500783025187906"/>
    <n v="2016.1481703999962"/>
    <n v="3024.3151199999993"/>
    <n v="0"/>
  </r>
  <r>
    <x v="494"/>
    <x v="398"/>
    <d v="2024-08-17T00:00:00"/>
    <s v="Q3-2024"/>
    <d v="2024-08-17T00:00:00"/>
    <n v="13"/>
    <x v="0"/>
    <x v="2"/>
    <x v="10"/>
    <x v="36"/>
    <s v="Consumer"/>
    <x v="0"/>
    <x v="14"/>
    <x v="5"/>
    <s v="Low"/>
    <x v="493"/>
    <n v="352.79"/>
    <n v="754.22"/>
    <n v="754.22"/>
    <n v="0.113"/>
    <n v="0.113"/>
    <x v="0"/>
    <n v="7"/>
    <n v="4682.9519799999998"/>
    <n v="2469.5300000000002"/>
    <n v="2213.4219799999996"/>
    <n v="0.47265528014233443"/>
    <n v="0.113"/>
    <n v="668.99314000000004"/>
    <n v="352.79"/>
    <n v="8.19"/>
    <n v="5479.0538165999997"/>
    <n v="2889.3501000000001"/>
    <n v="2589.7037165999996"/>
    <n v="0.47265528014233443"/>
    <n v="796.10183659999984"/>
    <n v="2213.4219799999996"/>
    <n v="0"/>
  </r>
  <r>
    <x v="495"/>
    <x v="263"/>
    <d v="2023-07-04T00:00:00"/>
    <s v="Q2-2023"/>
    <d v="2023-07-04T00:00:00"/>
    <n v="14"/>
    <x v="0"/>
    <x v="2"/>
    <x v="5"/>
    <x v="10"/>
    <s v="Non-Profit"/>
    <x v="4"/>
    <x v="0"/>
    <x v="2"/>
    <s v="High"/>
    <x v="494"/>
    <n v="1292.8599999999999"/>
    <n v="2981.01"/>
    <n v="2981.01"/>
    <n v="0.14199999999999999"/>
    <n v="0.14199999999999999"/>
    <x v="0"/>
    <n v="12"/>
    <n v="30692.47896"/>
    <n v="15514.32"/>
    <n v="15178.158960000001"/>
    <n v="0.49452372288927687"/>
    <n v="0.14199999999999999"/>
    <n v="2557.70658"/>
    <n v="1292.8599999999999"/>
    <n v="14.04"/>
    <n v="35910.200383199997"/>
    <n v="18151.754399999998"/>
    <n v="17758.445983199999"/>
    <n v="0.49452372288927687"/>
    <n v="5217.7214231999969"/>
    <n v="15178.158960000001"/>
    <n v="0"/>
  </r>
  <r>
    <x v="496"/>
    <x v="190"/>
    <d v="2024-09-13T00:00:00"/>
    <s v="Q3-2024"/>
    <d v="2024-09-13T00:00:00"/>
    <n v="4"/>
    <x v="1"/>
    <x v="3"/>
    <x v="8"/>
    <x v="21"/>
    <s v="Consumer"/>
    <x v="2"/>
    <x v="9"/>
    <x v="2"/>
    <s v="Medium"/>
    <x v="495"/>
    <n v="1133.08"/>
    <n v="976.17"/>
    <n v="976.17"/>
    <n v="4.2000000000000003E-2"/>
    <n v="4.2000000000000003E-2"/>
    <x v="0"/>
    <n v="27"/>
    <n v="25249.613219999999"/>
    <n v="30593.159999999996"/>
    <n v="-5343.5467799999969"/>
    <n v="-0.21162885678452373"/>
    <n v="4.2000000000000003E-2"/>
    <n v="935.17085999999995"/>
    <n v="1133.08"/>
    <n v="31.589999999999996"/>
    <n v="29542.047467399996"/>
    <n v="35793.997199999991"/>
    <n v="-6251.9497325999946"/>
    <n v="-0.2116288567845237"/>
    <n v="4292.4342473999968"/>
    <n v="-5343.5467799999969"/>
    <n v="0"/>
  </r>
  <r>
    <x v="497"/>
    <x v="390"/>
    <d v="2023-10-28T00:00:00"/>
    <s v="Q4-2023"/>
    <d v="2023-10-28T00:00:00"/>
    <n v="3"/>
    <x v="1"/>
    <x v="2"/>
    <x v="5"/>
    <x v="10"/>
    <s v="Corporate"/>
    <x v="3"/>
    <x v="4"/>
    <x v="6"/>
    <s v="Medium"/>
    <x v="496"/>
    <n v="509.31"/>
    <n v="1145.9000000000001"/>
    <n v="1145.9000000000001"/>
    <n v="5.7000000000000002E-2"/>
    <n v="5.7000000000000002E-2"/>
    <x v="0"/>
    <n v="8"/>
    <n v="8644.6696000000011"/>
    <n v="4074.48"/>
    <n v="4570.1896000000015"/>
    <n v="0.52867140231709964"/>
    <n v="5.7000000000000002E-2"/>
    <n v="1080.5837000000001"/>
    <n v="509.31"/>
    <n v="9.36"/>
    <n v="10114.263432000002"/>
    <n v="4767.1415999999999"/>
    <n v="5347.1218320000016"/>
    <n v="0.52867140231709964"/>
    <n v="1469.5938320000005"/>
    <n v="4570.1896000000015"/>
    <n v="0"/>
  </r>
  <r>
    <x v="498"/>
    <x v="17"/>
    <d v="2025-10-05T00:00:00"/>
    <s v="Q3-2025"/>
    <d v="2025-10-05T00:00:00"/>
    <n v="27"/>
    <x v="0"/>
    <x v="2"/>
    <x v="5"/>
    <x v="30"/>
    <s v="Education"/>
    <x v="1"/>
    <x v="0"/>
    <x v="5"/>
    <s v="High"/>
    <x v="497"/>
    <n v="660.78"/>
    <n v="1630.39"/>
    <n v="1630.39"/>
    <n v="0.218"/>
    <n v="0.218"/>
    <x v="1"/>
    <n v="13"/>
    <n v="16574.544740000001"/>
    <n v="8590.14"/>
    <n v="7984.4047400000018"/>
    <n v="0.48172694123724097"/>
    <n v="0.17"/>
    <n v="1353.2237"/>
    <n v="660.78"/>
    <n v="15.209999999999999"/>
    <n v="20582.532477000001"/>
    <n v="10050.4638"/>
    <n v="10532.068677000001"/>
    <n v="0.51169935909340047"/>
    <n v="4007.9877369999995"/>
    <n v="7984.4047400000018"/>
    <n v="2.9972417856159506E-2"/>
  </r>
  <r>
    <x v="499"/>
    <x v="129"/>
    <d v="2023-05-16T00:00:00"/>
    <s v="Q2-2023"/>
    <d v="2023-05-16T00:00:00"/>
    <n v="14"/>
    <x v="0"/>
    <x v="1"/>
    <x v="4"/>
    <x v="6"/>
    <s v="Non-Profit"/>
    <x v="0"/>
    <x v="4"/>
    <x v="5"/>
    <s v="Medium"/>
    <x v="498"/>
    <n v="475.37"/>
    <n v="963.73"/>
    <n v="963.73"/>
    <n v="4.1000000000000002E-2"/>
    <n v="4.1000000000000002E-2"/>
    <x v="0"/>
    <n v="22"/>
    <n v="20332.775539999999"/>
    <n v="10458.14"/>
    <n v="9874.6355399999993"/>
    <n v="0.48565113604750881"/>
    <n v="4.1000000000000002E-2"/>
    <n v="924.21707000000004"/>
    <n v="475.37"/>
    <n v="25.74"/>
    <n v="23789.347381799998"/>
    <n v="12236.023799999999"/>
    <n v="11553.323581799999"/>
    <n v="0.48565113604750887"/>
    <n v="3456.5718417999997"/>
    <n v="9874.6355399999993"/>
    <n v="0"/>
  </r>
  <r>
    <x v="500"/>
    <x v="399"/>
    <d v="2024-04-24T00:00:00"/>
    <s v="Q2-2024"/>
    <d v="2024-05-14T00:00:00"/>
    <n v="18"/>
    <x v="0"/>
    <x v="3"/>
    <x v="8"/>
    <x v="21"/>
    <s v="Non-Profit"/>
    <x v="3"/>
    <x v="13"/>
    <x v="3"/>
    <s v="Low"/>
    <x v="499"/>
    <n v="1232.77"/>
    <n v="891.73"/>
    <n v="891.73"/>
    <n v="0.16700000000000001"/>
    <n v="0.16700000000000001"/>
    <x v="0"/>
    <n v="10"/>
    <n v="7428.1108999999988"/>
    <n v="12327.7"/>
    <n v="-4899.589100000002"/>
    <n v="-0.65960096260813805"/>
    <n v="0.16700000000000001"/>
    <n v="742.81109000000004"/>
    <n v="1232.77"/>
    <n v="11.7"/>
    <n v="8690.8897529999995"/>
    <n v="14423.409"/>
    <n v="-5732.5192470000002"/>
    <n v="-0.65960096260813772"/>
    <n v="1262.7788530000007"/>
    <n v="-4899.589100000002"/>
    <n v="0"/>
  </r>
  <r>
    <x v="501"/>
    <x v="29"/>
    <d v="2023-03-18T00:00:00"/>
    <s v="Q1-2023"/>
    <d v="2023-03-18T00:00:00"/>
    <n v="23"/>
    <x v="0"/>
    <x v="1"/>
    <x v="9"/>
    <x v="38"/>
    <s v="Education"/>
    <x v="3"/>
    <x v="11"/>
    <x v="1"/>
    <s v="High"/>
    <x v="500"/>
    <n v="770.11"/>
    <n v="1667.82"/>
    <n v="1667.82"/>
    <n v="6.9000000000000006E-2"/>
    <n v="6.9000000000000006E-2"/>
    <x v="0"/>
    <n v="7"/>
    <n v="10869.182940000001"/>
    <n v="5390.77"/>
    <n v="5478.4129400000002"/>
    <n v="0.50403171703355287"/>
    <n v="6.9000000000000006E-2"/>
    <n v="1552.7404200000001"/>
    <n v="770.11"/>
    <n v="8.19"/>
    <n v="12716.944039800001"/>
    <n v="6307.2008999999998"/>
    <n v="6409.7431398000008"/>
    <n v="0.50403171703355287"/>
    <n v="1847.7610998"/>
    <n v="5478.4129400000002"/>
    <n v="0"/>
  </r>
  <r>
    <x v="502"/>
    <x v="400"/>
    <d v="2025-03-25T00:00:00"/>
    <s v="Q1-2025"/>
    <d v="2025-03-25T00:00:00"/>
    <n v="1"/>
    <x v="1"/>
    <x v="1"/>
    <x v="9"/>
    <x v="38"/>
    <s v="Non-Profit"/>
    <x v="1"/>
    <x v="3"/>
    <x v="2"/>
    <s v="Medium"/>
    <x v="501"/>
    <n v="1133.03"/>
    <n v="1921.51"/>
    <n v="1921.51"/>
    <n v="0.10100000000000001"/>
    <n v="0.10100000000000001"/>
    <x v="0"/>
    <n v="5"/>
    <n v="8637.1874499999994"/>
    <n v="5665.15"/>
    <n v="2972.0374499999998"/>
    <n v="0.3440978289755654"/>
    <n v="0.10100000000000001"/>
    <n v="1727.43749"/>
    <n v="1133.03"/>
    <n v="5.85"/>
    <n v="10105.5093165"/>
    <n v="6628.2254999999996"/>
    <n v="3477.2838165000003"/>
    <n v="0.34409782897556546"/>
    <n v="1468.3218665000004"/>
    <n v="2972.0374499999998"/>
    <n v="0"/>
  </r>
  <r>
    <x v="503"/>
    <x v="401"/>
    <d v="2025-03-27T00:00:00"/>
    <s v="Q1-2025"/>
    <d v="2025-03-27T00:00:00"/>
    <n v="17"/>
    <x v="0"/>
    <x v="2"/>
    <x v="5"/>
    <x v="30"/>
    <s v="Enterprise"/>
    <x v="4"/>
    <x v="9"/>
    <x v="2"/>
    <s v="Medium"/>
    <x v="502"/>
    <n v="996.73"/>
    <n v="1217.43"/>
    <n v="1217.43"/>
    <n v="7.0000000000000007E-2"/>
    <n v="7.0000000000000007E-2"/>
    <x v="0"/>
    <n v="9"/>
    <n v="10189.8891"/>
    <n v="8970.57"/>
    <n v="1219.3191000000006"/>
    <n v="0.11965970267527255"/>
    <n v="7.0000000000000007E-2"/>
    <n v="1132.2099000000001"/>
    <n v="996.73"/>
    <n v="10.53"/>
    <n v="11922.170247"/>
    <n v="10495.5669"/>
    <n v="1426.6033470000002"/>
    <n v="0.11965970267527251"/>
    <n v="1732.2811469999997"/>
    <n v="1219.3191000000006"/>
    <n v="0"/>
  </r>
  <r>
    <x v="504"/>
    <x v="402"/>
    <d v="2024-04-09T00:00:00"/>
    <s v="Q2-2024"/>
    <d v="2024-04-09T00:00:00"/>
    <n v="4"/>
    <x v="1"/>
    <x v="0"/>
    <x v="1"/>
    <x v="3"/>
    <s v="Non-Profit"/>
    <x v="4"/>
    <x v="11"/>
    <x v="0"/>
    <s v="Medium"/>
    <x v="503"/>
    <n v="395.07"/>
    <n v="970.27"/>
    <n v="970.27"/>
    <n v="0.123"/>
    <n v="0.123"/>
    <x v="0"/>
    <n v="38"/>
    <n v="32335.21802"/>
    <n v="15012.66"/>
    <n v="17322.55802"/>
    <n v="0.53571799049833657"/>
    <n v="0.123"/>
    <n v="850.92678999999998"/>
    <n v="395.07"/>
    <n v="44.459999999999994"/>
    <n v="37832.205083399997"/>
    <n v="17564.812199999997"/>
    <n v="20267.3928834"/>
    <n v="0.53571799049833657"/>
    <n v="5496.9870633999963"/>
    <n v="17322.55802"/>
    <n v="0"/>
  </r>
  <r>
    <x v="505"/>
    <x v="60"/>
    <d v="2025-05-17T00:00:00"/>
    <s v="Q2-2025"/>
    <d v="2025-05-17T00:00:00"/>
    <n v="20"/>
    <x v="0"/>
    <x v="2"/>
    <x v="10"/>
    <x v="36"/>
    <s v="Corporate"/>
    <x v="4"/>
    <x v="13"/>
    <x v="3"/>
    <s v="Medium"/>
    <x v="504"/>
    <n v="932.26"/>
    <n v="1624.67"/>
    <n v="1624.67"/>
    <n v="0.23499999999999999"/>
    <n v="0.23499999999999999"/>
    <x v="1"/>
    <n v="28"/>
    <n v="34800.431400000001"/>
    <n v="26103.279999999999"/>
    <n v="8697.1514000000025"/>
    <n v="0.24991504559337163"/>
    <n v="0.17"/>
    <n v="1348.4761000000001"/>
    <n v="932.26"/>
    <n v="32.76"/>
    <n v="44176.077036000002"/>
    <n v="30540.837599999999"/>
    <n v="13635.239436000003"/>
    <n v="0.30865663840834856"/>
    <n v="9375.6456360000011"/>
    <n v="8697.1514000000025"/>
    <n v="5.8741592814976928E-2"/>
  </r>
  <r>
    <x v="506"/>
    <x v="403"/>
    <d v="2024-10-28T00:00:00"/>
    <s v="Q4-2024"/>
    <d v="2024-10-28T00:00:00"/>
    <n v="4"/>
    <x v="1"/>
    <x v="1"/>
    <x v="9"/>
    <x v="23"/>
    <s v="Small Business"/>
    <x v="3"/>
    <x v="2"/>
    <x v="2"/>
    <s v="High"/>
    <x v="505"/>
    <n v="1331.77"/>
    <n v="2606.11"/>
    <n v="2606.11"/>
    <n v="0.02"/>
    <n v="0.02"/>
    <x v="0"/>
    <n v="6"/>
    <n v="15323.926799999999"/>
    <n v="7990.62"/>
    <n v="7333.3067999999994"/>
    <n v="0.47855271665745619"/>
    <n v="0.02"/>
    <n v="2553.9877999999999"/>
    <n v="1331.77"/>
    <n v="7.02"/>
    <n v="17928.994355999999"/>
    <n v="9349.0253999999986"/>
    <n v="8579.9689560000006"/>
    <n v="0.4785527166574563"/>
    <n v="2605.067556"/>
    <n v="7333.3067999999994"/>
    <n v="0"/>
  </r>
  <r>
    <x v="507"/>
    <x v="289"/>
    <d v="2023-04-20T00:00:00"/>
    <s v="Q2-2023"/>
    <d v="2023-04-20T00:00:00"/>
    <n v="7"/>
    <x v="1"/>
    <x v="3"/>
    <x v="7"/>
    <x v="17"/>
    <s v="Small Business"/>
    <x v="1"/>
    <x v="8"/>
    <x v="4"/>
    <s v="Low"/>
    <x v="506"/>
    <n v="227.02"/>
    <n v="434.72"/>
    <n v="434.72"/>
    <n v="9.8000000000000004E-2"/>
    <n v="9.8000000000000004E-2"/>
    <x v="0"/>
    <n v="10"/>
    <n v="3921.1744000000008"/>
    <n v="2270.2000000000003"/>
    <n v="1650.9744000000005"/>
    <n v="0.42104079838938052"/>
    <n v="9.8000000000000004E-2"/>
    <n v="392.11744000000004"/>
    <n v="227.02"/>
    <n v="11.7"/>
    <n v="4587.7740480000002"/>
    <n v="2656.134"/>
    <n v="1931.6400480000002"/>
    <n v="0.42104079838938052"/>
    <n v="666.59964799999943"/>
    <n v="1650.9744000000005"/>
    <n v="0"/>
  </r>
  <r>
    <x v="508"/>
    <x v="404"/>
    <d v="2024-11-21T00:00:00"/>
    <s v="Q4-2024"/>
    <d v="2024-11-21T00:00:00"/>
    <n v="9"/>
    <x v="0"/>
    <x v="1"/>
    <x v="4"/>
    <x v="29"/>
    <s v="Corporate"/>
    <x v="4"/>
    <x v="10"/>
    <x v="4"/>
    <s v="Medium"/>
    <x v="507"/>
    <n v="903.41"/>
    <n v="1860.41"/>
    <n v="1860.41"/>
    <n v="0.108"/>
    <n v="0.108"/>
    <x v="0"/>
    <n v="5"/>
    <n v="8297.4286000000011"/>
    <n v="4517.05"/>
    <n v="3780.3786000000009"/>
    <n v="0.455608451996803"/>
    <n v="0.108"/>
    <n v="1659.4857200000001"/>
    <n v="903.41"/>
    <n v="5.85"/>
    <n v="9707.991462"/>
    <n v="5284.9484999999995"/>
    <n v="4423.0429620000004"/>
    <n v="0.455608451996803"/>
    <n v="1410.5628619999989"/>
    <n v="3780.3786000000009"/>
    <n v="0"/>
  </r>
  <r>
    <x v="509"/>
    <x v="405"/>
    <d v="2023-05-14T00:00:00"/>
    <s v="Q2-2023"/>
    <d v="2023-05-14T00:00:00"/>
    <n v="4"/>
    <x v="1"/>
    <x v="1"/>
    <x v="4"/>
    <x v="18"/>
    <s v="Non-Profit"/>
    <x v="3"/>
    <x v="0"/>
    <x v="5"/>
    <s v="Low"/>
    <x v="508"/>
    <n v="622.6"/>
    <n v="833.69"/>
    <n v="833.69"/>
    <n v="0.20899999999999999"/>
    <n v="0.20899999999999999"/>
    <x v="1"/>
    <n v="14"/>
    <n v="9232.2830599999998"/>
    <n v="8716.4"/>
    <n v="515.88306000000011"/>
    <n v="5.5878167582959715E-2"/>
    <n v="0.17"/>
    <n v="691.96270000000004"/>
    <n v="622.6"/>
    <n v="16.38"/>
    <n v="11334.349026"/>
    <n v="10198.188"/>
    <n v="1136.1610259999998"/>
    <n v="0.10024051874472423"/>
    <n v="2102.0659660000001"/>
    <n v="515.88306000000011"/>
    <n v="4.4362351161764513E-2"/>
  </r>
  <r>
    <x v="510"/>
    <x v="262"/>
    <d v="2024-03-23T00:00:00"/>
    <s v="Q1-2024"/>
    <d v="2024-03-23T00:00:00"/>
    <n v="21"/>
    <x v="0"/>
    <x v="2"/>
    <x v="10"/>
    <x v="15"/>
    <s v="Small Business"/>
    <x v="1"/>
    <x v="9"/>
    <x v="0"/>
    <s v="Low"/>
    <x v="509"/>
    <n v="225.01"/>
    <n v="333.48"/>
    <n v="333.48"/>
    <n v="0.11899999999999999"/>
    <n v="0.11899999999999999"/>
    <x v="0"/>
    <n v="12"/>
    <n v="3525.5505600000001"/>
    <n v="2700.12"/>
    <n v="825.43056000000024"/>
    <n v="0.23412813004729685"/>
    <n v="0.11899999999999999"/>
    <n v="293.79588000000001"/>
    <n v="225.01"/>
    <n v="14.04"/>
    <n v="4124.8941551999997"/>
    <n v="3159.1403999999998"/>
    <n v="965.75375519999989"/>
    <n v="0.23412813004729677"/>
    <n v="599.34359519999953"/>
    <n v="825.43056000000024"/>
    <n v="0"/>
  </r>
  <r>
    <x v="511"/>
    <x v="406"/>
    <d v="2024-10-11T00:00:00"/>
    <s v="Q4-2024"/>
    <d v="2024-10-11T00:00:00"/>
    <n v="1"/>
    <x v="1"/>
    <x v="3"/>
    <x v="8"/>
    <x v="31"/>
    <s v="Non-Profit"/>
    <x v="3"/>
    <x v="4"/>
    <x v="0"/>
    <s v="High"/>
    <x v="510"/>
    <n v="1389.46"/>
    <n v="1784.7"/>
    <n v="1784.7"/>
    <n v="0.14599999999999999"/>
    <n v="0.14599999999999999"/>
    <x v="0"/>
    <n v="33"/>
    <n v="50296.415399999998"/>
    <n v="45852.18"/>
    <n v="4444.2353999999978"/>
    <n v="8.8360877503011831E-2"/>
    <n v="0.14599999999999999"/>
    <n v="1524.1338000000001"/>
    <n v="1389.46"/>
    <n v="38.61"/>
    <n v="58846.806018000003"/>
    <n v="53647.050600000002"/>
    <n v="5199.7554180000006"/>
    <n v="8.8360877503011886E-2"/>
    <n v="8550.3906180000049"/>
    <n v="4444.2353999999978"/>
    <n v="0"/>
  </r>
  <r>
    <x v="512"/>
    <x v="407"/>
    <d v="2023-06-08T00:00:00"/>
    <s v="Q2-2023"/>
    <d v="2023-06-08T00:00:00"/>
    <n v="7"/>
    <x v="1"/>
    <x v="3"/>
    <x v="6"/>
    <x v="37"/>
    <s v="Consumer"/>
    <x v="1"/>
    <x v="8"/>
    <x v="3"/>
    <s v="Medium"/>
    <x v="511"/>
    <n v="804.17"/>
    <n v="1072.29"/>
    <n v="1072.29"/>
    <n v="3.2000000000000001E-2"/>
    <n v="3.2000000000000001E-2"/>
    <x v="0"/>
    <n v="5"/>
    <n v="5189.8836000000001"/>
    <n v="4020.85"/>
    <n v="1169.0336000000002"/>
    <n v="0.2252523736755869"/>
    <n v="3.2000000000000001E-2"/>
    <n v="1037.9767199999999"/>
    <n v="804.17"/>
    <n v="5.85"/>
    <n v="6072.1638119999989"/>
    <n v="4704.3944999999994"/>
    <n v="1367.7693119999994"/>
    <n v="0.22525237367558681"/>
    <n v="882.28021199999876"/>
    <n v="1169.0336000000002"/>
    <n v="0"/>
  </r>
  <r>
    <x v="513"/>
    <x v="408"/>
    <d v="2025-01-05T00:00:00"/>
    <s v="Q1-2025"/>
    <d v="2025-01-05T00:00:00"/>
    <n v="1"/>
    <x v="1"/>
    <x v="1"/>
    <x v="4"/>
    <x v="18"/>
    <s v="Education"/>
    <x v="0"/>
    <x v="2"/>
    <x v="0"/>
    <s v="High"/>
    <x v="512"/>
    <n v="1428.33"/>
    <n v="3028.05"/>
    <n v="3028.05"/>
    <n v="0"/>
    <n v="0"/>
    <x v="0"/>
    <n v="11"/>
    <n v="33308.550000000003"/>
    <n v="15711.63"/>
    <n v="17596.920000000006"/>
    <n v="0.52830039134096207"/>
    <n v="0"/>
    <n v="3028.05"/>
    <n v="1428.33"/>
    <n v="12.87"/>
    <n v="38971.003499999999"/>
    <n v="18382.607099999997"/>
    <n v="20588.396400000001"/>
    <n v="0.52830039134096207"/>
    <n v="5662.453499999996"/>
    <n v="17596.920000000006"/>
    <n v="0"/>
  </r>
  <r>
    <x v="514"/>
    <x v="117"/>
    <d v="2025-08-28T00:00:00"/>
    <s v="Q3-2025"/>
    <d v="2025-08-28T00:00:00"/>
    <n v="23"/>
    <x v="0"/>
    <x v="1"/>
    <x v="4"/>
    <x v="29"/>
    <s v="Non-Profit"/>
    <x v="3"/>
    <x v="13"/>
    <x v="4"/>
    <s v="Low"/>
    <x v="513"/>
    <n v="638.54"/>
    <n v="987.24"/>
    <n v="987.24"/>
    <n v="0"/>
    <n v="0"/>
    <x v="0"/>
    <n v="11"/>
    <n v="10859.64"/>
    <n v="7023.94"/>
    <n v="3835.7"/>
    <n v="0.35320692030306716"/>
    <n v="0"/>
    <n v="987.24"/>
    <n v="638.54"/>
    <n v="12.87"/>
    <n v="12705.7788"/>
    <n v="8218.0097999999998"/>
    <n v="4487.7690000000002"/>
    <n v="0.35320692030306716"/>
    <n v="1846.1388000000006"/>
    <n v="3835.7"/>
    <n v="0"/>
  </r>
  <r>
    <x v="515"/>
    <x v="322"/>
    <d v="2023-10-30T00:00:00"/>
    <s v="Q3-2023"/>
    <d v="2023-10-30T00:00:00"/>
    <n v="30"/>
    <x v="0"/>
    <x v="1"/>
    <x v="2"/>
    <x v="27"/>
    <s v="Enterprise"/>
    <x v="1"/>
    <x v="14"/>
    <x v="1"/>
    <s v="Medium"/>
    <x v="514"/>
    <n v="649.13"/>
    <n v="975.43"/>
    <n v="975.43"/>
    <n v="0.157"/>
    <n v="0.157"/>
    <x v="0"/>
    <n v="27"/>
    <n v="22201.762229999997"/>
    <n v="17526.509999999998"/>
    <n v="4675.2522299999982"/>
    <n v="0.21058023149543473"/>
    <n v="0.157"/>
    <n v="822.28748999999993"/>
    <n v="649.13"/>
    <n v="31.589999999999996"/>
    <n v="25976.061809099996"/>
    <n v="20506.016699999996"/>
    <n v="5470.0451090999995"/>
    <n v="0.21058023149543478"/>
    <n v="3774.2995790999994"/>
    <n v="4675.2522299999982"/>
    <n v="0"/>
  </r>
  <r>
    <x v="516"/>
    <x v="252"/>
    <d v="2025-05-30T00:00:00"/>
    <s v="Q2-2025"/>
    <d v="2025-05-30T00:00:00"/>
    <n v="13"/>
    <x v="0"/>
    <x v="0"/>
    <x v="1"/>
    <x v="3"/>
    <s v="Consumer"/>
    <x v="3"/>
    <x v="9"/>
    <x v="6"/>
    <s v="Low"/>
    <x v="515"/>
    <n v="66.400000000000006"/>
    <n v="141.43"/>
    <n v="141.43"/>
    <n v="0.107"/>
    <n v="0.107"/>
    <x v="0"/>
    <n v="8"/>
    <n v="1010.3759200000001"/>
    <n v="531.20000000000005"/>
    <n v="479.17592000000002"/>
    <n v="0.47425508715607551"/>
    <n v="0.107"/>
    <n v="126.29699000000001"/>
    <n v="66.400000000000006"/>
    <n v="9.36"/>
    <n v="1182.1398263999999"/>
    <n v="621.50400000000002"/>
    <n v="560.63582639999993"/>
    <n v="0.47425508715607551"/>
    <n v="171.76390639999988"/>
    <n v="479.17592000000002"/>
    <n v="0"/>
  </r>
  <r>
    <x v="517"/>
    <x v="371"/>
    <d v="2024-05-26T00:00:00"/>
    <s v="Q2-2024"/>
    <d v="2024-05-26T00:00:00"/>
    <n v="25"/>
    <x v="0"/>
    <x v="3"/>
    <x v="6"/>
    <x v="9"/>
    <s v="Non-Profit"/>
    <x v="0"/>
    <x v="5"/>
    <x v="2"/>
    <s v="Medium"/>
    <x v="516"/>
    <n v="930.71"/>
    <n v="1625.42"/>
    <n v="1625.42"/>
    <n v="0.13800000000000001"/>
    <n v="0.13800000000000001"/>
    <x v="0"/>
    <n v="7"/>
    <n v="9807.7842799999999"/>
    <n v="6514.97"/>
    <n v="3292.8142799999996"/>
    <n v="0.33573477821231196"/>
    <n v="0.13800000000000001"/>
    <n v="1401.11204"/>
    <n v="930.71"/>
    <n v="8.19"/>
    <n v="11475.107607599999"/>
    <n v="7622.5149000000001"/>
    <n v="3852.5927075999989"/>
    <n v="0.3357347782123119"/>
    <n v="1667.3233275999992"/>
    <n v="3292.8142799999996"/>
    <n v="0"/>
  </r>
  <r>
    <x v="518"/>
    <x v="409"/>
    <d v="2023-05-18T00:00:00"/>
    <s v="Q2-2023"/>
    <d v="2023-05-18T00:00:00"/>
    <n v="17"/>
    <x v="0"/>
    <x v="0"/>
    <x v="1"/>
    <x v="1"/>
    <s v="Corporate"/>
    <x v="4"/>
    <x v="9"/>
    <x v="0"/>
    <s v="Low"/>
    <x v="517"/>
    <n v="327.97"/>
    <n v="299.94"/>
    <n v="299.94"/>
    <n v="4.9000000000000002E-2"/>
    <n v="4.9000000000000002E-2"/>
    <x v="0"/>
    <n v="3"/>
    <n v="855.72881999999993"/>
    <n v="983.91000000000008"/>
    <n v="-128.18118000000015"/>
    <n v="-0.14979182306843442"/>
    <n v="4.9000000000000002E-2"/>
    <n v="285.24293999999998"/>
    <n v="327.97"/>
    <n v="3.51"/>
    <n v="1001.2027193999999"/>
    <n v="1151.1747"/>
    <n v="-149.97198060000017"/>
    <n v="-0.14979182306843442"/>
    <n v="145.47389939999994"/>
    <n v="-128.18118000000015"/>
    <n v="0"/>
  </r>
  <r>
    <x v="519"/>
    <x v="410"/>
    <d v="2024-08-08T00:00:00"/>
    <s v="Q3-2024"/>
    <d v="2024-08-08T00:00:00"/>
    <n v="30"/>
    <x v="0"/>
    <x v="3"/>
    <x v="7"/>
    <x v="11"/>
    <s v="Corporate"/>
    <x v="4"/>
    <x v="1"/>
    <x v="0"/>
    <s v="Medium"/>
    <x v="518"/>
    <n v="1062.3800000000001"/>
    <n v="1503.96"/>
    <n v="1503.96"/>
    <n v="0.18"/>
    <n v="0.18"/>
    <x v="0"/>
    <n v="6"/>
    <n v="7399.4832000000006"/>
    <n v="6374.2800000000007"/>
    <n v="1025.2031999999999"/>
    <n v="0.13855064905073369"/>
    <n v="0.17"/>
    <n v="1248.2867999999999"/>
    <n v="1062.3800000000001"/>
    <n v="7.02"/>
    <n v="8762.9733359999991"/>
    <n v="7457.9076000000005"/>
    <n v="1305.0657359999987"/>
    <n v="0.14892955689349582"/>
    <n v="1363.4901359999985"/>
    <n v="1025.2031999999999"/>
    <n v="1.0378907842762131E-2"/>
  </r>
  <r>
    <x v="520"/>
    <x v="405"/>
    <d v="2023-05-27T00:00:00"/>
    <s v="Q2-2023"/>
    <d v="2023-05-27T00:00:00"/>
    <n v="17"/>
    <x v="0"/>
    <x v="1"/>
    <x v="4"/>
    <x v="29"/>
    <s v="Consumer"/>
    <x v="0"/>
    <x v="12"/>
    <x v="4"/>
    <s v="High"/>
    <x v="519"/>
    <n v="1286.1600000000001"/>
    <n v="3101.11"/>
    <n v="3101.11"/>
    <n v="0.1"/>
    <n v="0.1"/>
    <x v="0"/>
    <n v="23"/>
    <n v="64192.976999999999"/>
    <n v="29581.68"/>
    <n v="34611.296999999999"/>
    <n v="0.53917575749758417"/>
    <n v="0.1"/>
    <n v="2790.9990000000003"/>
    <n v="1286.1600000000001"/>
    <n v="26.909999999999997"/>
    <n v="75105.783089999997"/>
    <n v="34610.565599999994"/>
    <n v="40495.217490000003"/>
    <n v="0.53917575749758428"/>
    <n v="10912.806089999998"/>
    <n v="34611.296999999999"/>
    <n v="0"/>
  </r>
  <r>
    <x v="521"/>
    <x v="410"/>
    <d v="2024-07-12T00:00:00"/>
    <s v="Q3-2024"/>
    <d v="2024-07-12T00:00:00"/>
    <n v="3"/>
    <x v="1"/>
    <x v="1"/>
    <x v="9"/>
    <x v="23"/>
    <s v="Small Business"/>
    <x v="0"/>
    <x v="14"/>
    <x v="6"/>
    <s v="Medium"/>
    <x v="520"/>
    <n v="748.39"/>
    <n v="979.42"/>
    <n v="979.42"/>
    <n v="0"/>
    <n v="0"/>
    <x v="0"/>
    <n v="23"/>
    <n v="22526.66"/>
    <n v="17212.97"/>
    <n v="5313.6899999999987"/>
    <n v="0.23588450307324738"/>
    <n v="0"/>
    <n v="979.42"/>
    <n v="748.39"/>
    <n v="26.909999999999997"/>
    <n v="26356.192199999994"/>
    <n v="20139.174899999998"/>
    <n v="6217.0172999999959"/>
    <n v="0.23588450307324732"/>
    <n v="3829.5321999999942"/>
    <n v="5313.6899999999987"/>
    <n v="0"/>
  </r>
  <r>
    <x v="522"/>
    <x v="411"/>
    <d v="2024-05-10T00:00:00"/>
    <s v="Q2-2024"/>
    <d v="2024-05-10T00:00:00"/>
    <n v="16"/>
    <x v="0"/>
    <x v="0"/>
    <x v="0"/>
    <x v="0"/>
    <s v="Non-Profit"/>
    <x v="1"/>
    <x v="13"/>
    <x v="5"/>
    <s v="Medium"/>
    <x v="521"/>
    <n v="513.30999999999995"/>
    <n v="1186.26"/>
    <n v="1186.26"/>
    <n v="9.4E-2"/>
    <n v="9.4E-2"/>
    <x v="0"/>
    <n v="15"/>
    <n v="16121.273400000002"/>
    <n v="7699.65"/>
    <n v="8421.6234000000022"/>
    <n v="0.52239194702820446"/>
    <n v="9.4E-2"/>
    <n v="1074.7515599999999"/>
    <n v="513.30999999999995"/>
    <n v="17.549999999999997"/>
    <n v="18861.889877999994"/>
    <n v="9008.5904999999984"/>
    <n v="9853.2993779999961"/>
    <n v="0.52239194702820435"/>
    <n v="2740.6164779999926"/>
    <n v="8421.6234000000022"/>
    <n v="0"/>
  </r>
  <r>
    <x v="523"/>
    <x v="94"/>
    <d v="2024-01-15T00:00:00"/>
    <s v="Q1-2024"/>
    <d v="2024-01-15T00:00:00"/>
    <n v="2"/>
    <x v="1"/>
    <x v="2"/>
    <x v="10"/>
    <x v="24"/>
    <s v="Non-Profit"/>
    <x v="4"/>
    <x v="6"/>
    <x v="0"/>
    <s v="High"/>
    <x v="522"/>
    <n v="1061.3699999999999"/>
    <n v="1938.33"/>
    <n v="1938.33"/>
    <n v="0.17"/>
    <n v="0.17"/>
    <x v="0"/>
    <n v="4"/>
    <n v="6435.2555999999995"/>
    <n v="4245.4799999999996"/>
    <n v="2189.7755999999999"/>
    <n v="0.34027795259600879"/>
    <n v="0.17"/>
    <n v="1608.8138999999999"/>
    <n v="1061.3699999999999"/>
    <n v="4.68"/>
    <n v="7529.2490519999992"/>
    <n v="4967.2115999999996"/>
    <n v="2562.0374519999996"/>
    <n v="0.34027795259600874"/>
    <n v="1093.9934519999997"/>
    <n v="2189.7755999999999"/>
    <n v="0"/>
  </r>
  <r>
    <x v="524"/>
    <x v="412"/>
    <d v="2024-04-27T00:00:00"/>
    <s v="Q2-2024"/>
    <d v="2024-04-27T00:00:00"/>
    <n v="11"/>
    <x v="0"/>
    <x v="0"/>
    <x v="0"/>
    <x v="16"/>
    <s v="Enterprise"/>
    <x v="1"/>
    <x v="14"/>
    <x v="1"/>
    <s v="Low"/>
    <x v="523"/>
    <n v="401.3"/>
    <n v="826.47"/>
    <n v="826.47"/>
    <n v="0.22500000000000001"/>
    <n v="0.22500000000000001"/>
    <x v="1"/>
    <n v="13"/>
    <n v="8326.6852500000005"/>
    <n v="5216.9000000000005"/>
    <n v="3109.7852499999999"/>
    <n v="0.37347217489696755"/>
    <n v="0.17"/>
    <n v="685.9701"/>
    <n v="401.3"/>
    <n v="15.209999999999999"/>
    <n v="10433.605221"/>
    <n v="6103.7730000000001"/>
    <n v="4329.8322209999997"/>
    <n v="0.41498907897006004"/>
    <n v="2106.9199709999994"/>
    <n v="3109.7852499999999"/>
    <n v="4.1516904073092498E-2"/>
  </r>
  <r>
    <x v="525"/>
    <x v="413"/>
    <d v="2025-02-16T00:00:00"/>
    <s v="Q1-2025"/>
    <d v="2025-02-16T00:00:00"/>
    <n v="9"/>
    <x v="0"/>
    <x v="0"/>
    <x v="1"/>
    <x v="3"/>
    <s v="Small Business"/>
    <x v="3"/>
    <x v="0"/>
    <x v="1"/>
    <s v="Low"/>
    <x v="524"/>
    <n v="90.68"/>
    <n v="118.17"/>
    <n v="118.17"/>
    <n v="0.13500000000000001"/>
    <n v="0.13500000000000001"/>
    <x v="0"/>
    <n v="21"/>
    <n v="2146.5580500000001"/>
    <n v="1904.2800000000002"/>
    <n v="242.27804999999989"/>
    <n v="0.11286815653552899"/>
    <n v="0.13500000000000001"/>
    <n v="102.21705"/>
    <n v="90.68"/>
    <n v="24.57"/>
    <n v="2511.4729185000001"/>
    <n v="2228.0076000000004"/>
    <n v="283.46531849999974"/>
    <n v="0.11286815653552894"/>
    <n v="364.91486850000001"/>
    <n v="242.27804999999989"/>
    <n v="0"/>
  </r>
  <r>
    <x v="526"/>
    <x v="414"/>
    <d v="2023-01-26T00:00:00"/>
    <s v="Q1-2023"/>
    <d v="2023-01-26T00:00:00"/>
    <n v="14"/>
    <x v="0"/>
    <x v="1"/>
    <x v="9"/>
    <x v="14"/>
    <s v="Non-Profit"/>
    <x v="0"/>
    <x v="12"/>
    <x v="1"/>
    <s v="Medium"/>
    <x v="525"/>
    <n v="1083.0899999999999"/>
    <n v="1425.87"/>
    <n v="1425.87"/>
    <n v="0"/>
    <n v="0"/>
    <x v="0"/>
    <n v="8"/>
    <n v="11406.96"/>
    <n v="8664.7199999999993"/>
    <n v="2742.24"/>
    <n v="0.24040059752992909"/>
    <n v="0"/>
    <n v="1425.87"/>
    <n v="1083.0899999999999"/>
    <n v="9.36"/>
    <n v="13346.143199999999"/>
    <n v="10137.722399999999"/>
    <n v="3208.4207999999999"/>
    <n v="0.24040059752992912"/>
    <n v="1939.1831999999995"/>
    <n v="2742.24"/>
    <n v="0"/>
  </r>
  <r>
    <x v="527"/>
    <x v="415"/>
    <d v="2024-06-23T00:00:00"/>
    <s v="Q2-2024"/>
    <d v="2024-06-23T00:00:00"/>
    <n v="18"/>
    <x v="0"/>
    <x v="0"/>
    <x v="0"/>
    <x v="2"/>
    <s v="Consumer"/>
    <x v="3"/>
    <x v="14"/>
    <x v="4"/>
    <s v="Medium"/>
    <x v="526"/>
    <n v="1208.74"/>
    <n v="1594.78"/>
    <n v="1594.78"/>
    <n v="5.8999999999999997E-2"/>
    <n v="5.8999999999999997E-2"/>
    <x v="0"/>
    <n v="39"/>
    <n v="58526.83122"/>
    <n v="47140.86"/>
    <n v="11385.971219999999"/>
    <n v="0.1945427589817838"/>
    <n v="5.8999999999999997E-2"/>
    <n v="1500.6879800000002"/>
    <n v="1208.74"/>
    <n v="45.629999999999995"/>
    <n v="68476.392527400007"/>
    <n v="55154.806199999992"/>
    <n v="13321.586327400015"/>
    <n v="0.194542758981784"/>
    <n v="9949.5613074000066"/>
    <n v="11385.971219999999"/>
    <n v="0"/>
  </r>
  <r>
    <x v="528"/>
    <x v="416"/>
    <d v="2023-09-20T00:00:00"/>
    <s v="Q3-2023"/>
    <d v="2023-09-20T00:00:00"/>
    <n v="27"/>
    <x v="0"/>
    <x v="0"/>
    <x v="11"/>
    <x v="25"/>
    <s v="Small Business"/>
    <x v="2"/>
    <x v="12"/>
    <x v="1"/>
    <s v="High"/>
    <x v="527"/>
    <n v="1399.64"/>
    <n v="3342.11"/>
    <n v="3342.11"/>
    <n v="0"/>
    <n v="0"/>
    <x v="0"/>
    <n v="10"/>
    <n v="33421.1"/>
    <n v="13996.400000000001"/>
    <n v="19424.699999999997"/>
    <n v="0.58121067229983447"/>
    <n v="0"/>
    <n v="3342.11"/>
    <n v="1399.64"/>
    <n v="11.7"/>
    <n v="39102.686999999998"/>
    <n v="16375.788"/>
    <n v="22726.898999999998"/>
    <n v="0.58121067229983447"/>
    <n v="5681.5869999999995"/>
    <n v="19424.699999999997"/>
    <n v="0"/>
  </r>
  <r>
    <x v="529"/>
    <x v="246"/>
    <d v="2024-02-08T00:00:00"/>
    <s v="Q1-2024"/>
    <d v="2024-02-08T00:00:00"/>
    <n v="14"/>
    <x v="0"/>
    <x v="1"/>
    <x v="2"/>
    <x v="4"/>
    <s v="Consumer"/>
    <x v="2"/>
    <x v="2"/>
    <x v="2"/>
    <s v="Medium"/>
    <x v="528"/>
    <n v="937.16"/>
    <n v="1069.77"/>
    <n v="1069.77"/>
    <n v="3.7999999999999999E-2"/>
    <n v="3.7999999999999999E-2"/>
    <x v="0"/>
    <n v="9"/>
    <n v="9262.0686600000008"/>
    <n v="8434.44"/>
    <n v="827.62866000000031"/>
    <n v="8.9356783066645962E-2"/>
    <n v="3.7999999999999999E-2"/>
    <n v="1029.1187399999999"/>
    <n v="937.16"/>
    <n v="10.53"/>
    <n v="10836.620332199998"/>
    <n v="9868.2947999999997"/>
    <n v="968.32553219999863"/>
    <n v="8.9356783066645823E-2"/>
    <n v="1574.5516721999975"/>
    <n v="827.62866000000031"/>
    <n v="-1.3877787807814457E-16"/>
  </r>
  <r>
    <x v="530"/>
    <x v="417"/>
    <d v="2025-03-26T00:00:00"/>
    <s v="Q1-2025"/>
    <d v="2025-03-26T00:00:00"/>
    <n v="15"/>
    <x v="0"/>
    <x v="3"/>
    <x v="6"/>
    <x v="9"/>
    <s v="Small Business"/>
    <x v="1"/>
    <x v="2"/>
    <x v="3"/>
    <s v="Low"/>
    <x v="529"/>
    <n v="116.97"/>
    <n v="140.82"/>
    <n v="140.82"/>
    <n v="0.122"/>
    <n v="0.122"/>
    <x v="0"/>
    <n v="5"/>
    <n v="618.19979999999987"/>
    <n v="584.85"/>
    <n v="33.349799999999846"/>
    <n v="5.3946636669891926E-2"/>
    <n v="0.122"/>
    <n v="123.63995999999999"/>
    <n v="116.97"/>
    <n v="5.85"/>
    <n v="723.29376599999989"/>
    <n v="684.27449999999999"/>
    <n v="39.019265999999902"/>
    <n v="5.3946636669892037E-2"/>
    <n v="105.09396600000002"/>
    <n v="33.349799999999846"/>
    <n v="1.1102230246251565E-16"/>
  </r>
  <r>
    <x v="531"/>
    <x v="221"/>
    <d v="2025-05-12T00:00:00"/>
    <s v="Q2-2025"/>
    <d v="2025-05-12T00:00:00"/>
    <n v="20"/>
    <x v="0"/>
    <x v="3"/>
    <x v="7"/>
    <x v="17"/>
    <s v="Enterprise"/>
    <x v="2"/>
    <x v="11"/>
    <x v="5"/>
    <s v="Low"/>
    <x v="530"/>
    <n v="59.51"/>
    <n v="67.040000000000006"/>
    <n v="67.040000000000006"/>
    <n v="0.114"/>
    <n v="0.114"/>
    <x v="0"/>
    <n v="9"/>
    <n v="534.57695999999999"/>
    <n v="535.59"/>
    <n v="-1.0130400000000463"/>
    <n v="-1.8950311663264469E-3"/>
    <n v="0.114"/>
    <n v="59.397440000000003"/>
    <n v="59.51"/>
    <n v="10.53"/>
    <n v="625.45504319999998"/>
    <n v="626.64029999999991"/>
    <n v="-1.1852567999999337"/>
    <n v="-1.8950311663262543E-3"/>
    <n v="90.878083199999992"/>
    <n v="-1.0130400000000463"/>
    <n v="1.9255430583342559E-16"/>
  </r>
  <r>
    <x v="532"/>
    <x v="418"/>
    <d v="2023-09-03T00:00:00"/>
    <s v="Q3-2023"/>
    <d v="2023-09-03T00:00:00"/>
    <n v="17"/>
    <x v="0"/>
    <x v="0"/>
    <x v="11"/>
    <x v="25"/>
    <s v="Enterprise"/>
    <x v="0"/>
    <x v="8"/>
    <x v="3"/>
    <s v="Medium"/>
    <x v="531"/>
    <n v="676.37"/>
    <n v="1276.67"/>
    <n v="1276.67"/>
    <n v="6.6000000000000003E-2"/>
    <n v="6.6000000000000003E-2"/>
    <x v="0"/>
    <n v="10"/>
    <n v="11924.0978"/>
    <n v="6763.7"/>
    <n v="5160.3977999999997"/>
    <n v="0.4327705027712872"/>
    <n v="6.6000000000000003E-2"/>
    <n v="1192.40978"/>
    <n v="676.37"/>
    <n v="11.7"/>
    <n v="13951.194425999998"/>
    <n v="7913.5289999999995"/>
    <n v="6037.6654259999987"/>
    <n v="0.4327705027712872"/>
    <n v="2027.0966259999987"/>
    <n v="5160.3977999999997"/>
    <n v="0"/>
  </r>
  <r>
    <x v="533"/>
    <x v="35"/>
    <d v="2025-07-14T00:00:00"/>
    <s v="Q2-2025"/>
    <d v="2025-07-14T00:00:00"/>
    <n v="20"/>
    <x v="0"/>
    <x v="0"/>
    <x v="11"/>
    <x v="20"/>
    <s v="Enterprise"/>
    <x v="2"/>
    <x v="1"/>
    <x v="4"/>
    <s v="High"/>
    <x v="532"/>
    <n v="1151.06"/>
    <n v="2821.36"/>
    <n v="2821.36"/>
    <n v="0.248"/>
    <n v="0.248"/>
    <x v="1"/>
    <n v="20"/>
    <n v="42433.254400000005"/>
    <n v="23021.199999999997"/>
    <n v="19412.054400000008"/>
    <n v="0.45747267501594235"/>
    <n v="0.17"/>
    <n v="2341.7287999999999"/>
    <n v="1151.06"/>
    <n v="23.4"/>
    <n v="54796.453919999993"/>
    <n v="26934.803999999996"/>
    <n v="27861.649919999996"/>
    <n v="0.50845717061685369"/>
    <n v="12363.199519999987"/>
    <n v="19412.054400000008"/>
    <n v="5.0984495600911339E-2"/>
  </r>
  <r>
    <x v="534"/>
    <x v="419"/>
    <d v="2025-02-06T00:00:00"/>
    <s v="Q1-2025"/>
    <d v="2025-02-06T00:00:00"/>
    <n v="27"/>
    <x v="0"/>
    <x v="2"/>
    <x v="5"/>
    <x v="10"/>
    <s v="Non-Profit"/>
    <x v="0"/>
    <x v="5"/>
    <x v="4"/>
    <s v="Medium"/>
    <x v="533"/>
    <n v="725.62"/>
    <n v="1559.19"/>
    <n v="1559.19"/>
    <n v="0.19"/>
    <n v="0.19"/>
    <x v="0"/>
    <n v="12"/>
    <n v="15155.326800000001"/>
    <n v="8707.44"/>
    <n v="6447.8868000000002"/>
    <n v="0.42545349797405885"/>
    <n v="0.17"/>
    <n v="1294.1277"/>
    <n v="725.62"/>
    <n v="14.04"/>
    <n v="18169.552907999998"/>
    <n v="10187.7048"/>
    <n v="7981.8481079999983"/>
    <n v="0.43929799199878028"/>
    <n v="3014.2261079999971"/>
    <n v="6447.8868000000002"/>
    <n v="1.3844494024721432E-2"/>
  </r>
  <r>
    <x v="535"/>
    <x v="305"/>
    <d v="2023-07-11T00:00:00"/>
    <s v="Q3-2023"/>
    <d v="2023-07-11T00:00:00"/>
    <n v="10"/>
    <x v="0"/>
    <x v="3"/>
    <x v="7"/>
    <x v="28"/>
    <s v="Corporate"/>
    <x v="4"/>
    <x v="9"/>
    <x v="2"/>
    <s v="Low"/>
    <x v="534"/>
    <n v="479.5"/>
    <n v="656.66"/>
    <n v="656.66"/>
    <n v="0.14899999999999999"/>
    <n v="0.14899999999999999"/>
    <x v="0"/>
    <n v="14"/>
    <n v="7823.4472399999995"/>
    <n v="6713"/>
    <n v="1110.4472399999995"/>
    <n v="0.14193835606412289"/>
    <n v="0.14899999999999999"/>
    <n v="558.81765999999993"/>
    <n v="479.5"/>
    <n v="16.38"/>
    <n v="9153.4332707999984"/>
    <n v="7854.2099999999991"/>
    <n v="1299.2232707999992"/>
    <n v="0.14193835606412289"/>
    <n v="1329.9860307999988"/>
    <n v="1110.4472399999995"/>
    <n v="0"/>
  </r>
  <r>
    <x v="536"/>
    <x v="420"/>
    <d v="2024-08-26T00:00:00"/>
    <s v="Q3-2024"/>
    <d v="2024-08-26T00:00:00"/>
    <n v="10"/>
    <x v="0"/>
    <x v="2"/>
    <x v="10"/>
    <x v="15"/>
    <s v="Corporate"/>
    <x v="3"/>
    <x v="4"/>
    <x v="4"/>
    <s v="High"/>
    <x v="386"/>
    <n v="1291.7"/>
    <n v="2657.84"/>
    <n v="2657.84"/>
    <n v="8.6999999999999994E-2"/>
    <n v="8.6999999999999994E-2"/>
    <x v="0"/>
    <n v="21"/>
    <n v="50958.766320000002"/>
    <n v="27125.7"/>
    <n v="23833.066320000002"/>
    <n v="0.46769315745083367"/>
    <n v="8.6999999999999994E-2"/>
    <n v="2426.6079200000004"/>
    <n v="1291.7"/>
    <n v="24.57"/>
    <n v="59621.756594400009"/>
    <n v="31737.069000000003"/>
    <n v="27884.687594400006"/>
    <n v="0.46769315745083367"/>
    <n v="8662.9902744000065"/>
    <n v="23833.066320000002"/>
    <n v="0"/>
  </r>
  <r>
    <x v="537"/>
    <x v="421"/>
    <d v="2023-07-13T00:00:00"/>
    <s v="Q3-2023"/>
    <d v="2023-07-13T00:00:00"/>
    <n v="6"/>
    <x v="1"/>
    <x v="0"/>
    <x v="11"/>
    <x v="33"/>
    <s v="Small Business"/>
    <x v="2"/>
    <x v="5"/>
    <x v="6"/>
    <s v="Medium"/>
    <x v="535"/>
    <n v="612.59"/>
    <n v="1424.74"/>
    <n v="1424.74"/>
    <n v="4.3999999999999997E-2"/>
    <n v="4.3999999999999997E-2"/>
    <x v="0"/>
    <n v="15"/>
    <n v="20430.771599999996"/>
    <n v="9188.85"/>
    <n v="11241.921599999996"/>
    <n v="0.55024459281802152"/>
    <n v="4.3999999999999997E-2"/>
    <n v="1362.05144"/>
    <n v="612.59"/>
    <n v="17.549999999999997"/>
    <n v="23904.002771999996"/>
    <n v="10750.954499999998"/>
    <n v="13153.048271999998"/>
    <n v="0.55024459281802163"/>
    <n v="3473.2311719999998"/>
    <n v="11241.921599999996"/>
    <n v="0"/>
  </r>
  <r>
    <x v="538"/>
    <x v="422"/>
    <d v="2024-01-01T00:00:00"/>
    <s v="Q4-2023"/>
    <d v="2024-01-01T00:00:00"/>
    <n v="4"/>
    <x v="1"/>
    <x v="0"/>
    <x v="11"/>
    <x v="33"/>
    <s v="Education"/>
    <x v="3"/>
    <x v="8"/>
    <x v="1"/>
    <s v="High"/>
    <x v="536"/>
    <n v="1141.8"/>
    <n v="2318.7399999999998"/>
    <n v="2318.7399999999998"/>
    <n v="0.107"/>
    <n v="0.107"/>
    <x v="0"/>
    <n v="32"/>
    <n v="66260.314239999992"/>
    <n v="36537.599999999999"/>
    <n v="29722.714239999994"/>
    <n v="0.44857490612468304"/>
    <n v="0.107"/>
    <n v="2070.6348199999998"/>
    <n v="1141.8"/>
    <n v="37.44"/>
    <n v="77524.567660799992"/>
    <n v="42748.991999999998"/>
    <n v="34775.575660799994"/>
    <n v="0.44857490612468304"/>
    <n v="11264.2534208"/>
    <n v="29722.714239999994"/>
    <n v="0"/>
  </r>
  <r>
    <x v="539"/>
    <x v="423"/>
    <d v="2023-02-15T00:00:00"/>
    <s v="Q1-2023"/>
    <d v="2023-02-15T00:00:00"/>
    <n v="20"/>
    <x v="0"/>
    <x v="3"/>
    <x v="6"/>
    <x v="9"/>
    <s v="Small Business"/>
    <x v="1"/>
    <x v="7"/>
    <x v="2"/>
    <s v="Low"/>
    <x v="537"/>
    <n v="492.62"/>
    <n v="366.7"/>
    <n v="366.7"/>
    <n v="8.8999999999999996E-2"/>
    <n v="8.8999999999999996E-2"/>
    <x v="0"/>
    <n v="10"/>
    <n v="3340.6370000000002"/>
    <n v="4926.2"/>
    <n v="-1585.5629999999996"/>
    <n v="-0.47462894052840809"/>
    <n v="8.8999999999999996E-2"/>
    <n v="334.06369999999998"/>
    <n v="492.62"/>
    <n v="11.7"/>
    <n v="3908.5452899999996"/>
    <n v="5763.6539999999995"/>
    <n v="-1855.10871"/>
    <n v="-0.47462894052840826"/>
    <n v="567.9082899999994"/>
    <n v="-1585.5629999999996"/>
    <n v="0"/>
  </r>
  <r>
    <x v="540"/>
    <x v="424"/>
    <d v="2023-07-09T00:00:00"/>
    <s v="Q3-2023"/>
    <d v="2023-07-09T00:00:00"/>
    <n v="1"/>
    <x v="1"/>
    <x v="0"/>
    <x v="0"/>
    <x v="2"/>
    <s v="Consumer"/>
    <x v="1"/>
    <x v="14"/>
    <x v="4"/>
    <s v="High"/>
    <x v="538"/>
    <n v="1258.72"/>
    <n v="2797.41"/>
    <n v="2797.41"/>
    <n v="0"/>
    <n v="0"/>
    <x v="0"/>
    <n v="7"/>
    <n v="19581.87"/>
    <n v="8811.0400000000009"/>
    <n v="10770.829999999998"/>
    <n v="0.55004093071805704"/>
    <n v="0"/>
    <n v="2797.41"/>
    <n v="1258.72"/>
    <n v="8.19"/>
    <n v="22910.787899999996"/>
    <n v="10308.916799999999"/>
    <n v="12601.871099999997"/>
    <n v="0.55004093071805704"/>
    <n v="3328.9178999999967"/>
    <n v="10770.829999999998"/>
    <n v="0"/>
  </r>
  <r>
    <x v="541"/>
    <x v="116"/>
    <d v="2024-06-09T00:00:00"/>
    <s v="Q2-2024"/>
    <d v="2024-06-09T00:00:00"/>
    <n v="2"/>
    <x v="1"/>
    <x v="1"/>
    <x v="9"/>
    <x v="23"/>
    <s v="Corporate"/>
    <x v="0"/>
    <x v="7"/>
    <x v="5"/>
    <s v="High"/>
    <x v="539"/>
    <n v="1370.28"/>
    <n v="2209.66"/>
    <n v="2209.66"/>
    <n v="0.13300000000000001"/>
    <n v="0.13300000000000001"/>
    <x v="0"/>
    <n v="16"/>
    <n v="30652.403519999996"/>
    <n v="21924.48"/>
    <n v="8727.9235199999966"/>
    <n v="0.28473863442079589"/>
    <n v="0.13300000000000001"/>
    <n v="1915.7752199999998"/>
    <n v="1370.28"/>
    <n v="18.72"/>
    <n v="35863.31211839999"/>
    <n v="25651.641599999999"/>
    <n v="10211.670518399991"/>
    <n v="0.28473863442079583"/>
    <n v="5210.9085983999939"/>
    <n v="8727.9235199999966"/>
    <n v="0"/>
  </r>
  <r>
    <x v="542"/>
    <x v="425"/>
    <d v="2023-02-12T00:00:00"/>
    <s v="Q1-2023"/>
    <d v="2023-02-12T00:00:00"/>
    <n v="1"/>
    <x v="1"/>
    <x v="0"/>
    <x v="1"/>
    <x v="1"/>
    <s v="Non-Profit"/>
    <x v="4"/>
    <x v="14"/>
    <x v="6"/>
    <s v="Low"/>
    <x v="540"/>
    <n v="944.61"/>
    <n v="839.04"/>
    <n v="839.04"/>
    <n v="5.8999999999999997E-2"/>
    <n v="5.8999999999999997E-2"/>
    <x v="0"/>
    <n v="6"/>
    <n v="4737.2198399999997"/>
    <n v="5667.66"/>
    <n v="-930.44016000000011"/>
    <n v="-0.19641059343363726"/>
    <n v="5.8999999999999997E-2"/>
    <n v="789.53664000000003"/>
    <n v="944.61"/>
    <n v="7.02"/>
    <n v="5542.5472128000001"/>
    <n v="6631.1621999999998"/>
    <n v="-1088.6149871999996"/>
    <n v="-0.19641059343363715"/>
    <n v="805.32737280000038"/>
    <n v="-930.44016000000011"/>
    <n v="0"/>
  </r>
  <r>
    <x v="543"/>
    <x v="305"/>
    <d v="2023-07-08T00:00:00"/>
    <s v="Q3-2023"/>
    <d v="2023-07-08T00:00:00"/>
    <n v="7"/>
    <x v="1"/>
    <x v="3"/>
    <x v="6"/>
    <x v="37"/>
    <s v="Small Business"/>
    <x v="3"/>
    <x v="13"/>
    <x v="4"/>
    <s v="Medium"/>
    <x v="541"/>
    <n v="460.21"/>
    <n v="1139.1500000000001"/>
    <n v="1139.1500000000001"/>
    <n v="0.115"/>
    <n v="0.115"/>
    <x v="0"/>
    <n v="14"/>
    <n v="14114.068500000001"/>
    <n v="6442.94"/>
    <n v="7671.1285000000016"/>
    <n v="0.54350937151821255"/>
    <n v="0.115"/>
    <n v="1008.1477500000001"/>
    <n v="460.21"/>
    <n v="16.38"/>
    <n v="16513.460145000001"/>
    <n v="7538.2397999999994"/>
    <n v="8975.2203450000015"/>
    <n v="0.54350937151821255"/>
    <n v="2399.3916449999997"/>
    <n v="7671.1285000000016"/>
    <n v="0"/>
  </r>
  <r>
    <x v="544"/>
    <x v="426"/>
    <d v="2025-08-26T00:00:00"/>
    <s v="Q3-2025"/>
    <d v="2025-08-26T00:00:00"/>
    <n v="6"/>
    <x v="1"/>
    <x v="2"/>
    <x v="10"/>
    <x v="39"/>
    <s v="Corporate"/>
    <x v="0"/>
    <x v="12"/>
    <x v="2"/>
    <s v="Medium"/>
    <x v="542"/>
    <n v="1304.95"/>
    <n v="1712.03"/>
    <n v="1712.03"/>
    <n v="0.21199999999999999"/>
    <n v="0.21199999999999999"/>
    <x v="1"/>
    <n v="8"/>
    <n v="10792.637119999999"/>
    <n v="10439.6"/>
    <n v="353.03711999999905"/>
    <n v="3.2710922833287949E-2"/>
    <n v="0.17"/>
    <n v="1420.9848999999999"/>
    <n v="1304.95"/>
    <n v="9.36"/>
    <n v="13300.418663999999"/>
    <n v="12214.332"/>
    <n v="1086.0866639999986"/>
    <n v="8.1658080954976967E-2"/>
    <n v="2507.7815439999995"/>
    <n v="353.03711999999905"/>
    <n v="4.8947158121689018E-2"/>
  </r>
  <r>
    <x v="545"/>
    <x v="427"/>
    <d v="2024-03-16T00:00:00"/>
    <s v="Q1-2024"/>
    <d v="2024-03-16T00:00:00"/>
    <n v="12"/>
    <x v="0"/>
    <x v="0"/>
    <x v="11"/>
    <x v="20"/>
    <s v="Enterprise"/>
    <x v="3"/>
    <x v="12"/>
    <x v="5"/>
    <s v="Medium"/>
    <x v="543"/>
    <n v="441.08"/>
    <n v="1054.29"/>
    <n v="1054.29"/>
    <n v="0.23699999999999999"/>
    <n v="0.23699999999999999"/>
    <x v="1"/>
    <n v="6"/>
    <n v="4826.5396199999996"/>
    <n v="2646.48"/>
    <n v="2180.0596199999995"/>
    <n v="0.45168169985932899"/>
    <n v="0.17"/>
    <n v="875.06069999999988"/>
    <n v="441.08"/>
    <n v="7.02"/>
    <n v="6142.926113999999"/>
    <n v="3096.3815999999997"/>
    <n v="3046.5445139999993"/>
    <n v="0.49594353854538314"/>
    <n v="1316.3864939999994"/>
    <n v="2180.0596199999995"/>
    <n v="4.4261838686054156E-2"/>
  </r>
  <r>
    <x v="546"/>
    <x v="428"/>
    <d v="2023-10-02T00:00:00"/>
    <s v="Q3-2023"/>
    <d v="2023-10-02T00:00:00"/>
    <n v="24"/>
    <x v="0"/>
    <x v="2"/>
    <x v="3"/>
    <x v="5"/>
    <s v="Education"/>
    <x v="4"/>
    <x v="8"/>
    <x v="6"/>
    <s v="High"/>
    <x v="544"/>
    <n v="1299.03"/>
    <n v="2451.2199999999998"/>
    <n v="2451.2199999999998"/>
    <n v="0.20799999999999999"/>
    <n v="0.20799999999999999"/>
    <x v="1"/>
    <n v="8"/>
    <n v="15530.929919999999"/>
    <n v="10392.24"/>
    <n v="5138.6899199999989"/>
    <n v="0.3308681416032041"/>
    <n v="0.17"/>
    <n v="2034.5125999999998"/>
    <n v="1299.03"/>
    <n v="9.36"/>
    <n v="19043.037935999997"/>
    <n v="12158.9208"/>
    <n v="6884.1171359999971"/>
    <n v="0.36150309415631038"/>
    <n v="3512.1080159999983"/>
    <n v="5138.6899199999989"/>
    <n v="3.0634952553106276E-2"/>
  </r>
  <r>
    <x v="547"/>
    <x v="2"/>
    <d v="2023-03-06T00:00:00"/>
    <s v="Q1-2023"/>
    <d v="2023-03-06T00:00:00"/>
    <n v="6"/>
    <x v="1"/>
    <x v="3"/>
    <x v="6"/>
    <x v="37"/>
    <s v="Small Business"/>
    <x v="2"/>
    <x v="14"/>
    <x v="1"/>
    <s v="Medium"/>
    <x v="545"/>
    <n v="880.02"/>
    <n v="1251.21"/>
    <n v="1251.21"/>
    <n v="0.123"/>
    <n v="0.123"/>
    <x v="0"/>
    <n v="29"/>
    <n v="31822.023930000003"/>
    <n v="25520.579999999998"/>
    <n v="6301.4439300000049"/>
    <n v="0.19802146915172672"/>
    <n v="0.123"/>
    <n v="1097.3111699999999"/>
    <n v="880.02"/>
    <n v="33.93"/>
    <n v="37231.767998099996"/>
    <n v="29859.078600000001"/>
    <n v="7372.6893980999957"/>
    <n v="0.19802146915172647"/>
    <n v="5409.7440680999935"/>
    <n v="6301.4439300000049"/>
    <n v="-2.4980018054066022E-16"/>
  </r>
  <r>
    <x v="548"/>
    <x v="292"/>
    <d v="2024-08-03T00:00:00"/>
    <s v="Q3-2024"/>
    <d v="2024-08-03T00:00:00"/>
    <n v="21"/>
    <x v="0"/>
    <x v="2"/>
    <x v="5"/>
    <x v="30"/>
    <s v="Corporate"/>
    <x v="2"/>
    <x v="12"/>
    <x v="5"/>
    <s v="Medium"/>
    <x v="546"/>
    <n v="702.98"/>
    <n v="1104.8"/>
    <n v="1104.8"/>
    <n v="0.17499999999999999"/>
    <n v="0.17499999999999999"/>
    <x v="0"/>
    <n v="12"/>
    <n v="10937.519999999999"/>
    <n v="8435.76"/>
    <n v="2501.7599999999984"/>
    <n v="0.22873192460448061"/>
    <n v="0.17"/>
    <n v="916.98399999999992"/>
    <n v="702.98"/>
    <n v="14.04"/>
    <n v="12874.455359999998"/>
    <n v="9869.8392000000003"/>
    <n v="3004.6161599999978"/>
    <n v="0.23337811782975479"/>
    <n v="1936.9353599999995"/>
    <n v="2501.7599999999984"/>
    <n v="4.6461932252741811E-3"/>
  </r>
  <r>
    <x v="549"/>
    <x v="429"/>
    <d v="2024-12-26T00:00:00"/>
    <s v="Q4-2024"/>
    <d v="2024-12-26T00:00:00"/>
    <n v="19"/>
    <x v="0"/>
    <x v="3"/>
    <x v="8"/>
    <x v="21"/>
    <s v="Enterprise"/>
    <x v="1"/>
    <x v="14"/>
    <x v="2"/>
    <s v="High"/>
    <x v="547"/>
    <n v="1035.24"/>
    <n v="2383.41"/>
    <n v="2383.41"/>
    <n v="0.17"/>
    <n v="0.17"/>
    <x v="0"/>
    <n v="15"/>
    <n v="29673.454499999993"/>
    <n v="15528.6"/>
    <n v="14144.854499999992"/>
    <n v="0.47668378145860962"/>
    <n v="0.17"/>
    <n v="1978.2302999999997"/>
    <n v="1035.24"/>
    <n v="17.549999999999997"/>
    <n v="34717.941764999989"/>
    <n v="18168.461999999996"/>
    <n v="16549.479764999993"/>
    <n v="0.47668378145860968"/>
    <n v="5044.4872649999961"/>
    <n v="14144.854499999992"/>
    <n v="0"/>
  </r>
  <r>
    <x v="550"/>
    <x v="430"/>
    <d v="2025-08-23T00:00:00"/>
    <s v="Q3-2025"/>
    <d v="2025-08-23T00:00:00"/>
    <n v="17"/>
    <x v="0"/>
    <x v="2"/>
    <x v="5"/>
    <x v="10"/>
    <s v="Consumer"/>
    <x v="3"/>
    <x v="8"/>
    <x v="5"/>
    <s v="Low"/>
    <x v="548"/>
    <n v="86.64"/>
    <n v="213.06"/>
    <n v="213.06"/>
    <n v="0.21199999999999999"/>
    <n v="0.21199999999999999"/>
    <x v="1"/>
    <n v="11"/>
    <n v="1846.8040799999999"/>
    <n v="953.04"/>
    <n v="893.76407999999992"/>
    <n v="0.48395175735154322"/>
    <n v="0.17"/>
    <n v="176.8398"/>
    <n v="86.64"/>
    <n v="12.87"/>
    <n v="2275.928226"/>
    <n v="1115.0567999999998"/>
    <n v="1160.8714260000002"/>
    <n v="0.51006504191929647"/>
    <n v="429.12414600000011"/>
    <n v="893.76407999999992"/>
    <n v="2.6113284567753248E-2"/>
  </r>
  <r>
    <x v="551"/>
    <x v="431"/>
    <d v="2023-03-20T00:00:00"/>
    <s v="Q1-2023"/>
    <d v="2023-03-20T00:00:00"/>
    <n v="17"/>
    <x v="0"/>
    <x v="1"/>
    <x v="2"/>
    <x v="32"/>
    <s v="Small Business"/>
    <x v="1"/>
    <x v="14"/>
    <x v="2"/>
    <s v="Medium"/>
    <x v="549"/>
    <n v="1171.17"/>
    <n v="2030.64"/>
    <n v="2030.64"/>
    <n v="0.157"/>
    <n v="0.157"/>
    <x v="0"/>
    <n v="11"/>
    <n v="18830.12472"/>
    <n v="12882.87"/>
    <n v="5947.254719999999"/>
    <n v="0.31583724528830415"/>
    <n v="0.157"/>
    <n v="1711.82952"/>
    <n v="1171.17"/>
    <n v="12.87"/>
    <n v="22031.245922399998"/>
    <n v="15072.957899999999"/>
    <n v="6958.2880223999982"/>
    <n v="0.31583724528830415"/>
    <n v="3201.1212023999979"/>
    <n v="5947.254719999999"/>
    <n v="0"/>
  </r>
  <r>
    <x v="552"/>
    <x v="432"/>
    <d v="2025-03-17T00:00:00"/>
    <s v="Q1-2025"/>
    <d v="2025-03-17T00:00:00"/>
    <n v="29"/>
    <x v="0"/>
    <x v="3"/>
    <x v="6"/>
    <x v="22"/>
    <s v="Consumer"/>
    <x v="0"/>
    <x v="4"/>
    <x v="6"/>
    <s v="Medium"/>
    <x v="550"/>
    <n v="730.42"/>
    <n v="956.7"/>
    <n v="956.7"/>
    <n v="4.2000000000000003E-2"/>
    <n v="4.2000000000000003E-2"/>
    <x v="0"/>
    <n v="22"/>
    <n v="20163.409200000002"/>
    <n v="16069.24"/>
    <n v="4094.1692000000021"/>
    <n v="0.20304945256975698"/>
    <n v="4.2000000000000003E-2"/>
    <n v="916.51859999999999"/>
    <n v="730.42"/>
    <n v="25.74"/>
    <n v="23591.188763999999"/>
    <n v="18801.010799999996"/>
    <n v="4790.1779640000022"/>
    <n v="0.20304945256975701"/>
    <n v="3427.7795639999968"/>
    <n v="4094.1692000000021"/>
    <n v="0"/>
  </r>
  <r>
    <x v="553"/>
    <x v="146"/>
    <d v="2025-03-01T00:00:00"/>
    <s v="Q1-2025"/>
    <d v="2025-03-01T00:00:00"/>
    <n v="14"/>
    <x v="0"/>
    <x v="0"/>
    <x v="0"/>
    <x v="13"/>
    <s v="Education"/>
    <x v="4"/>
    <x v="4"/>
    <x v="6"/>
    <s v="High"/>
    <x v="551"/>
    <n v="1162.8599999999999"/>
    <n v="1447.68"/>
    <n v="1447.68"/>
    <n v="8.6999999999999994E-2"/>
    <n v="8.6999999999999994E-2"/>
    <x v="0"/>
    <n v="12"/>
    <n v="15860.782080000001"/>
    <n v="13954.32"/>
    <n v="1906.4620800000012"/>
    <n v="0.12019975247021369"/>
    <n v="8.6999999999999994E-2"/>
    <n v="1321.7318400000001"/>
    <n v="1162.8599999999999"/>
    <n v="14.04"/>
    <n v="18557.115033599999"/>
    <n v="16326.554399999997"/>
    <n v="2230.5606336000019"/>
    <n v="0.12019975247021374"/>
    <n v="2696.3329535999983"/>
    <n v="1906.4620800000012"/>
    <n v="0"/>
  </r>
  <r>
    <x v="554"/>
    <x v="433"/>
    <d v="2024-09-26T00:00:00"/>
    <s v="Q3-2024"/>
    <d v="2024-09-26T00:00:00"/>
    <n v="26"/>
    <x v="0"/>
    <x v="1"/>
    <x v="2"/>
    <x v="27"/>
    <s v="Education"/>
    <x v="1"/>
    <x v="2"/>
    <x v="3"/>
    <s v="High"/>
    <x v="552"/>
    <n v="1189.03"/>
    <n v="2949.62"/>
    <n v="2949.62"/>
    <n v="0.125"/>
    <n v="0.125"/>
    <x v="0"/>
    <n v="13"/>
    <n v="33551.927499999998"/>
    <n v="15457.39"/>
    <n v="18094.537499999999"/>
    <n v="0.53929949330034765"/>
    <n v="0.125"/>
    <n v="2580.9175"/>
    <n v="1189.03"/>
    <n v="15.209999999999999"/>
    <n v="39255.755174999998"/>
    <n v="18085.146299999997"/>
    <n v="21170.608875000002"/>
    <n v="0.53929949330034777"/>
    <n v="5703.8276750000005"/>
    <n v="18094.537499999999"/>
    <n v="0"/>
  </r>
  <r>
    <x v="555"/>
    <x v="238"/>
    <d v="2023-05-20T00:00:00"/>
    <s v="Q2-2023"/>
    <d v="2023-05-20T00:00:00"/>
    <n v="13"/>
    <x v="0"/>
    <x v="1"/>
    <x v="4"/>
    <x v="29"/>
    <s v="Enterprise"/>
    <x v="0"/>
    <x v="14"/>
    <x v="6"/>
    <s v="High"/>
    <x v="553"/>
    <n v="1443.28"/>
    <n v="2580.5700000000002"/>
    <n v="2580.5700000000002"/>
    <n v="0"/>
    <n v="0"/>
    <x v="0"/>
    <n v="18"/>
    <n v="46450.26"/>
    <n v="25979.040000000001"/>
    <n v="20471.22"/>
    <n v="0.4407127107577008"/>
    <n v="0"/>
    <n v="2580.5700000000002"/>
    <n v="1443.28"/>
    <n v="21.06"/>
    <n v="54346.804199999999"/>
    <n v="30395.476799999997"/>
    <n v="23951.327400000002"/>
    <n v="0.44071271075770085"/>
    <n v="7896.5441999999966"/>
    <n v="20471.22"/>
    <n v="0"/>
  </r>
  <r>
    <x v="556"/>
    <x v="78"/>
    <d v="2025-05-12T00:00:00"/>
    <s v="Q2-2025"/>
    <d v="2025-06-01T00:00:00"/>
    <n v="18"/>
    <x v="0"/>
    <x v="2"/>
    <x v="3"/>
    <x v="26"/>
    <s v="Non-Profit"/>
    <x v="3"/>
    <x v="9"/>
    <x v="1"/>
    <s v="High"/>
    <x v="554"/>
    <n v="883.5"/>
    <n v="1978.91"/>
    <n v="1978.91"/>
    <n v="5.3999999999999999E-2"/>
    <n v="5.3999999999999999E-2"/>
    <x v="0"/>
    <n v="27"/>
    <n v="50545.319219999998"/>
    <n v="23854.5"/>
    <n v="26690.819219999998"/>
    <n v="0.52805718970390547"/>
    <n v="5.3999999999999999E-2"/>
    <n v="1872.0488599999999"/>
    <n v="883.5"/>
    <n v="31.589999999999996"/>
    <n v="59138.023487399987"/>
    <n v="27909.764999999996"/>
    <n v="31228.258487399991"/>
    <n v="0.52805718970390547"/>
    <n v="8592.7042673999895"/>
    <n v="26690.819219999998"/>
    <n v="0"/>
  </r>
  <r>
    <x v="557"/>
    <x v="0"/>
    <d v="2024-03-29T00:00:00"/>
    <s v="Q1-2024"/>
    <d v="2024-03-29T00:00:00"/>
    <n v="18"/>
    <x v="0"/>
    <x v="2"/>
    <x v="10"/>
    <x v="39"/>
    <s v="Corporate"/>
    <x v="0"/>
    <x v="12"/>
    <x v="5"/>
    <s v="High"/>
    <x v="555"/>
    <n v="710.98"/>
    <n v="1481.45"/>
    <n v="1481.45"/>
    <n v="0.21099999999999999"/>
    <n v="0.21099999999999999"/>
    <x v="1"/>
    <n v="9"/>
    <n v="10519.776450000001"/>
    <n v="6398.82"/>
    <n v="4120.9564500000015"/>
    <n v="0.39173422264120461"/>
    <n v="0.17"/>
    <n v="1229.6034999999999"/>
    <n v="710.98"/>
    <n v="10.53"/>
    <n v="12947.724854999999"/>
    <n v="7486.6193999999996"/>
    <n v="5461.105454999999"/>
    <n v="0.42178108634206063"/>
    <n v="2427.9484049999974"/>
    <n v="4120.9564500000015"/>
    <n v="3.0046863700856019E-2"/>
  </r>
  <r>
    <x v="558"/>
    <x v="22"/>
    <d v="2024-05-22T00:00:00"/>
    <s v="Q2-2024"/>
    <d v="2024-05-22T00:00:00"/>
    <n v="4"/>
    <x v="1"/>
    <x v="0"/>
    <x v="0"/>
    <x v="2"/>
    <s v="Corporate"/>
    <x v="4"/>
    <x v="10"/>
    <x v="6"/>
    <s v="High"/>
    <x v="556"/>
    <n v="857.42"/>
    <n v="1658.92"/>
    <n v="1658.92"/>
    <n v="0.122"/>
    <n v="0.122"/>
    <x v="0"/>
    <n v="9"/>
    <n v="13108.78584"/>
    <n v="7716.78"/>
    <n v="5392.0058400000007"/>
    <n v="0.41132763215544305"/>
    <n v="0.122"/>
    <n v="1456.5317600000001"/>
    <n v="857.42"/>
    <n v="10.53"/>
    <n v="15337.2794328"/>
    <n v="9028.632599999999"/>
    <n v="6308.646832800001"/>
    <n v="0.4113276321554431"/>
    <n v="2228.4935927999995"/>
    <n v="5392.0058400000007"/>
    <n v="0"/>
  </r>
  <r>
    <x v="559"/>
    <x v="434"/>
    <d v="2024-01-12T00:00:00"/>
    <s v="Q1-2024"/>
    <d v="2024-01-12T00:00:00"/>
    <n v="4"/>
    <x v="1"/>
    <x v="1"/>
    <x v="4"/>
    <x v="6"/>
    <s v="Corporate"/>
    <x v="4"/>
    <x v="6"/>
    <x v="1"/>
    <s v="Low"/>
    <x v="557"/>
    <n v="802.32"/>
    <n v="602.34"/>
    <n v="602.34"/>
    <n v="0.12"/>
    <n v="0.12"/>
    <x v="0"/>
    <n v="25"/>
    <n v="13251.48"/>
    <n v="20058"/>
    <n v="-6806.52"/>
    <n v="-0.51364224977134632"/>
    <n v="0.12"/>
    <n v="530.05920000000003"/>
    <n v="802.32"/>
    <n v="29.25"/>
    <n v="15504.231600000001"/>
    <n v="23467.86"/>
    <n v="-7963.6283999999996"/>
    <n v="-0.5136422497713462"/>
    <n v="2252.7516000000014"/>
    <n v="-6806.52"/>
    <n v="0"/>
  </r>
  <r>
    <x v="560"/>
    <x v="40"/>
    <d v="2024-11-05T00:00:00"/>
    <s v="Q4-2024"/>
    <d v="2024-11-05T00:00:00"/>
    <n v="11"/>
    <x v="0"/>
    <x v="2"/>
    <x v="10"/>
    <x v="39"/>
    <s v="Corporate"/>
    <x v="3"/>
    <x v="13"/>
    <x v="0"/>
    <s v="Low"/>
    <x v="558"/>
    <n v="446.66"/>
    <n v="527.64"/>
    <n v="527.64"/>
    <n v="0.14499999999999999"/>
    <n v="0.14499999999999999"/>
    <x v="0"/>
    <n v="15"/>
    <n v="6766.9829999999993"/>
    <n v="6699.9000000000005"/>
    <n v="67.082999999998719"/>
    <n v="9.9132804087137105E-3"/>
    <n v="0.14499999999999999"/>
    <n v="451.13219999999995"/>
    <n v="446.66"/>
    <n v="17.549999999999997"/>
    <n v="7917.370109999998"/>
    <n v="7838.8829999999989"/>
    <n v="78.48710999999912"/>
    <n v="9.9132804087137903E-3"/>
    <n v="1150.3871099999988"/>
    <n v="67.082999999998719"/>
    <n v="7.9797279894933126E-17"/>
  </r>
  <r>
    <x v="561"/>
    <x v="25"/>
    <d v="2024-12-19T00:00:00"/>
    <s v="Q4-2024"/>
    <d v="2024-12-19T00:00:00"/>
    <n v="19"/>
    <x v="0"/>
    <x v="0"/>
    <x v="0"/>
    <x v="0"/>
    <s v="Corporate"/>
    <x v="1"/>
    <x v="4"/>
    <x v="3"/>
    <s v="Medium"/>
    <x v="559"/>
    <n v="1195.98"/>
    <n v="1841.9"/>
    <n v="1841.9"/>
    <n v="5.5E-2"/>
    <n v="5.5E-2"/>
    <x v="0"/>
    <n v="19"/>
    <n v="33071.3145"/>
    <n v="22723.62"/>
    <n v="10347.694500000001"/>
    <n v="0.31289032977506842"/>
    <n v="5.5E-2"/>
    <n v="1740.5954999999999"/>
    <n v="1195.98"/>
    <n v="22.229999999999997"/>
    <n v="38693.43796499999"/>
    <n v="26586.635399999996"/>
    <n v="12106.802564999995"/>
    <n v="0.31289032977506831"/>
    <n v="5622.1234649999897"/>
    <n v="10347.694500000001"/>
    <n v="0"/>
  </r>
  <r>
    <x v="562"/>
    <x v="289"/>
    <d v="2023-05-02T00:00:00"/>
    <s v="Q2-2023"/>
    <d v="2023-05-02T00:00:00"/>
    <n v="19"/>
    <x v="0"/>
    <x v="2"/>
    <x v="3"/>
    <x v="19"/>
    <s v="Consumer"/>
    <x v="3"/>
    <x v="6"/>
    <x v="5"/>
    <s v="High"/>
    <x v="560"/>
    <n v="671.05"/>
    <n v="1645.48"/>
    <n v="1645.48"/>
    <n v="0.13700000000000001"/>
    <n v="0.13700000000000001"/>
    <x v="0"/>
    <n v="6"/>
    <n v="8520.2954399999999"/>
    <n v="4026.2999999999997"/>
    <n v="4493.9954400000006"/>
    <n v="0.52744596377517172"/>
    <n v="0.13700000000000001"/>
    <n v="1420.0492400000001"/>
    <n v="671.05"/>
    <n v="7.02"/>
    <n v="9968.7456648000007"/>
    <n v="4710.7709999999997"/>
    <n v="5257.9746648000009"/>
    <n v="0.52744596377517172"/>
    <n v="1448.4502248000008"/>
    <n v="4493.9954400000006"/>
    <n v="0"/>
  </r>
  <r>
    <x v="563"/>
    <x v="184"/>
    <d v="2025-02-08T00:00:00"/>
    <s v="Q1-2025"/>
    <d v="2025-02-08T00:00:00"/>
    <n v="4"/>
    <x v="1"/>
    <x v="3"/>
    <x v="8"/>
    <x v="31"/>
    <s v="Enterprise"/>
    <x v="2"/>
    <x v="4"/>
    <x v="2"/>
    <s v="Low"/>
    <x v="561"/>
    <n v="586.21"/>
    <n v="727.22"/>
    <n v="727.22"/>
    <n v="6.8000000000000005E-2"/>
    <n v="6.8000000000000005E-2"/>
    <x v="0"/>
    <n v="15"/>
    <n v="10166.535600000001"/>
    <n v="8793.1500000000015"/>
    <n v="1373.3855999999996"/>
    <n v="0.13508884973559721"/>
    <n v="6.8000000000000005E-2"/>
    <n v="677.76904000000002"/>
    <n v="586.21"/>
    <n v="17.549999999999997"/>
    <n v="11894.846651999998"/>
    <n v="10287.985499999999"/>
    <n v="1606.8611519999995"/>
    <n v="0.13508884973559723"/>
    <n v="1728.3110519999973"/>
    <n v="1373.3855999999996"/>
    <n v="0"/>
  </r>
  <r>
    <x v="564"/>
    <x v="435"/>
    <d v="2024-02-04T00:00:00"/>
    <s v="Q1-2024"/>
    <d v="2024-02-04T00:00:00"/>
    <n v="11"/>
    <x v="0"/>
    <x v="3"/>
    <x v="8"/>
    <x v="31"/>
    <s v="Consumer"/>
    <x v="0"/>
    <x v="5"/>
    <x v="4"/>
    <s v="Medium"/>
    <x v="562"/>
    <n v="525.34"/>
    <n v="1233.79"/>
    <n v="1233.79"/>
    <n v="0.14299999999999999"/>
    <n v="0.14299999999999999"/>
    <x v="0"/>
    <n v="4"/>
    <n v="4229.4321199999995"/>
    <n v="2101.36"/>
    <n v="2128.0721199999994"/>
    <n v="0.50315788494082736"/>
    <n v="0.14299999999999999"/>
    <n v="1057.3580299999999"/>
    <n v="525.34"/>
    <n v="4.68"/>
    <n v="4948.4355803999988"/>
    <n v="2458.5911999999998"/>
    <n v="2489.844380399999"/>
    <n v="0.50315788494082736"/>
    <n v="719.00346039999931"/>
    <n v="2128.0721199999994"/>
    <n v="0"/>
  </r>
  <r>
    <x v="565"/>
    <x v="436"/>
    <d v="2024-02-09T00:00:00"/>
    <s v="Q1-2024"/>
    <d v="2024-02-09T00:00:00"/>
    <n v="1"/>
    <x v="1"/>
    <x v="0"/>
    <x v="0"/>
    <x v="13"/>
    <s v="Corporate"/>
    <x v="4"/>
    <x v="9"/>
    <x v="0"/>
    <s v="Medium"/>
    <x v="563"/>
    <n v="1233.52"/>
    <n v="1543.76"/>
    <n v="1543.76"/>
    <n v="0.126"/>
    <n v="0.126"/>
    <x v="0"/>
    <n v="13"/>
    <n v="17540.201120000002"/>
    <n v="16035.76"/>
    <n v="1504.4411200000013"/>
    <n v="8.5771030201277493E-2"/>
    <n v="0.126"/>
    <n v="1349.2462399999999"/>
    <n v="1233.52"/>
    <n v="15.209999999999999"/>
    <n v="20522.035310399999"/>
    <n v="18761.839199999999"/>
    <n v="1760.1961104000002"/>
    <n v="8.5771030201277437E-2"/>
    <n v="2981.8341903999972"/>
    <n v="1504.4411200000013"/>
    <n v="0"/>
  </r>
  <r>
    <x v="566"/>
    <x v="437"/>
    <d v="2025-07-11T00:00:00"/>
    <s v="Q2-2025"/>
    <d v="2025-07-11T00:00:00"/>
    <n v="15"/>
    <x v="0"/>
    <x v="0"/>
    <x v="1"/>
    <x v="1"/>
    <s v="Small Business"/>
    <x v="1"/>
    <x v="8"/>
    <x v="4"/>
    <s v="High"/>
    <x v="564"/>
    <n v="1170.1500000000001"/>
    <n v="2115.19"/>
    <n v="2115.19"/>
    <n v="9.1999999999999998E-2"/>
    <n v="9.1999999999999998E-2"/>
    <x v="0"/>
    <n v="23"/>
    <n v="44173.627960000005"/>
    <n v="26913.45"/>
    <n v="17260.177960000005"/>
    <n v="0.39073489674946776"/>
    <n v="9.1999999999999998E-2"/>
    <n v="1920.5925200000001"/>
    <n v="1170.1500000000001"/>
    <n v="26.909999999999997"/>
    <n v="51683.144713199996"/>
    <n v="31488.736499999999"/>
    <n v="20194.408213199997"/>
    <n v="0.39073489674946765"/>
    <n v="7509.5167531999905"/>
    <n v="17260.177960000005"/>
    <n v="0"/>
  </r>
  <r>
    <x v="567"/>
    <x v="272"/>
    <d v="2024-11-07T00:00:00"/>
    <s v="Q4-2024"/>
    <d v="2024-11-07T00:00:00"/>
    <n v="3"/>
    <x v="1"/>
    <x v="3"/>
    <x v="7"/>
    <x v="17"/>
    <s v="Corporate"/>
    <x v="1"/>
    <x v="7"/>
    <x v="5"/>
    <s v="High"/>
    <x v="565"/>
    <n v="740.68"/>
    <n v="1837.19"/>
    <n v="1837.19"/>
    <n v="0.19700000000000001"/>
    <n v="0.19700000000000001"/>
    <x v="0"/>
    <n v="17"/>
    <n v="25079.480689999997"/>
    <n v="12591.56"/>
    <n v="12487.920689999997"/>
    <n v="0.4979337827748298"/>
    <n v="0.17"/>
    <n v="1524.8677"/>
    <n v="740.68"/>
    <n v="19.89"/>
    <n v="30329.618553"/>
    <n v="14732.125199999999"/>
    <n v="15597.493353000002"/>
    <n v="0.51426605731107033"/>
    <n v="5250.1378630000036"/>
    <n v="12487.920689999997"/>
    <n v="1.6332274536240532E-2"/>
  </r>
  <r>
    <x v="568"/>
    <x v="438"/>
    <d v="2024-02-20T00:00:00"/>
    <s v="Q1-2024"/>
    <d v="2024-02-20T00:00:00"/>
    <n v="0"/>
    <x v="1"/>
    <x v="2"/>
    <x v="10"/>
    <x v="39"/>
    <s v="Enterprise"/>
    <x v="1"/>
    <x v="0"/>
    <x v="2"/>
    <s v="High"/>
    <x v="566"/>
    <n v="1407.05"/>
    <n v="2858.93"/>
    <n v="2858.93"/>
    <n v="0"/>
    <n v="0"/>
    <x v="0"/>
    <n v="12"/>
    <n v="34307.159999999996"/>
    <n v="16884.599999999999"/>
    <n v="17422.559999999998"/>
    <n v="0.50784034586366222"/>
    <n v="0"/>
    <n v="2858.93"/>
    <n v="1407.05"/>
    <n v="14.04"/>
    <n v="40139.377199999995"/>
    <n v="19754.982"/>
    <n v="20384.395199999995"/>
    <n v="0.50784034586366222"/>
    <n v="5832.2171999999991"/>
    <n v="17422.559999999998"/>
    <n v="0"/>
  </r>
  <r>
    <x v="569"/>
    <x v="439"/>
    <d v="2025-04-14T00:00:00"/>
    <s v="Q2-2025"/>
    <d v="2025-04-14T00:00:00"/>
    <n v="1"/>
    <x v="1"/>
    <x v="1"/>
    <x v="2"/>
    <x v="4"/>
    <s v="Enterprise"/>
    <x v="1"/>
    <x v="3"/>
    <x v="0"/>
    <s v="Low"/>
    <x v="567"/>
    <n v="138.9"/>
    <n v="289.92"/>
    <n v="289.92"/>
    <n v="2.9000000000000001E-2"/>
    <n v="2.9000000000000001E-2"/>
    <x v="0"/>
    <n v="12"/>
    <n v="3378.1478400000001"/>
    <n v="1666.8000000000002"/>
    <n v="1711.3478399999999"/>
    <n v="0.50659353025828491"/>
    <n v="2.9000000000000001E-2"/>
    <n v="281.51231999999999"/>
    <n v="138.9"/>
    <n v="14.04"/>
    <n v="3952.4329727999998"/>
    <n v="1950.1559999999999"/>
    <n v="2002.2769727999998"/>
    <n v="0.50659353025828491"/>
    <n v="574.2851327999997"/>
    <n v="1711.3478399999999"/>
    <n v="0"/>
  </r>
  <r>
    <x v="570"/>
    <x v="407"/>
    <d v="2023-06-01T00:00:00"/>
    <s v="Q2-2023"/>
    <d v="2023-06-01T00:00:00"/>
    <n v="0"/>
    <x v="1"/>
    <x v="1"/>
    <x v="4"/>
    <x v="6"/>
    <s v="Corporate"/>
    <x v="0"/>
    <x v="6"/>
    <x v="6"/>
    <s v="Medium"/>
    <x v="568"/>
    <n v="669.37"/>
    <n v="997.2"/>
    <n v="997.2"/>
    <n v="8.2000000000000003E-2"/>
    <n v="8.2000000000000003E-2"/>
    <x v="0"/>
    <n v="5"/>
    <n v="4577.1480000000001"/>
    <n v="3346.85"/>
    <n v="1230.2980000000002"/>
    <n v="0.26879139586484863"/>
    <n v="8.2000000000000003E-2"/>
    <n v="915.42960000000005"/>
    <n v="669.37"/>
    <n v="5.85"/>
    <n v="5355.2631599999995"/>
    <n v="3915.8145"/>
    <n v="1439.4486599999996"/>
    <n v="0.26879139586484851"/>
    <n v="778.11515999999938"/>
    <n v="1230.2980000000002"/>
    <n v="0"/>
  </r>
  <r>
    <x v="571"/>
    <x v="400"/>
    <d v="2025-04-04T00:00:00"/>
    <s v="Q1-2025"/>
    <d v="2025-04-04T00:00:00"/>
    <n v="11"/>
    <x v="0"/>
    <x v="1"/>
    <x v="4"/>
    <x v="29"/>
    <s v="Education"/>
    <x v="2"/>
    <x v="1"/>
    <x v="3"/>
    <s v="Low"/>
    <x v="569"/>
    <n v="23.83"/>
    <n v="47.29"/>
    <n v="47.29"/>
    <n v="6.4000000000000001E-2"/>
    <n v="6.4000000000000001E-2"/>
    <x v="0"/>
    <n v="19"/>
    <n v="841.00536"/>
    <n v="452.77"/>
    <n v="388.23536000000001"/>
    <n v="0.46163244429262618"/>
    <n v="6.4000000000000001E-2"/>
    <n v="44.263439999999996"/>
    <n v="23.83"/>
    <n v="22.229999999999997"/>
    <n v="983.97627119999981"/>
    <n v="529.7408999999999"/>
    <n v="454.23537119999992"/>
    <n v="0.46163244429262618"/>
    <n v="142.97091119999982"/>
    <n v="388.23536000000001"/>
    <n v="0"/>
  </r>
  <r>
    <x v="572"/>
    <x v="278"/>
    <d v="2024-01-02T00:00:00"/>
    <s v="Q1-2024"/>
    <d v="2024-01-02T00:00:00"/>
    <n v="0"/>
    <x v="1"/>
    <x v="2"/>
    <x v="3"/>
    <x v="26"/>
    <s v="Education"/>
    <x v="4"/>
    <x v="8"/>
    <x v="4"/>
    <s v="Medium"/>
    <x v="570"/>
    <n v="444.41"/>
    <n v="754.24"/>
    <n v="754.24"/>
    <n v="0.20699999999999999"/>
    <n v="0.20699999999999999"/>
    <x v="1"/>
    <n v="32"/>
    <n v="19139.594240000002"/>
    <n v="14221.12"/>
    <n v="4918.4742400000014"/>
    <n v="0.25697902360546598"/>
    <n v="0.17"/>
    <n v="626.01919999999996"/>
    <n v="444.41"/>
    <n v="37.44"/>
    <n v="23438.158847999995"/>
    <n v="16638.7104"/>
    <n v="6799.4484479999956"/>
    <n v="0.29010164544474021"/>
    <n v="4298.5646079999933"/>
    <n v="4918.4742400000014"/>
    <n v="3.3122621839274224E-2"/>
  </r>
  <r>
    <x v="573"/>
    <x v="201"/>
    <d v="2024-01-01T00:00:00"/>
    <s v="Q4-2023"/>
    <d v="2024-01-01T00:00:00"/>
    <n v="13"/>
    <x v="0"/>
    <x v="2"/>
    <x v="3"/>
    <x v="5"/>
    <s v="Enterprise"/>
    <x v="0"/>
    <x v="11"/>
    <x v="5"/>
    <s v="Medium"/>
    <x v="571"/>
    <n v="856.1"/>
    <n v="901.48"/>
    <n v="901.48"/>
    <n v="5.6000000000000001E-2"/>
    <n v="5.6000000000000001E-2"/>
    <x v="0"/>
    <n v="17"/>
    <n v="14466.95104"/>
    <n v="14553.7"/>
    <n v="-86.748960000000807"/>
    <n v="-5.9963540182134192E-3"/>
    <n v="5.6000000000000001E-2"/>
    <n v="850.99712"/>
    <n v="856.1"/>
    <n v="19.89"/>
    <n v="16926.3327168"/>
    <n v="17027.829000000002"/>
    <n v="-101.49628320000193"/>
    <n v="-5.9963540182134773E-3"/>
    <n v="2459.3816767999997"/>
    <n v="-86.748960000000807"/>
    <n v="-5.8113236445223038E-17"/>
  </r>
  <r>
    <x v="574"/>
    <x v="440"/>
    <d v="2023-04-26T00:00:00"/>
    <s v="Q2-2023"/>
    <d v="2023-04-26T00:00:00"/>
    <n v="0"/>
    <x v="1"/>
    <x v="3"/>
    <x v="7"/>
    <x v="11"/>
    <s v="Consumer"/>
    <x v="4"/>
    <x v="12"/>
    <x v="0"/>
    <s v="Low"/>
    <x v="572"/>
    <n v="81.489999999999995"/>
    <n v="113.08"/>
    <n v="113.08"/>
    <n v="0.121"/>
    <n v="0.121"/>
    <x v="0"/>
    <n v="5"/>
    <n v="496.98660000000001"/>
    <n v="407.45"/>
    <n v="89.536600000000021"/>
    <n v="0.18015898215364362"/>
    <n v="0.121"/>
    <n v="99.397319999999993"/>
    <n v="81.489999999999995"/>
    <n v="5.85"/>
    <n v="581.47432199999992"/>
    <n v="476.71649999999994"/>
    <n v="104.75782199999998"/>
    <n v="0.18015898215364357"/>
    <n v="84.487721999999906"/>
    <n v="89.536600000000021"/>
    <n v="0"/>
  </r>
  <r>
    <x v="575"/>
    <x v="441"/>
    <d v="2025-08-16T00:00:00"/>
    <s v="Q3-2025"/>
    <d v="2025-08-16T00:00:00"/>
    <n v="13"/>
    <x v="0"/>
    <x v="2"/>
    <x v="3"/>
    <x v="19"/>
    <s v="Enterprise"/>
    <x v="3"/>
    <x v="7"/>
    <x v="2"/>
    <s v="Medium"/>
    <x v="573"/>
    <n v="698.66"/>
    <n v="868.62"/>
    <n v="868.62"/>
    <n v="7.1999999999999995E-2"/>
    <n v="7.1999999999999995E-2"/>
    <x v="0"/>
    <n v="15"/>
    <n v="12091.190399999999"/>
    <n v="10479.9"/>
    <n v="1611.2903999999999"/>
    <n v="0.13326151906432637"/>
    <n v="7.1999999999999995E-2"/>
    <n v="806.07936000000007"/>
    <n v="698.66"/>
    <n v="17.549999999999997"/>
    <n v="14146.692767999999"/>
    <n v="12261.482999999998"/>
    <n v="1885.2097680000006"/>
    <n v="0.13326151906432643"/>
    <n v="2055.5023679999995"/>
    <n v="1611.2903999999999"/>
    <n v="0"/>
  </r>
  <r>
    <x v="576"/>
    <x v="442"/>
    <d v="2023-08-19T00:00:00"/>
    <s v="Q3-2023"/>
    <d v="2023-08-19T00:00:00"/>
    <n v="17"/>
    <x v="0"/>
    <x v="2"/>
    <x v="3"/>
    <x v="26"/>
    <s v="Corporate"/>
    <x v="1"/>
    <x v="9"/>
    <x v="2"/>
    <s v="Low"/>
    <x v="574"/>
    <n v="175.38"/>
    <n v="347.9"/>
    <n v="347.9"/>
    <n v="7.1999999999999995E-2"/>
    <n v="7.1999999999999995E-2"/>
    <x v="0"/>
    <n v="43"/>
    <n v="13882.6016"/>
    <n v="7541.34"/>
    <n v="6341.2615999999998"/>
    <n v="0.45677761148169804"/>
    <n v="7.1999999999999995E-2"/>
    <n v="322.85120000000001"/>
    <n v="175.38"/>
    <n v="50.309999999999995"/>
    <n v="16242.643871999999"/>
    <n v="8823.3677999999982"/>
    <n v="7419.2760720000006"/>
    <n v="0.45677761148169815"/>
    <n v="2360.0422719999988"/>
    <n v="6341.2615999999998"/>
    <n v="0"/>
  </r>
  <r>
    <x v="577"/>
    <x v="250"/>
    <d v="2023-07-12T00:00:00"/>
    <s v="Q2-2023"/>
    <d v="2023-07-12T00:00:00"/>
    <n v="27"/>
    <x v="0"/>
    <x v="3"/>
    <x v="8"/>
    <x v="31"/>
    <s v="Consumer"/>
    <x v="4"/>
    <x v="2"/>
    <x v="6"/>
    <s v="High"/>
    <x v="575"/>
    <n v="751.28"/>
    <n v="1111.8800000000001"/>
    <n v="1111.8800000000001"/>
    <n v="0.13500000000000001"/>
    <n v="0.13500000000000001"/>
    <x v="0"/>
    <n v="7"/>
    <n v="6732.4334000000008"/>
    <n v="5258.96"/>
    <n v="1473.4734000000008"/>
    <n v="0.21886193482433863"/>
    <n v="0.13500000000000001"/>
    <n v="961.77620000000013"/>
    <n v="751.28"/>
    <n v="8.19"/>
    <n v="7876.9470780000001"/>
    <n v="6152.9831999999997"/>
    <n v="1723.9638780000005"/>
    <n v="0.21886193482433861"/>
    <n v="1144.5136779999993"/>
    <n v="1473.4734000000008"/>
    <n v="0"/>
  </r>
  <r>
    <x v="578"/>
    <x v="443"/>
    <d v="2024-11-24T00:00:00"/>
    <s v="Q4-2024"/>
    <d v="2024-11-24T00:00:00"/>
    <n v="13"/>
    <x v="0"/>
    <x v="3"/>
    <x v="8"/>
    <x v="21"/>
    <s v="Corporate"/>
    <x v="0"/>
    <x v="6"/>
    <x v="2"/>
    <s v="Low"/>
    <x v="576"/>
    <n v="164.53"/>
    <n v="327.72"/>
    <n v="327.72"/>
    <n v="6.7000000000000004E-2"/>
    <n v="6.7000000000000004E-2"/>
    <x v="0"/>
    <n v="14"/>
    <n v="4280.6786400000001"/>
    <n v="2303.42"/>
    <n v="1977.25864"/>
    <n v="0.46190307805960412"/>
    <n v="6.7000000000000004E-2"/>
    <n v="305.76276000000001"/>
    <n v="164.53"/>
    <n v="16.38"/>
    <n v="5008.3940087999999"/>
    <n v="2695.0013999999996"/>
    <n v="2313.3926088000003"/>
    <n v="0.46190307805960418"/>
    <n v="727.71536879999985"/>
    <n v="1977.25864"/>
    <n v="0"/>
  </r>
  <r>
    <x v="579"/>
    <x v="444"/>
    <d v="2025-08-03T00:00:00"/>
    <s v="Q3-2025"/>
    <d v="2025-08-03T00:00:00"/>
    <n v="23"/>
    <x v="0"/>
    <x v="0"/>
    <x v="0"/>
    <x v="16"/>
    <s v="Small Business"/>
    <x v="0"/>
    <x v="0"/>
    <x v="3"/>
    <s v="Low"/>
    <x v="577"/>
    <n v="389.93"/>
    <n v="486.13"/>
    <n v="486.13"/>
    <n v="0.13200000000000001"/>
    <n v="0.13200000000000001"/>
    <x v="0"/>
    <n v="17"/>
    <n v="7173.3342799999991"/>
    <n v="6628.81"/>
    <n v="544.52427999999873"/>
    <n v="7.5909508569562828E-2"/>
    <n v="0.13200000000000001"/>
    <n v="421.96084000000002"/>
    <n v="389.93"/>
    <n v="19.89"/>
    <n v="8392.8011076000003"/>
    <n v="7755.7076999999999"/>
    <n v="637.09340760000032"/>
    <n v="7.5909508569563036E-2"/>
    <n v="1219.4668276000011"/>
    <n v="544.52427999999873"/>
    <n v="2.0816681711721685E-16"/>
  </r>
  <r>
    <x v="580"/>
    <x v="445"/>
    <d v="2023-07-01T00:00:00"/>
    <s v="Q2-2023"/>
    <d v="2023-07-01T00:00:00"/>
    <n v="28"/>
    <x v="0"/>
    <x v="2"/>
    <x v="5"/>
    <x v="10"/>
    <s v="Small Business"/>
    <x v="2"/>
    <x v="8"/>
    <x v="0"/>
    <s v="High"/>
    <x v="578"/>
    <n v="860.4"/>
    <n v="2066.6"/>
    <n v="2066.6"/>
    <n v="0.01"/>
    <n v="0.01"/>
    <x v="0"/>
    <n v="3"/>
    <n v="6137.8019999999988"/>
    <n v="2581.1999999999998"/>
    <n v="3556.601999999999"/>
    <n v="0.57945857491004105"/>
    <n v="0.01"/>
    <n v="2045.934"/>
    <n v="860.4"/>
    <n v="3.51"/>
    <n v="7181.2283399999997"/>
    <n v="3020.0039999999999"/>
    <n v="4161.2243399999998"/>
    <n v="0.57945857491004105"/>
    <n v="1043.4263400000009"/>
    <n v="3556.601999999999"/>
    <n v="0"/>
  </r>
  <r>
    <x v="581"/>
    <x v="446"/>
    <d v="2023-02-06T00:00:00"/>
    <s v="Q1-2023"/>
    <d v="2023-02-06T00:00:00"/>
    <n v="8"/>
    <x v="0"/>
    <x v="2"/>
    <x v="5"/>
    <x v="10"/>
    <s v="Corporate"/>
    <x v="2"/>
    <x v="14"/>
    <x v="5"/>
    <s v="Low"/>
    <x v="579"/>
    <n v="41.84"/>
    <n v="86.2"/>
    <n v="86.2"/>
    <n v="0.22600000000000001"/>
    <n v="0.22600000000000001"/>
    <x v="1"/>
    <n v="27"/>
    <n v="1801.4076000000002"/>
    <n v="1129.68"/>
    <n v="671.72760000000017"/>
    <n v="0.37289039970742882"/>
    <n v="0.17"/>
    <n v="71.545999999999992"/>
    <n v="41.84"/>
    <n v="31.589999999999996"/>
    <n v="2260.1381399999996"/>
    <n v="1321.7256"/>
    <n v="938.41253999999958"/>
    <n v="0.41520140888379492"/>
    <n v="458.73053999999934"/>
    <n v="671.72760000000017"/>
    <n v="4.2311009176366099E-2"/>
  </r>
  <r>
    <x v="582"/>
    <x v="330"/>
    <d v="2024-09-04T00:00:00"/>
    <s v="Q3-2024"/>
    <d v="2024-09-24T00:00:00"/>
    <n v="18"/>
    <x v="0"/>
    <x v="1"/>
    <x v="2"/>
    <x v="4"/>
    <s v="Corporate"/>
    <x v="4"/>
    <x v="8"/>
    <x v="4"/>
    <s v="High"/>
    <x v="580"/>
    <n v="1368.17"/>
    <n v="2307.75"/>
    <n v="2307.75"/>
    <n v="0.16300000000000001"/>
    <n v="0.16300000000000001"/>
    <x v="0"/>
    <n v="21"/>
    <n v="40563.321749999996"/>
    <n v="28731.57"/>
    <n v="11831.751749999996"/>
    <n v="0.29168596750831921"/>
    <n v="0.16300000000000001"/>
    <n v="1931.5867499999999"/>
    <n v="1368.17"/>
    <n v="24.57"/>
    <n v="47459.086447499998"/>
    <n v="33615.936900000001"/>
    <n v="13843.149547499997"/>
    <n v="0.29168596750831921"/>
    <n v="6895.7646975000025"/>
    <n v="11831.751749999996"/>
    <n v="0"/>
  </r>
  <r>
    <x v="583"/>
    <x v="447"/>
    <d v="2024-08-09T00:00:00"/>
    <s v="Q3-2024"/>
    <d v="2024-08-09T00:00:00"/>
    <n v="6"/>
    <x v="1"/>
    <x v="0"/>
    <x v="0"/>
    <x v="13"/>
    <s v="Consumer"/>
    <x v="2"/>
    <x v="10"/>
    <x v="4"/>
    <s v="Medium"/>
    <x v="581"/>
    <n v="643.21"/>
    <n v="1112.81"/>
    <n v="1112.81"/>
    <n v="0.14099999999999999"/>
    <n v="0.14099999999999999"/>
    <x v="0"/>
    <n v="4"/>
    <n v="3823.6151599999998"/>
    <n v="2572.84"/>
    <n v="1250.7751599999997"/>
    <n v="0.32711847496702562"/>
    <n v="0.14099999999999999"/>
    <n v="955.90378999999996"/>
    <n v="643.21"/>
    <n v="4.68"/>
    <n v="4473.6297371999999"/>
    <n v="3010.2228"/>
    <n v="1463.4069371999999"/>
    <n v="0.32711847496702567"/>
    <n v="650.01457720000008"/>
    <n v="1250.7751599999997"/>
    <n v="0"/>
  </r>
  <r>
    <x v="584"/>
    <x v="448"/>
    <d v="2025-04-17T00:00:00"/>
    <s v="Q2-2025"/>
    <d v="2025-04-17T00:00:00"/>
    <n v="0"/>
    <x v="1"/>
    <x v="2"/>
    <x v="5"/>
    <x v="8"/>
    <s v="Corporate"/>
    <x v="3"/>
    <x v="4"/>
    <x v="3"/>
    <s v="Low"/>
    <x v="582"/>
    <n v="719.41"/>
    <n v="1125.99"/>
    <n v="1125.99"/>
    <n v="4.1000000000000002E-2"/>
    <n v="4.1000000000000002E-2"/>
    <x v="0"/>
    <n v="21"/>
    <n v="22676.312610000001"/>
    <n v="15107.609999999999"/>
    <n v="7568.7026100000021"/>
    <n v="0.33377131194876403"/>
    <n v="4.1000000000000002E-2"/>
    <n v="1079.8244099999999"/>
    <n v="719.41"/>
    <n v="24.57"/>
    <n v="26531.285753699998"/>
    <n v="17675.903699999999"/>
    <n v="8855.3820536999992"/>
    <n v="0.33377131194876397"/>
    <n v="3854.9731436999973"/>
    <n v="7568.7026100000021"/>
    <n v="0"/>
  </r>
  <r>
    <x v="585"/>
    <x v="449"/>
    <d v="2023-05-16T00:00:00"/>
    <s v="Q2-2023"/>
    <d v="2023-05-16T00:00:00"/>
    <n v="13"/>
    <x v="0"/>
    <x v="2"/>
    <x v="10"/>
    <x v="39"/>
    <s v="Corporate"/>
    <x v="2"/>
    <x v="4"/>
    <x v="3"/>
    <s v="Low"/>
    <x v="583"/>
    <n v="64.5"/>
    <n v="123.62"/>
    <n v="123.62"/>
    <n v="0"/>
    <n v="0"/>
    <x v="0"/>
    <n v="3"/>
    <n v="370.86"/>
    <n v="193.5"/>
    <n v="177.36"/>
    <n v="0.47823976702798904"/>
    <n v="0"/>
    <n v="123.62"/>
    <n v="64.5"/>
    <n v="3.51"/>
    <n v="433.90620000000001"/>
    <n v="226.39499999999998"/>
    <n v="207.51120000000003"/>
    <n v="0.47823976702798904"/>
    <n v="63.046199999999999"/>
    <n v="177.36"/>
    <n v="0"/>
  </r>
  <r>
    <x v="586"/>
    <x v="450"/>
    <d v="2024-04-06T00:00:00"/>
    <s v="Q1-2024"/>
    <d v="2024-04-06T00:00:00"/>
    <n v="24"/>
    <x v="0"/>
    <x v="0"/>
    <x v="1"/>
    <x v="7"/>
    <s v="Consumer"/>
    <x v="3"/>
    <x v="4"/>
    <x v="0"/>
    <s v="High"/>
    <x v="584"/>
    <n v="1232.78"/>
    <n v="1731.75"/>
    <n v="1731.75"/>
    <n v="9.2999999999999999E-2"/>
    <n v="9.2999999999999999E-2"/>
    <x v="0"/>
    <n v="16"/>
    <n v="25131.155999999999"/>
    <n v="19724.48"/>
    <n v="5406.6759999999995"/>
    <n v="0.21513837246484005"/>
    <n v="9.2999999999999999E-2"/>
    <n v="1570.6972499999999"/>
    <n v="1232.78"/>
    <n v="18.72"/>
    <n v="29403.452519999995"/>
    <n v="23077.641599999999"/>
    <n v="6325.8109199999963"/>
    <n v="0.21513837246483997"/>
    <n v="4272.2965199999962"/>
    <n v="5406.6759999999995"/>
    <n v="0"/>
  </r>
  <r>
    <x v="587"/>
    <x v="248"/>
    <d v="2024-06-21T00:00:00"/>
    <s v="Q2-2024"/>
    <d v="2024-06-21T00:00:00"/>
    <n v="5"/>
    <x v="1"/>
    <x v="1"/>
    <x v="2"/>
    <x v="27"/>
    <s v="Small Business"/>
    <x v="3"/>
    <x v="9"/>
    <x v="3"/>
    <s v="High"/>
    <x v="585"/>
    <n v="1367.13"/>
    <n v="3062.01"/>
    <n v="3062.01"/>
    <n v="0.10299999999999999"/>
    <n v="0.10299999999999999"/>
    <x v="0"/>
    <n v="25"/>
    <n v="68665.574250000005"/>
    <n v="34178.25"/>
    <n v="34487.324250000005"/>
    <n v="0.50225057645971705"/>
    <n v="0.10299999999999999"/>
    <n v="2746.6229700000004"/>
    <n v="1367.13"/>
    <n v="29.25"/>
    <n v="80338.721872500013"/>
    <n v="39988.552500000005"/>
    <n v="40350.169372500008"/>
    <n v="0.50225057645971705"/>
    <n v="11673.147622500008"/>
    <n v="34487.324250000005"/>
    <n v="0"/>
  </r>
  <r>
    <x v="588"/>
    <x v="146"/>
    <d v="2025-02-27T00:00:00"/>
    <s v="Q1-2025"/>
    <d v="2025-02-27T00:00:00"/>
    <n v="12"/>
    <x v="0"/>
    <x v="3"/>
    <x v="7"/>
    <x v="17"/>
    <s v="Non-Profit"/>
    <x v="4"/>
    <x v="11"/>
    <x v="6"/>
    <s v="High"/>
    <x v="586"/>
    <n v="1027.26"/>
    <n v="2200.41"/>
    <n v="2200.41"/>
    <n v="8.7999999999999995E-2"/>
    <n v="8.7999999999999995E-2"/>
    <x v="0"/>
    <n v="6"/>
    <n v="12040.64352"/>
    <n v="6163.5599999999995"/>
    <n v="5877.0835200000001"/>
    <n v="0.48810377204822358"/>
    <n v="8.7999999999999995E-2"/>
    <n v="2006.7739199999999"/>
    <n v="1027.26"/>
    <n v="7.02"/>
    <n v="14087.552918399999"/>
    <n v="7211.3651999999993"/>
    <n v="6876.1877183999995"/>
    <n v="0.48810377204822358"/>
    <n v="2046.9093983999992"/>
    <n v="5877.0835200000001"/>
    <n v="0"/>
  </r>
  <r>
    <x v="589"/>
    <x v="451"/>
    <d v="2023-04-16T00:00:00"/>
    <s v="Q2-2023"/>
    <d v="2023-04-16T00:00:00"/>
    <n v="13"/>
    <x v="0"/>
    <x v="3"/>
    <x v="7"/>
    <x v="11"/>
    <s v="Non-Profit"/>
    <x v="2"/>
    <x v="12"/>
    <x v="6"/>
    <s v="Low"/>
    <x v="587"/>
    <n v="790.54"/>
    <n v="601.49"/>
    <n v="601.49"/>
    <n v="0"/>
    <n v="0"/>
    <x v="0"/>
    <n v="15"/>
    <n v="9022.35"/>
    <n v="11858.099999999999"/>
    <n v="-2835.7499999999982"/>
    <n v="-0.31430281467688553"/>
    <n v="0"/>
    <n v="601.49"/>
    <n v="790.54"/>
    <n v="17.549999999999997"/>
    <n v="10556.149499999998"/>
    <n v="13873.976999999997"/>
    <n v="-3317.8274999999994"/>
    <n v="-0.31430281467688576"/>
    <n v="1533.7994999999974"/>
    <n v="-2835.7499999999982"/>
    <n v="0"/>
  </r>
  <r>
    <x v="590"/>
    <x v="387"/>
    <d v="2025-09-22T00:00:00"/>
    <s v="Q3-2025"/>
    <d v="2025-09-22T00:00:00"/>
    <n v="23"/>
    <x v="0"/>
    <x v="3"/>
    <x v="7"/>
    <x v="11"/>
    <s v="Corporate"/>
    <x v="4"/>
    <x v="6"/>
    <x v="0"/>
    <s v="Low"/>
    <x v="588"/>
    <n v="663.9"/>
    <n v="947.77"/>
    <n v="947.77"/>
    <n v="0.17399999999999999"/>
    <n v="0.17399999999999999"/>
    <x v="0"/>
    <n v="15"/>
    <n v="11742.8703"/>
    <n v="9958.5"/>
    <n v="1784.3703000000005"/>
    <n v="0.1519535049280073"/>
    <n v="0.17"/>
    <n v="786.64909999999998"/>
    <n v="663.9"/>
    <n v="17.549999999999997"/>
    <n v="13805.691704999997"/>
    <n v="11651.444999999998"/>
    <n v="2154.2467049999996"/>
    <n v="0.15604047598859516"/>
    <n v="2062.821404999997"/>
    <n v="1784.3703000000005"/>
    <n v="4.0869710605878629E-3"/>
  </r>
  <r>
    <x v="591"/>
    <x v="452"/>
    <d v="2023-02-26T00:00:00"/>
    <s v="Q1-2023"/>
    <d v="2023-03-18T00:00:00"/>
    <n v="19"/>
    <x v="0"/>
    <x v="2"/>
    <x v="10"/>
    <x v="24"/>
    <s v="Non-Profit"/>
    <x v="1"/>
    <x v="4"/>
    <x v="2"/>
    <s v="Medium"/>
    <x v="589"/>
    <n v="1015.91"/>
    <n v="2331.48"/>
    <n v="2331.48"/>
    <n v="0.14599999999999999"/>
    <n v="0.14599999999999999"/>
    <x v="0"/>
    <n v="26"/>
    <n v="51768.181920000003"/>
    <n v="26413.66"/>
    <n v="25354.521920000003"/>
    <n v="0.48977037592669626"/>
    <n v="0.14599999999999999"/>
    <n v="1991.08392"/>
    <n v="1015.91"/>
    <n v="30.419999999999998"/>
    <n v="60568.772846399996"/>
    <n v="30903.982199999999"/>
    <n v="29664.790646399997"/>
    <n v="0.48977037592669626"/>
    <n v="8800.5909263999929"/>
    <n v="25354.521920000003"/>
    <n v="0"/>
  </r>
  <r>
    <x v="592"/>
    <x v="453"/>
    <d v="2024-08-15T00:00:00"/>
    <s v="Q3-2024"/>
    <d v="2024-08-15T00:00:00"/>
    <n v="15"/>
    <x v="0"/>
    <x v="1"/>
    <x v="2"/>
    <x v="27"/>
    <s v="Corporate"/>
    <x v="2"/>
    <x v="9"/>
    <x v="5"/>
    <s v="High"/>
    <x v="590"/>
    <n v="1252.52"/>
    <n v="1417.24"/>
    <n v="1417.24"/>
    <n v="0.192"/>
    <n v="0.192"/>
    <x v="0"/>
    <n v="5"/>
    <n v="5725.6496000000006"/>
    <n v="6262.6"/>
    <n v="-536.95039999999972"/>
    <n v="-9.3779821943696953E-2"/>
    <n v="0.17"/>
    <n v="1176.3091999999999"/>
    <n v="1252.52"/>
    <n v="5.85"/>
    <n v="6881.4088199999987"/>
    <n v="7327.2419999999993"/>
    <n v="-445.83318000000054"/>
    <n v="-6.4788067627117182E-2"/>
    <n v="1155.7592199999981"/>
    <n v="-536.95039999999972"/>
    <n v="2.8991754316579771E-2"/>
  </r>
  <r>
    <x v="593"/>
    <x v="324"/>
    <d v="2025-07-12T00:00:00"/>
    <s v="Q2-2025"/>
    <d v="2025-07-12T00:00:00"/>
    <n v="27"/>
    <x v="0"/>
    <x v="3"/>
    <x v="7"/>
    <x v="11"/>
    <s v="Consumer"/>
    <x v="4"/>
    <x v="0"/>
    <x v="6"/>
    <s v="Medium"/>
    <x v="591"/>
    <n v="318.83"/>
    <n v="699.5"/>
    <n v="699.5"/>
    <n v="0.08"/>
    <n v="0.08"/>
    <x v="0"/>
    <n v="13"/>
    <n v="8366.02"/>
    <n v="4144.79"/>
    <n v="4221.2300000000005"/>
    <n v="0.50456848059172699"/>
    <n v="0.08"/>
    <n v="643.54000000000008"/>
    <n v="318.83"/>
    <n v="15.209999999999999"/>
    <n v="9788.2434000000012"/>
    <n v="4849.4042999999992"/>
    <n v="4938.839100000002"/>
    <n v="0.5045684805917271"/>
    <n v="1422.2234000000008"/>
    <n v="4221.2300000000005"/>
    <n v="0"/>
  </r>
  <r>
    <x v="594"/>
    <x v="24"/>
    <d v="2024-07-21T00:00:00"/>
    <s v="Q2-2024"/>
    <d v="2024-07-21T00:00:00"/>
    <n v="21"/>
    <x v="0"/>
    <x v="0"/>
    <x v="0"/>
    <x v="0"/>
    <s v="Small Business"/>
    <x v="0"/>
    <x v="11"/>
    <x v="4"/>
    <s v="High"/>
    <x v="592"/>
    <n v="753.43"/>
    <n v="1787.2"/>
    <n v="1787.2"/>
    <n v="7.2999999999999995E-2"/>
    <n v="7.2999999999999995E-2"/>
    <x v="0"/>
    <n v="9"/>
    <n v="14910.609600000002"/>
    <n v="6780.87"/>
    <n v="8129.7396000000017"/>
    <n v="0.54523187301476939"/>
    <n v="7.2999999999999995E-2"/>
    <n v="1656.7344000000001"/>
    <n v="753.43"/>
    <n v="10.53"/>
    <n v="17445.413231999999"/>
    <n v="7933.6178999999993"/>
    <n v="9511.7953319999997"/>
    <n v="0.54523187301476927"/>
    <n v="2534.8036319999974"/>
    <n v="8129.7396000000017"/>
    <n v="0"/>
  </r>
  <r>
    <x v="595"/>
    <x v="454"/>
    <d v="2025-02-15T00:00:00"/>
    <s v="Q1-2025"/>
    <d v="2025-03-07T00:00:00"/>
    <n v="18"/>
    <x v="0"/>
    <x v="2"/>
    <x v="3"/>
    <x v="5"/>
    <s v="Small Business"/>
    <x v="0"/>
    <x v="14"/>
    <x v="0"/>
    <s v="High"/>
    <x v="593"/>
    <n v="1133.47"/>
    <n v="1698.75"/>
    <n v="1698.75"/>
    <n v="4.2999999999999997E-2"/>
    <n v="4.2999999999999997E-2"/>
    <x v="0"/>
    <n v="5"/>
    <n v="8128.5187499999993"/>
    <n v="5667.35"/>
    <n v="2461.1687499999989"/>
    <n v="0.30278194904821976"/>
    <n v="4.2999999999999997E-2"/>
    <n v="1625.7037499999999"/>
    <n v="1133.47"/>
    <n v="5.85"/>
    <n v="9510.366937499999"/>
    <n v="6630.7995000000001"/>
    <n v="2879.567437499999"/>
    <n v="0.30278194904821981"/>
    <n v="1381.8481874999998"/>
    <n v="2461.1687499999989"/>
    <n v="0"/>
  </r>
  <r>
    <x v="596"/>
    <x v="455"/>
    <d v="2023-01-30T00:00:00"/>
    <s v="Q1-2023"/>
    <d v="2023-01-30T00:00:00"/>
    <n v="23"/>
    <x v="0"/>
    <x v="0"/>
    <x v="11"/>
    <x v="33"/>
    <s v="Consumer"/>
    <x v="1"/>
    <x v="8"/>
    <x v="1"/>
    <s v="Low"/>
    <x v="594"/>
    <n v="299.02"/>
    <n v="724.7"/>
    <n v="724.7"/>
    <n v="0.14000000000000001"/>
    <n v="0.14000000000000001"/>
    <x v="0"/>
    <n v="5"/>
    <n v="3116.21"/>
    <n v="1495.1"/>
    <n v="1621.1100000000001"/>
    <n v="0.52021847051386139"/>
    <n v="0.14000000000000001"/>
    <n v="623.24200000000008"/>
    <n v="299.02"/>
    <n v="5.85"/>
    <n v="3645.9657000000002"/>
    <n v="1749.2669999999998"/>
    <n v="1896.6987000000004"/>
    <n v="0.5202184705138615"/>
    <n v="529.75570000000016"/>
    <n v="1621.1100000000001"/>
    <n v="0"/>
  </r>
  <r>
    <x v="597"/>
    <x v="401"/>
    <d v="2025-04-04T00:00:00"/>
    <s v="Q1-2025"/>
    <d v="2025-04-04T00:00:00"/>
    <n v="25"/>
    <x v="0"/>
    <x v="1"/>
    <x v="2"/>
    <x v="4"/>
    <s v="Corporate"/>
    <x v="4"/>
    <x v="10"/>
    <x v="1"/>
    <s v="Medium"/>
    <x v="595"/>
    <n v="783.72"/>
    <n v="1355.94"/>
    <n v="1355.94"/>
    <n v="0.187"/>
    <n v="0.187"/>
    <x v="0"/>
    <n v="4"/>
    <n v="4409.5168800000001"/>
    <n v="3134.88"/>
    <n v="1274.63688"/>
    <n v="0.28906497348525856"/>
    <n v="0.17"/>
    <n v="1125.4302"/>
    <n v="783.72"/>
    <n v="4.68"/>
    <n v="5267.013336"/>
    <n v="3667.8096"/>
    <n v="1599.2037359999999"/>
    <n v="0.30362629330544"/>
    <n v="857.49645599999985"/>
    <n v="1274.63688"/>
    <n v="1.456131982018144E-2"/>
  </r>
  <r>
    <x v="598"/>
    <x v="456"/>
    <d v="2024-08-15T00:00:00"/>
    <s v="Q3-2024"/>
    <d v="2024-09-04T00:00:00"/>
    <n v="18"/>
    <x v="0"/>
    <x v="2"/>
    <x v="5"/>
    <x v="30"/>
    <s v="Consumer"/>
    <x v="4"/>
    <x v="12"/>
    <x v="5"/>
    <s v="Low"/>
    <x v="596"/>
    <n v="165.3"/>
    <n v="275.07"/>
    <n v="275.07"/>
    <n v="0.13300000000000001"/>
    <n v="0.13300000000000001"/>
    <x v="0"/>
    <n v="25"/>
    <n v="5962.1422499999999"/>
    <n v="4132.5"/>
    <n v="1829.6422499999999"/>
    <n v="0.30687665159280625"/>
    <n v="0.13300000000000001"/>
    <n v="238.48569000000001"/>
    <n v="165.3"/>
    <n v="29.25"/>
    <n v="6975.7064325000001"/>
    <n v="4835.0250000000005"/>
    <n v="2140.6814324999996"/>
    <n v="0.30687665159280619"/>
    <n v="1013.5641825000002"/>
    <n v="1829.6422499999999"/>
    <n v="0"/>
  </r>
  <r>
    <x v="599"/>
    <x v="306"/>
    <d v="2024-03-22T00:00:00"/>
    <s v="Q1-2024"/>
    <d v="2024-03-22T00:00:00"/>
    <n v="13"/>
    <x v="0"/>
    <x v="3"/>
    <x v="8"/>
    <x v="31"/>
    <s v="Consumer"/>
    <x v="1"/>
    <x v="6"/>
    <x v="4"/>
    <s v="High"/>
    <x v="597"/>
    <n v="985.45"/>
    <n v="1802.44"/>
    <n v="1802.44"/>
    <n v="8.9999999999999993E-3"/>
    <n v="8.9999999999999993E-3"/>
    <x v="0"/>
    <n v="19"/>
    <n v="33938.142760000002"/>
    <n v="18723.55"/>
    <n v="15214.592760000003"/>
    <n v="0.44830363486867486"/>
    <n v="8.9999999999999993E-3"/>
    <n v="1786.21804"/>
    <n v="985.45"/>
    <n v="22.229999999999997"/>
    <n v="39707.627029199997"/>
    <n v="21906.553499999998"/>
    <n v="17801.073529199999"/>
    <n v="0.44830363486867481"/>
    <n v="5769.4842691999947"/>
    <n v="15214.592760000003"/>
    <n v="0"/>
  </r>
  <r>
    <x v="600"/>
    <x v="395"/>
    <d v="2024-09-02T00:00:00"/>
    <s v="Q3-2024"/>
    <d v="2024-09-02T00:00:00"/>
    <n v="14"/>
    <x v="0"/>
    <x v="2"/>
    <x v="3"/>
    <x v="5"/>
    <s v="Consumer"/>
    <x v="3"/>
    <x v="0"/>
    <x v="1"/>
    <s v="Medium"/>
    <x v="598"/>
    <n v="1337.01"/>
    <n v="1269.78"/>
    <n v="1269.78"/>
    <n v="0.16"/>
    <n v="0.16"/>
    <x v="0"/>
    <n v="7"/>
    <n v="7466.3063999999986"/>
    <n v="9359.07"/>
    <n v="-1892.7636000000011"/>
    <n v="-0.25350735672996244"/>
    <n v="0.16"/>
    <n v="1066.6152"/>
    <n v="1337.01"/>
    <n v="8.19"/>
    <n v="8735.5784879999992"/>
    <n v="10950.1119"/>
    <n v="-2214.5334120000007"/>
    <n v="-0.25350735672996233"/>
    <n v="1269.2720880000006"/>
    <n v="-1892.7636000000011"/>
    <n v="0"/>
  </r>
  <r>
    <x v="601"/>
    <x v="457"/>
    <d v="2025-08-28T00:00:00"/>
    <s v="Q3-2025"/>
    <d v="2025-08-28T00:00:00"/>
    <n v="17"/>
    <x v="0"/>
    <x v="3"/>
    <x v="7"/>
    <x v="28"/>
    <s v="Education"/>
    <x v="1"/>
    <x v="9"/>
    <x v="2"/>
    <s v="Low"/>
    <x v="599"/>
    <n v="416.16"/>
    <n v="571.9"/>
    <n v="571.9"/>
    <n v="7.0999999999999994E-2"/>
    <n v="7.0999999999999994E-2"/>
    <x v="0"/>
    <n v="2"/>
    <n v="1062.5902000000001"/>
    <n v="832.32"/>
    <n v="230.27020000000005"/>
    <n v="0.21670649701079497"/>
    <n v="7.0999999999999994E-2"/>
    <n v="531.29510000000005"/>
    <n v="416.16"/>
    <n v="2.34"/>
    <n v="1243.230534"/>
    <n v="973.81439999999998"/>
    <n v="269.41613400000006"/>
    <n v="0.21670649701079497"/>
    <n v="180.64033399999994"/>
    <n v="230.27020000000005"/>
    <n v="0"/>
  </r>
  <r>
    <x v="602"/>
    <x v="216"/>
    <d v="2025-05-18T00:00:00"/>
    <s v="Q2-2025"/>
    <d v="2025-05-18T00:00:00"/>
    <n v="2"/>
    <x v="1"/>
    <x v="1"/>
    <x v="2"/>
    <x v="27"/>
    <s v="Enterprise"/>
    <x v="0"/>
    <x v="1"/>
    <x v="1"/>
    <s v="High"/>
    <x v="600"/>
    <n v="1144.3800000000001"/>
    <n v="2755.04"/>
    <n v="2755.04"/>
    <n v="0.15"/>
    <n v="0.15"/>
    <x v="0"/>
    <n v="17"/>
    <n v="39810.328000000001"/>
    <n v="19454.460000000003"/>
    <n v="20355.867999999999"/>
    <n v="0.51132128326096682"/>
    <n v="0.15"/>
    <n v="2341.7840000000001"/>
    <n v="1144.3800000000001"/>
    <n v="19.89"/>
    <n v="46578.083760000001"/>
    <n v="22761.718200000003"/>
    <n v="23816.365559999998"/>
    <n v="0.51132128326096682"/>
    <n v="6767.75576"/>
    <n v="20355.867999999999"/>
    <n v="0"/>
  </r>
  <r>
    <x v="603"/>
    <x v="458"/>
    <d v="2023-04-25T00:00:00"/>
    <s v="Q2-2023"/>
    <d v="2023-04-25T00:00:00"/>
    <n v="15"/>
    <x v="0"/>
    <x v="3"/>
    <x v="8"/>
    <x v="21"/>
    <s v="Small Business"/>
    <x v="0"/>
    <x v="14"/>
    <x v="1"/>
    <s v="Low"/>
    <x v="601"/>
    <n v="405.66"/>
    <n v="962.51"/>
    <n v="962.51"/>
    <n v="0.19"/>
    <n v="0.19"/>
    <x v="0"/>
    <n v="7"/>
    <n v="5457.4317000000001"/>
    <n v="2839.6200000000003"/>
    <n v="2617.8116999999997"/>
    <n v="0.47967832561239376"/>
    <n v="0.17"/>
    <n v="798.88329999999996"/>
    <n v="405.66"/>
    <n v="8.19"/>
    <n v="6542.8542269999989"/>
    <n v="3322.3553999999999"/>
    <n v="3220.498826999999"/>
    <n v="0.49221619728438426"/>
    <n v="1085.4225269999988"/>
    <n v="2617.8116999999997"/>
    <n v="1.2537871671990497E-2"/>
  </r>
  <r>
    <x v="604"/>
    <x v="459"/>
    <d v="2023-10-02T00:00:00"/>
    <s v="Q3-2023"/>
    <d v="2023-10-02T00:00:00"/>
    <n v="15"/>
    <x v="0"/>
    <x v="2"/>
    <x v="5"/>
    <x v="30"/>
    <s v="Small Business"/>
    <x v="0"/>
    <x v="5"/>
    <x v="4"/>
    <s v="High"/>
    <x v="602"/>
    <n v="689.33"/>
    <n v="668.27"/>
    <n v="668.27"/>
    <n v="0.186"/>
    <n v="0.186"/>
    <x v="0"/>
    <n v="13"/>
    <n v="7071.6331400000008"/>
    <n v="8961.2900000000009"/>
    <n v="-1889.6568600000001"/>
    <n v="-0.26721647214861033"/>
    <n v="0.17"/>
    <n v="554.66409999999996"/>
    <n v="689.33"/>
    <n v="15.209999999999999"/>
    <n v="8436.4409609999984"/>
    <n v="10484.7093"/>
    <n v="-2048.268339000002"/>
    <n v="-0.24278820280598681"/>
    <n v="1364.8078209999976"/>
    <n v="-1889.6568600000001"/>
    <n v="2.4428269342623515E-2"/>
  </r>
  <r>
    <x v="605"/>
    <x v="460"/>
    <d v="2023-05-14T00:00:00"/>
    <s v="Q2-2023"/>
    <d v="2023-05-14T00:00:00"/>
    <n v="22"/>
    <x v="0"/>
    <x v="1"/>
    <x v="2"/>
    <x v="32"/>
    <s v="Enterprise"/>
    <x v="0"/>
    <x v="8"/>
    <x v="6"/>
    <s v="High"/>
    <x v="603"/>
    <n v="1209.22"/>
    <n v="1404.33"/>
    <n v="1404.33"/>
    <n v="0.10299999999999999"/>
    <n v="0.10299999999999999"/>
    <x v="0"/>
    <n v="11"/>
    <n v="13856.52411"/>
    <n v="13301.42"/>
    <n v="555.10411000000022"/>
    <n v="4.0060848275751328E-2"/>
    <n v="0.10299999999999999"/>
    <n v="1259.6840099999999"/>
    <n v="1209.22"/>
    <n v="12.87"/>
    <n v="16212.133208699999"/>
    <n v="15562.661399999999"/>
    <n v="649.47180870000011"/>
    <n v="4.0060848275751321E-2"/>
    <n v="2355.6090986999989"/>
    <n v="555.10411000000022"/>
    <n v="0"/>
  </r>
  <r>
    <x v="606"/>
    <x v="111"/>
    <d v="2025-06-21T00:00:00"/>
    <s v="Q2-2025"/>
    <d v="2025-06-21T00:00:00"/>
    <n v="2"/>
    <x v="1"/>
    <x v="0"/>
    <x v="11"/>
    <x v="20"/>
    <s v="Small Business"/>
    <x v="5"/>
    <x v="10"/>
    <x v="3"/>
    <s v="High"/>
    <x v="604"/>
    <n v="1466.27"/>
    <n v="3589.89"/>
    <n v="3589.89"/>
    <n v="9.7000000000000003E-2"/>
    <n v="9.7000000000000003E-2"/>
    <x v="0"/>
    <n v="9"/>
    <n v="29175.036029999999"/>
    <n v="13196.43"/>
    <n v="15978.606029999999"/>
    <n v="0.54768076425234147"/>
    <n v="9.7000000000000003E-2"/>
    <n v="3241.67067"/>
    <n v="1466.27"/>
    <n v="10.53"/>
    <n v="34134.792155099996"/>
    <n v="15439.8231"/>
    <n v="18694.969055099995"/>
    <n v="0.54768076425234147"/>
    <n v="4959.756125099997"/>
    <n v="15978.606029999999"/>
    <n v="0"/>
  </r>
  <r>
    <x v="607"/>
    <x v="461"/>
    <d v="2024-12-24T00:00:00"/>
    <s v="Q4-2024"/>
    <d v="2024-12-24T00:00:00"/>
    <n v="27"/>
    <x v="0"/>
    <x v="0"/>
    <x v="0"/>
    <x v="13"/>
    <s v="Corporate"/>
    <x v="3"/>
    <x v="5"/>
    <x v="1"/>
    <s v="Low"/>
    <x v="605"/>
    <n v="143.33000000000001"/>
    <n v="233.51"/>
    <n v="233.51"/>
    <n v="0.16300000000000001"/>
    <n v="0.16300000000000001"/>
    <x v="0"/>
    <n v="14"/>
    <n v="2736.27018"/>
    <n v="2006.6200000000001"/>
    <n v="729.65017999999986"/>
    <n v="0.26665867476580835"/>
    <n v="0.16300000000000001"/>
    <n v="195.44786999999999"/>
    <n v="143.33000000000001"/>
    <n v="16.38"/>
    <n v="3201.4361105999997"/>
    <n v="2347.7454000000002"/>
    <n v="853.69071059999942"/>
    <n v="0.26665867476580823"/>
    <n v="465.16593059999968"/>
    <n v="729.65017999999986"/>
    <n v="0"/>
  </r>
  <r>
    <x v="608"/>
    <x v="10"/>
    <d v="2024-01-27T00:00:00"/>
    <s v="Q1-2024"/>
    <d v="2024-02-16T00:00:00"/>
    <n v="19"/>
    <x v="0"/>
    <x v="0"/>
    <x v="11"/>
    <x v="33"/>
    <s v="Enterprise"/>
    <x v="4"/>
    <x v="7"/>
    <x v="0"/>
    <s v="Low"/>
    <x v="606"/>
    <n v="109.75"/>
    <n v="124.25"/>
    <n v="124.25"/>
    <n v="0.12"/>
    <n v="0.12"/>
    <x v="0"/>
    <n v="19"/>
    <n v="2077.46"/>
    <n v="2085.25"/>
    <n v="-7.7899999999999636"/>
    <n v="-3.7497713554051405E-3"/>
    <n v="0.12"/>
    <n v="109.34"/>
    <n v="109.75"/>
    <n v="22.229999999999997"/>
    <n v="2430.6281999999997"/>
    <n v="2439.7424999999998"/>
    <n v="-9.1143000000001848"/>
    <n v="-3.7497713554052346E-3"/>
    <n v="353.16819999999962"/>
    <n v="-7.7899999999999636"/>
    <n v="-9.4108748571741785E-17"/>
  </r>
  <r>
    <x v="609"/>
    <x v="386"/>
    <d v="2023-04-23T00:00:00"/>
    <s v="Q2-2023"/>
    <d v="2023-04-23T00:00:00"/>
    <n v="7"/>
    <x v="1"/>
    <x v="2"/>
    <x v="10"/>
    <x v="36"/>
    <s v="Corporate"/>
    <x v="3"/>
    <x v="7"/>
    <x v="1"/>
    <s v="Medium"/>
    <x v="607"/>
    <n v="1099.1500000000001"/>
    <n v="1431.37"/>
    <n v="1431.37"/>
    <n v="0.104"/>
    <n v="0.104"/>
    <x v="0"/>
    <n v="8"/>
    <n v="10260.060159999999"/>
    <n v="8793.2000000000007"/>
    <n v="1466.8601599999984"/>
    <n v="0.14296798821109433"/>
    <n v="0.104"/>
    <n v="1282.5075199999999"/>
    <n v="1099.1500000000001"/>
    <n v="9.36"/>
    <n v="12004.270387199998"/>
    <n v="10288.044"/>
    <n v="1716.2263871999985"/>
    <n v="0.14296798821109435"/>
    <n v="1744.2102271999993"/>
    <n v="1466.8601599999984"/>
    <n v="0"/>
  </r>
  <r>
    <x v="610"/>
    <x v="145"/>
    <d v="2024-02-01T00:00:00"/>
    <s v="Q1-2024"/>
    <d v="2024-02-01T00:00:00"/>
    <n v="0"/>
    <x v="1"/>
    <x v="2"/>
    <x v="10"/>
    <x v="36"/>
    <s v="Consumer"/>
    <x v="3"/>
    <x v="10"/>
    <x v="1"/>
    <s v="Medium"/>
    <x v="608"/>
    <n v="714.43"/>
    <n v="1595.52"/>
    <n v="1595.52"/>
    <n v="0.19400000000000001"/>
    <n v="0.19400000000000001"/>
    <x v="0"/>
    <n v="14"/>
    <n v="18003.847679999999"/>
    <n v="10002.019999999999"/>
    <n v="8001.8276800000003"/>
    <n v="0.44445097638151093"/>
    <n v="0.17"/>
    <n v="1324.2816"/>
    <n v="714.43"/>
    <n v="16.38"/>
    <n v="21691.732607999998"/>
    <n v="11702.363399999998"/>
    <n v="9989.3692080000001"/>
    <n v="0.46051504453433473"/>
    <n v="3687.8849279999995"/>
    <n v="8001.8276800000003"/>
    <n v="1.6064068152823796E-2"/>
  </r>
  <r>
    <x v="611"/>
    <x v="462"/>
    <d v="2024-11-06T00:00:00"/>
    <s v="Q4-2024"/>
    <d v="2024-11-06T00:00:00"/>
    <n v="18"/>
    <x v="0"/>
    <x v="2"/>
    <x v="10"/>
    <x v="15"/>
    <s v="Education"/>
    <x v="5"/>
    <x v="0"/>
    <x v="5"/>
    <s v="Medium"/>
    <x v="609"/>
    <n v="942.02"/>
    <n v="1028.46"/>
    <n v="1028.46"/>
    <n v="0"/>
    <n v="0"/>
    <x v="0"/>
    <n v="9"/>
    <n v="9256.14"/>
    <n v="8478.18"/>
    <n v="777.95999999999913"/>
    <n v="8.4047994088248354E-2"/>
    <n v="0"/>
    <n v="1028.46"/>
    <n v="942.02"/>
    <n v="10.53"/>
    <n v="10829.683799999999"/>
    <n v="9919.4705999999987"/>
    <n v="910.21320000000014"/>
    <n v="8.4047994088248465E-2"/>
    <n v="1573.5437999999995"/>
    <n v="777.95999999999913"/>
    <n v="1.1102230246251565E-16"/>
  </r>
  <r>
    <x v="612"/>
    <x v="463"/>
    <d v="2024-06-30T00:00:00"/>
    <s v="Q2-2024"/>
    <d v="2024-06-30T00:00:00"/>
    <n v="5"/>
    <x v="1"/>
    <x v="0"/>
    <x v="0"/>
    <x v="0"/>
    <s v="Education"/>
    <x v="4"/>
    <x v="12"/>
    <x v="2"/>
    <s v="High"/>
    <x v="610"/>
    <n v="1323.55"/>
    <n v="3230.35"/>
    <n v="3230.35"/>
    <n v="2.1999999999999999E-2"/>
    <n v="2.1999999999999999E-2"/>
    <x v="0"/>
    <n v="26"/>
    <n v="82141.339799999987"/>
    <n v="34412.299999999996"/>
    <n v="47729.039799999991"/>
    <n v="0.58105991351263542"/>
    <n v="2.1999999999999999E-2"/>
    <n v="3159.2822999999999"/>
    <n v="1323.55"/>
    <n v="30.419999999999998"/>
    <n v="96105.367565999986"/>
    <n v="40262.390999999996"/>
    <n v="55842.97656599999"/>
    <n v="0.58105991351263542"/>
    <n v="13964.027765999999"/>
    <n v="47729.039799999991"/>
    <n v="0"/>
  </r>
  <r>
    <x v="613"/>
    <x v="202"/>
    <d v="2023-08-19T00:00:00"/>
    <s v="Q3-2023"/>
    <d v="2023-08-19T00:00:00"/>
    <n v="20"/>
    <x v="0"/>
    <x v="3"/>
    <x v="7"/>
    <x v="28"/>
    <s v="Enterprise"/>
    <x v="2"/>
    <x v="3"/>
    <x v="2"/>
    <s v="High"/>
    <x v="611"/>
    <n v="1418.51"/>
    <n v="2789.61"/>
    <n v="2789.61"/>
    <n v="0.17100000000000001"/>
    <n v="0.17100000000000001"/>
    <x v="0"/>
    <n v="8"/>
    <n v="18500.693520000001"/>
    <n v="11348.08"/>
    <n v="7152.6135200000008"/>
    <n v="0.38661326464695689"/>
    <n v="0.17"/>
    <n v="2315.3762999999999"/>
    <n v="1418.51"/>
    <n v="9.36"/>
    <n v="21671.922167999997"/>
    <n v="13277.2536"/>
    <n v="8394.6685679999973"/>
    <n v="0.38735228481003275"/>
    <n v="3171.2286479999966"/>
    <n v="7152.6135200000008"/>
    <n v="7.3902016307586527E-4"/>
  </r>
  <r>
    <x v="614"/>
    <x v="417"/>
    <d v="2025-03-27T00:00:00"/>
    <s v="Q1-2025"/>
    <d v="2025-03-27T00:00:00"/>
    <n v="16"/>
    <x v="0"/>
    <x v="1"/>
    <x v="2"/>
    <x v="27"/>
    <s v="Enterprise"/>
    <x v="3"/>
    <x v="5"/>
    <x v="1"/>
    <s v="High"/>
    <x v="612"/>
    <n v="1317.58"/>
    <n v="1897.74"/>
    <n v="1897.74"/>
    <n v="8.1000000000000003E-2"/>
    <n v="8.1000000000000003E-2"/>
    <x v="0"/>
    <n v="6"/>
    <n v="10464.138360000001"/>
    <n v="7905.48"/>
    <n v="2558.6583600000013"/>
    <n v="0.24451687009230266"/>
    <n v="8.1000000000000003E-2"/>
    <n v="1744.02306"/>
    <n v="1317.58"/>
    <n v="7.02"/>
    <n v="12243.041881199999"/>
    <n v="9249.4115999999995"/>
    <n v="2993.6302811999994"/>
    <n v="0.24451687009230255"/>
    <n v="1778.9035211999981"/>
    <n v="2558.6583600000013"/>
    <n v="0"/>
  </r>
  <r>
    <x v="615"/>
    <x v="326"/>
    <d v="2023-10-11T00:00:00"/>
    <s v="Q4-2023"/>
    <d v="2023-10-11T00:00:00"/>
    <n v="2"/>
    <x v="1"/>
    <x v="0"/>
    <x v="1"/>
    <x v="1"/>
    <s v="Education"/>
    <x v="2"/>
    <x v="11"/>
    <x v="2"/>
    <s v="Low"/>
    <x v="613"/>
    <n v="391.16"/>
    <n v="902.47"/>
    <n v="902.47"/>
    <n v="4.0000000000000001E-3"/>
    <n v="4.0000000000000001E-3"/>
    <x v="0"/>
    <n v="12"/>
    <n v="10786.32144"/>
    <n v="4693.92"/>
    <n v="6092.4014399999996"/>
    <n v="0.56482661618139207"/>
    <n v="4.0000000000000001E-3"/>
    <n v="898.86012000000005"/>
    <n v="391.16"/>
    <n v="14.04"/>
    <n v="12619.996084799999"/>
    <n v="5491.8864000000003"/>
    <n v="7128.1096847999988"/>
    <n v="0.56482661618139196"/>
    <n v="1833.6746447999994"/>
    <n v="6092.4014399999996"/>
    <n v="0"/>
  </r>
  <r>
    <x v="616"/>
    <x v="55"/>
    <d v="2025-01-16T00:00:00"/>
    <s v="Q4-2024"/>
    <d v="2025-01-16T00:00:00"/>
    <n v="30"/>
    <x v="0"/>
    <x v="3"/>
    <x v="8"/>
    <x v="31"/>
    <s v="Corporate"/>
    <x v="0"/>
    <x v="14"/>
    <x v="5"/>
    <s v="High"/>
    <x v="614"/>
    <n v="722.87"/>
    <n v="-33.659999999999997"/>
    <n v="1186.26"/>
    <n v="0.10199999999999999"/>
    <n v="0.10199999999999999"/>
    <x v="0"/>
    <n v="28"/>
    <n v="29827.32144"/>
    <n v="20240.36"/>
    <n v="9586.9614399999991"/>
    <n v="0.32141543313853793"/>
    <n v="0.10199999999999999"/>
    <n v="1065.2614800000001"/>
    <n v="722.87"/>
    <n v="32.76"/>
    <n v="34897.966084799998"/>
    <n v="23681.2212"/>
    <n v="11216.744884799999"/>
    <n v="0.32141543313853793"/>
    <n v="5070.6446447999988"/>
    <n v="9586.9614399999991"/>
    <n v="0"/>
  </r>
  <r>
    <x v="617"/>
    <x v="444"/>
    <d v="2025-07-16T00:00:00"/>
    <s v="Q3-2025"/>
    <d v="2025-07-16T00:00:00"/>
    <n v="5"/>
    <x v="1"/>
    <x v="3"/>
    <x v="8"/>
    <x v="21"/>
    <s v="Enterprise"/>
    <x v="1"/>
    <x v="11"/>
    <x v="1"/>
    <s v="Low"/>
    <x v="615"/>
    <n v="930.03"/>
    <n v="1086.68"/>
    <n v="1086.68"/>
    <n v="0.109"/>
    <n v="0.109"/>
    <x v="0"/>
    <n v="26"/>
    <n v="25174.028880000002"/>
    <n v="24180.78"/>
    <n v="993.24888000000283"/>
    <n v="3.9455300728168656E-2"/>
    <n v="0.109"/>
    <n v="968.23188000000005"/>
    <n v="930.03"/>
    <n v="30.419999999999998"/>
    <n v="29453.6137896"/>
    <n v="28291.512599999998"/>
    <n v="1162.1011896000018"/>
    <n v="3.9455300728168607E-2"/>
    <n v="4279.5849095999984"/>
    <n v="993.24888000000283"/>
    <n v="0"/>
  </r>
  <r>
    <x v="618"/>
    <x v="464"/>
    <d v="2024-10-24T00:00:00"/>
    <s v="Q4-2024"/>
    <d v="2024-10-24T00:00:00"/>
    <n v="11"/>
    <x v="0"/>
    <x v="3"/>
    <x v="7"/>
    <x v="28"/>
    <s v="Education"/>
    <x v="3"/>
    <x v="9"/>
    <x v="0"/>
    <s v="Medium"/>
    <x v="616"/>
    <n v="816.7"/>
    <n v="1010.75"/>
    <n v="1010.75"/>
    <n v="4.7E-2"/>
    <n v="4.7E-2"/>
    <x v="0"/>
    <n v="43"/>
    <n v="41419.524249999995"/>
    <n v="35118.1"/>
    <n v="6301.4242499999964"/>
    <n v="0.15213656757537472"/>
    <n v="4.7E-2"/>
    <n v="963.24474999999995"/>
    <n v="816.7"/>
    <n v="50.309999999999995"/>
    <n v="48460.843372499992"/>
    <n v="41088.176999999996"/>
    <n v="7372.6663724999962"/>
    <n v="0.15213656757537475"/>
    <n v="7041.3191224999973"/>
    <n v="6301.4242499999964"/>
    <n v="0"/>
  </r>
  <r>
    <x v="619"/>
    <x v="428"/>
    <d v="2023-09-14T00:00:00"/>
    <s v="Q3-2023"/>
    <d v="2023-09-14T00:00:00"/>
    <n v="6"/>
    <x v="1"/>
    <x v="0"/>
    <x v="0"/>
    <x v="16"/>
    <s v="Education"/>
    <x v="4"/>
    <x v="2"/>
    <x v="6"/>
    <s v="Low"/>
    <x v="617"/>
    <n v="251.03"/>
    <n v="411.48"/>
    <n v="411.48"/>
    <n v="0.16500000000000001"/>
    <n v="0.16500000000000001"/>
    <x v="0"/>
    <n v="3"/>
    <n v="1030.7574"/>
    <n v="753.09"/>
    <n v="277.66739999999993"/>
    <n v="0.26938191275658069"/>
    <n v="0.16500000000000001"/>
    <n v="343.58580000000001"/>
    <n v="251.03"/>
    <n v="3.51"/>
    <n v="1205.9861579999999"/>
    <n v="881.11529999999993"/>
    <n v="324.870858"/>
    <n v="0.26938191275658074"/>
    <n v="175.22875799999997"/>
    <n v="277.66739999999993"/>
    <n v="0"/>
  </r>
  <r>
    <x v="620"/>
    <x v="448"/>
    <d v="2025-05-03T00:00:00"/>
    <s v="Q2-2025"/>
    <d v="2025-05-03T00:00:00"/>
    <n v="16"/>
    <x v="0"/>
    <x v="2"/>
    <x v="5"/>
    <x v="30"/>
    <s v="Consumer"/>
    <x v="2"/>
    <x v="1"/>
    <x v="2"/>
    <s v="Low"/>
    <x v="618"/>
    <n v="168.68"/>
    <n v="413.34"/>
    <n v="413.34"/>
    <n v="0.186"/>
    <n v="0.186"/>
    <x v="0"/>
    <n v="7"/>
    <n v="2355.2113199999999"/>
    <n v="1180.76"/>
    <n v="1174.4513199999999"/>
    <n v="0.49866069767361682"/>
    <n v="0.17"/>
    <n v="343.07219999999995"/>
    <n v="168.68"/>
    <n v="8.19"/>
    <n v="2809.7613179999994"/>
    <n v="1381.4892"/>
    <n v="1428.2721179999994"/>
    <n v="0.50832506976665548"/>
    <n v="454.5499979999995"/>
    <n v="1174.4513199999999"/>
    <n v="9.6643720930386645E-3"/>
  </r>
  <r>
    <x v="621"/>
    <x v="465"/>
    <d v="2024-08-23T00:00:00"/>
    <s v="Q3-2024"/>
    <d v="2024-08-23T00:00:00"/>
    <n v="26"/>
    <x v="0"/>
    <x v="1"/>
    <x v="4"/>
    <x v="34"/>
    <s v="Corporate"/>
    <x v="0"/>
    <x v="1"/>
    <x v="2"/>
    <s v="Low"/>
    <x v="619"/>
    <n v="1339.24"/>
    <n v="1558.89"/>
    <n v="1558.89"/>
    <n v="0.192"/>
    <n v="0.192"/>
    <x v="0"/>
    <n v="24"/>
    <n v="30229.994880000002"/>
    <n v="32141.760000000002"/>
    <n v="-1911.76512"/>
    <n v="-6.3240669659021781E-2"/>
    <n v="0.17"/>
    <n v="1293.8787"/>
    <n v="1339.24"/>
    <n v="28.08"/>
    <n v="36332.113895999995"/>
    <n v="37605.859199999999"/>
    <n v="-1273.7453040000037"/>
    <n v="-3.5058386848782763E-2"/>
    <n v="6102.1190159999933"/>
    <n v="-1911.76512"/>
    <n v="2.8182282810239018E-2"/>
  </r>
  <r>
    <x v="622"/>
    <x v="466"/>
    <d v="2025-07-31T00:00:00"/>
    <s v="Q3-2025"/>
    <d v="2025-07-31T00:00:00"/>
    <n v="12"/>
    <x v="0"/>
    <x v="0"/>
    <x v="0"/>
    <x v="2"/>
    <s v="Small Business"/>
    <x v="2"/>
    <x v="7"/>
    <x v="6"/>
    <s v="Low"/>
    <x v="620"/>
    <n v="619.64"/>
    <n v="861.16"/>
    <n v="861.16"/>
    <n v="0.113"/>
    <n v="0.113"/>
    <x v="0"/>
    <n v="14"/>
    <n v="10693.88488"/>
    <n v="8674.9599999999991"/>
    <n v="2018.9248800000005"/>
    <n v="0.18879246435276761"/>
    <n v="0.113"/>
    <n v="763.84892000000002"/>
    <n v="619.64"/>
    <n v="16.38"/>
    <n v="12511.845309599999"/>
    <n v="10149.7032"/>
    <n v="2362.1421095999995"/>
    <n v="0.18879246435276753"/>
    <n v="1817.9604295999998"/>
    <n v="2018.9248800000005"/>
    <n v="0"/>
  </r>
  <r>
    <x v="623"/>
    <x v="241"/>
    <d v="2023-08-02T00:00:00"/>
    <s v="Q3-2023"/>
    <d v="2023-08-22T00:00:00"/>
    <n v="19"/>
    <x v="0"/>
    <x v="1"/>
    <x v="9"/>
    <x v="23"/>
    <s v="Non-Profit"/>
    <x v="4"/>
    <x v="1"/>
    <x v="2"/>
    <s v="Low"/>
    <x v="621"/>
    <n v="1021.97"/>
    <n v="2296.25"/>
    <n v="2296.25"/>
    <n v="0.161"/>
    <n v="0.161"/>
    <x v="0"/>
    <n v="26"/>
    <n v="50090.397499999999"/>
    <n v="26571.22"/>
    <n v="23519.177499999998"/>
    <n v="0.46953465482081669"/>
    <n v="0.161"/>
    <n v="1926.55375"/>
    <n v="1021.97"/>
    <n v="30.419999999999998"/>
    <n v="58605.765074999996"/>
    <n v="31088.327399999998"/>
    <n v="27517.437674999997"/>
    <n v="0.46953465482081669"/>
    <n v="8515.3675749999966"/>
    <n v="23519.177499999998"/>
    <n v="0"/>
  </r>
  <r>
    <x v="624"/>
    <x v="112"/>
    <d v="2023-12-12T00:00:00"/>
    <s v="Q4-2023"/>
    <d v="2023-12-12T00:00:00"/>
    <n v="23"/>
    <x v="0"/>
    <x v="1"/>
    <x v="4"/>
    <x v="18"/>
    <s v="Small Business"/>
    <x v="4"/>
    <x v="0"/>
    <x v="2"/>
    <s v="Low"/>
    <x v="622"/>
    <n v="1349.04"/>
    <n v="2636.6"/>
    <n v="2636.6"/>
    <n v="0.114"/>
    <n v="0.114"/>
    <x v="0"/>
    <n v="14"/>
    <n v="32704.386400000003"/>
    <n v="18886.559999999998"/>
    <n v="13817.826400000005"/>
    <n v="0.42250682312143928"/>
    <n v="0.114"/>
    <n v="2336.0275999999999"/>
    <n v="1349.04"/>
    <n v="16.38"/>
    <n v="38264.132087999998"/>
    <n v="22097.275199999996"/>
    <n v="16166.856888000002"/>
    <n v="0.42250682312143922"/>
    <n v="5559.7456879999954"/>
    <n v="13817.826400000005"/>
    <n v="0"/>
  </r>
  <r>
    <x v="625"/>
    <x v="81"/>
    <d v="2024-01-16T00:00:00"/>
    <s v="Q4-2023"/>
    <d v="2024-01-16T00:00:00"/>
    <n v="25"/>
    <x v="0"/>
    <x v="1"/>
    <x v="4"/>
    <x v="34"/>
    <s v="Small Business"/>
    <x v="0"/>
    <x v="8"/>
    <x v="0"/>
    <s v="Low"/>
    <x v="623"/>
    <n v="1346.81"/>
    <n v="978.09"/>
    <n v="978.09"/>
    <n v="0.159"/>
    <n v="0.159"/>
    <x v="0"/>
    <n v="17"/>
    <n v="13983.752729999998"/>
    <n v="22895.77"/>
    <n v="-8912.0172700000021"/>
    <n v="-0.6373122753293996"/>
    <n v="0.159"/>
    <n v="822.57368999999994"/>
    <n v="1346.81"/>
    <n v="19.89"/>
    <n v="16360.990694099999"/>
    <n v="26788.050899999998"/>
    <n v="-10427.060205899999"/>
    <n v="-0.63731227532939938"/>
    <n v="2377.2379641000007"/>
    <n v="-8912.0172700000021"/>
    <n v="0"/>
  </r>
  <r>
    <x v="626"/>
    <x v="241"/>
    <d v="2023-08-30T00:00:00"/>
    <s v="Q3-2023"/>
    <d v="2023-08-30T00:00:00"/>
    <n v="27"/>
    <x v="0"/>
    <x v="1"/>
    <x v="9"/>
    <x v="23"/>
    <s v="Consumer"/>
    <x v="3"/>
    <x v="13"/>
    <x v="5"/>
    <s v="Low"/>
    <x v="624"/>
    <n v="226.04"/>
    <n v="545.72"/>
    <n v="545.72"/>
    <n v="0.151"/>
    <n v="0.151"/>
    <x v="0"/>
    <n v="11"/>
    <n v="5096.4790800000001"/>
    <n v="2486.44"/>
    <n v="2610.03908"/>
    <n v="0.51212592831834014"/>
    <n v="0.151"/>
    <n v="463.31628000000001"/>
    <n v="226.04"/>
    <n v="12.87"/>
    <n v="5962.8805235999998"/>
    <n v="2909.1347999999998"/>
    <n v="3053.7457236"/>
    <n v="0.51212592831834014"/>
    <n v="866.40144359999977"/>
    <n v="2610.03908"/>
    <n v="0"/>
  </r>
  <r>
    <x v="627"/>
    <x v="44"/>
    <d v="2023-07-18T00:00:00"/>
    <s v="Q2-2023"/>
    <d v="2023-07-18T00:00:00"/>
    <n v="25"/>
    <x v="0"/>
    <x v="2"/>
    <x v="3"/>
    <x v="26"/>
    <s v="Enterprise"/>
    <x v="1"/>
    <x v="13"/>
    <x v="3"/>
    <s v="Low"/>
    <x v="625"/>
    <n v="807.02"/>
    <n v="1435.54"/>
    <n v="1435.54"/>
    <n v="0"/>
    <n v="0"/>
    <x v="0"/>
    <n v="23"/>
    <n v="33017.42"/>
    <n v="18561.46"/>
    <n v="14455.96"/>
    <n v="0.43782827368098415"/>
    <n v="0"/>
    <n v="1435.54"/>
    <n v="807.02"/>
    <n v="26.909999999999997"/>
    <n v="38630.381399999991"/>
    <n v="21716.908199999998"/>
    <n v="16913.473199999993"/>
    <n v="0.43782827368098409"/>
    <n v="5612.9613999999929"/>
    <n v="14455.96"/>
    <n v="0"/>
  </r>
  <r>
    <x v="628"/>
    <x v="141"/>
    <d v="2024-01-02T00:00:00"/>
    <s v="Q4-2023"/>
    <d v="2024-01-02T00:00:00"/>
    <n v="26"/>
    <x v="0"/>
    <x v="3"/>
    <x v="6"/>
    <x v="37"/>
    <s v="Enterprise"/>
    <x v="3"/>
    <x v="6"/>
    <x v="0"/>
    <s v="Low"/>
    <x v="626"/>
    <n v="1071.99"/>
    <n v="2397.3000000000002"/>
    <n v="2397.3000000000002"/>
    <n v="6.2E-2"/>
    <n v="6.2E-2"/>
    <x v="0"/>
    <n v="18"/>
    <n v="40476.013200000001"/>
    <n v="19295.82"/>
    <n v="21180.193200000002"/>
    <n v="0.52327765324476183"/>
    <n v="6.2E-2"/>
    <n v="2248.6673999999998"/>
    <n v="1071.99"/>
    <n v="21.06"/>
    <n v="47356.935443999995"/>
    <n v="22576.109399999998"/>
    <n v="24780.826043999998"/>
    <n v="0.52327765324476172"/>
    <n v="6880.922243999994"/>
    <n v="21180.193200000002"/>
    <n v="0"/>
  </r>
  <r>
    <x v="629"/>
    <x v="112"/>
    <d v="2023-12-19T00:00:00"/>
    <s v="Q4-2023"/>
    <d v="2023-12-19T00:00:00"/>
    <n v="30"/>
    <x v="0"/>
    <x v="1"/>
    <x v="2"/>
    <x v="32"/>
    <s v="Consumer"/>
    <x v="0"/>
    <x v="15"/>
    <x v="3"/>
    <s v="Low"/>
    <x v="627"/>
    <n v="807.11"/>
    <n v="1853.86"/>
    <n v="1853.86"/>
    <n v="0.13900000000000001"/>
    <n v="0.13900000000000001"/>
    <x v="0"/>
    <n v="8"/>
    <n v="12769.38768"/>
    <n v="6456.88"/>
    <n v="6312.5076799999997"/>
    <n v="0.49434693645388639"/>
    <n v="0.13900000000000001"/>
    <n v="1596.17346"/>
    <n v="807.11"/>
    <n v="9.36"/>
    <n v="14940.1835856"/>
    <n v="7554.5495999999994"/>
    <n v="7385.6339856000004"/>
    <n v="0.49434693645388644"/>
    <n v="2170.7959056"/>
    <n v="6312.5076799999997"/>
    <n v="0"/>
  </r>
  <r>
    <x v="630"/>
    <x v="467"/>
    <d v="2025-03-10T00:00:00"/>
    <s v="Q1-2025"/>
    <d v="2025-03-10T00:00:00"/>
    <n v="10"/>
    <x v="0"/>
    <x v="1"/>
    <x v="2"/>
    <x v="4"/>
    <s v="Education"/>
    <x v="3"/>
    <x v="13"/>
    <x v="4"/>
    <s v="Low"/>
    <x v="628"/>
    <n v="51.86"/>
    <n v="45.98"/>
    <n v="45.98"/>
    <n v="0.17299999999999999"/>
    <n v="0.17299999999999999"/>
    <x v="0"/>
    <n v="7"/>
    <n v="266.17821999999995"/>
    <n v="363.02"/>
    <n v="-96.841780000000028"/>
    <n v="-0.3638230806412337"/>
    <n v="0.17"/>
    <n v="38.163399999999996"/>
    <n v="51.86"/>
    <n v="8.19"/>
    <n v="312.55824599999994"/>
    <n v="424.73339999999996"/>
    <n v="-112.17515400000002"/>
    <n v="-0.35889359962686779"/>
    <n v="46.380025999999987"/>
    <n v="-96.841780000000028"/>
    <n v="4.9294810143659107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D2308C-29FE-4576-8ABF-254EA37F7726}" name="PivotTable2"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41">
    <pivotField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axis="axisRow" showAll="0">
      <items count="5">
        <item x="0"/>
        <item sd="0" x="2"/>
        <item sd="0" x="1"/>
        <item sd="0" x="3"/>
        <item t="default"/>
      </items>
    </pivotField>
    <pivotField axis="axisRow" showAll="0">
      <items count="13">
        <item x="5"/>
        <item x="3"/>
        <item x="9"/>
        <item x="7"/>
        <item x="6"/>
        <item x="4"/>
        <item x="2"/>
        <item x="0"/>
        <item x="1"/>
        <item x="11"/>
        <item x="8"/>
        <item x="10"/>
        <item t="default"/>
      </items>
    </pivotField>
    <pivotField axis="axisRow" showAll="0">
      <items count="41">
        <item x="7"/>
        <item x="36"/>
        <item x="38"/>
        <item x="6"/>
        <item x="9"/>
        <item x="12"/>
        <item x="10"/>
        <item x="33"/>
        <item x="15"/>
        <item x="18"/>
        <item x="25"/>
        <item x="37"/>
        <item x="34"/>
        <item x="20"/>
        <item x="0"/>
        <item x="3"/>
        <item x="21"/>
        <item x="17"/>
        <item x="31"/>
        <item x="11"/>
        <item x="13"/>
        <item x="19"/>
        <item x="29"/>
        <item x="22"/>
        <item x="32"/>
        <item x="2"/>
        <item x="16"/>
        <item x="39"/>
        <item x="4"/>
        <item x="28"/>
        <item x="1"/>
        <item x="30"/>
        <item x="24"/>
        <item x="8"/>
        <item x="23"/>
        <item x="14"/>
        <item x="27"/>
        <item x="5"/>
        <item x="35"/>
        <item x="26"/>
        <item t="default"/>
      </items>
    </pivotField>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9" showAll="0"/>
    <pivotField showAll="0"/>
    <pivotField numFmtId="1" showAll="0"/>
    <pivotField numFmtId="43" showAll="0"/>
    <pivotField numFmtId="43" showAll="0"/>
    <pivotField numFmtId="43" showAll="0"/>
    <pivotField numFmtId="9"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3">
    <field x="7"/>
    <field x="8"/>
    <field x="9"/>
  </rowFields>
  <rowItems count="19">
    <i>
      <x/>
    </i>
    <i r="1">
      <x v="7"/>
    </i>
    <i r="2">
      <x v="14"/>
    </i>
    <i r="2">
      <x v="20"/>
    </i>
    <i r="2">
      <x v="25"/>
    </i>
    <i r="2">
      <x v="26"/>
    </i>
    <i r="1">
      <x v="8"/>
    </i>
    <i r="2">
      <x/>
    </i>
    <i r="2">
      <x v="15"/>
    </i>
    <i r="2">
      <x v="30"/>
    </i>
    <i r="2">
      <x v="38"/>
    </i>
    <i r="1">
      <x v="9"/>
    </i>
    <i r="2">
      <x v="7"/>
    </i>
    <i r="2">
      <x v="10"/>
    </i>
    <i r="2">
      <x v="13"/>
    </i>
    <i>
      <x v="1"/>
    </i>
    <i>
      <x v="2"/>
    </i>
    <i>
      <x v="3"/>
    </i>
    <i t="grand">
      <x/>
    </i>
  </rowItems>
  <colItems count="1">
    <i/>
  </colItem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B54FE-F140-4318-A4D0-64A823A85E93}" name="PivotTable3"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2" firstHeaderRow="1" firstDataRow="1" firstDataCol="1"/>
  <pivotFields count="41">
    <pivotField showAll="0"/>
    <pivotField axis="axisRow"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showAll="0">
      <items count="5">
        <item x="0"/>
        <item x="2"/>
        <item x="1"/>
        <item x="3"/>
        <item t="default"/>
      </items>
    </pivotField>
    <pivotField axis="axisRow" showAll="0" sortType="ascending">
      <items count="13">
        <item sd="0" x="5"/>
        <item sd="0" x="3"/>
        <item sd="0" x="9"/>
        <item sd="0" x="7"/>
        <item sd="0" x="6"/>
        <item sd="0"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9" showAll="0"/>
    <pivotField showAll="0"/>
    <pivotField numFmtId="1" showAll="0"/>
    <pivotField dataField="1" numFmtId="43" showAll="0"/>
    <pivotField numFmtId="43" showAll="0"/>
    <pivotField numFmtId="43" showAll="0"/>
    <pivotField numFmtId="9"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axis="axisRow" showAll="0">
      <items count="15">
        <item sd="0" x="0"/>
        <item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6">
        <item sd="0" x="0"/>
        <item x="1"/>
        <item sd="0" x="2"/>
        <item sd="0" x="3"/>
        <item sd="0" x="4"/>
        <item t="default"/>
      </items>
    </pivotField>
  </pivotFields>
  <rowFields count="5">
    <field x="8"/>
    <field x="40"/>
    <field x="39"/>
    <field x="38"/>
    <field x="1"/>
  </rowFields>
  <rowItems count="119">
    <i>
      <x/>
    </i>
    <i>
      <x v="1"/>
    </i>
    <i>
      <x v="2"/>
    </i>
    <i>
      <x v="3"/>
    </i>
    <i>
      <x v="4"/>
    </i>
    <i>
      <x v="5"/>
    </i>
    <i>
      <x v="6"/>
    </i>
    <i r="1">
      <x v="1"/>
    </i>
    <i r="2">
      <x v="1"/>
    </i>
    <i r="3">
      <x v="3"/>
    </i>
    <i r="2">
      <x v="2"/>
    </i>
    <i r="3">
      <x v="4"/>
    </i>
    <i r="3">
      <x v="5"/>
    </i>
    <i r="3">
      <x v="6"/>
    </i>
    <i r="2">
      <x v="3"/>
    </i>
    <i r="3">
      <x v="7"/>
    </i>
    <i r="3">
      <x v="9"/>
    </i>
    <i r="2">
      <x v="4"/>
    </i>
    <i r="3">
      <x v="10"/>
    </i>
    <i r="3">
      <x v="11"/>
    </i>
    <i r="3">
      <x v="12"/>
    </i>
    <i r="1">
      <x v="2"/>
    </i>
    <i r="1">
      <x v="3"/>
    </i>
    <i>
      <x v="7"/>
    </i>
    <i r="1">
      <x v="1"/>
    </i>
    <i r="2">
      <x v="1"/>
    </i>
    <i r="3">
      <x v="1"/>
    </i>
    <i r="4">
      <x v="7"/>
    </i>
    <i r="3">
      <x v="2"/>
    </i>
    <i r="3">
      <x v="3"/>
    </i>
    <i r="2">
      <x v="2"/>
    </i>
    <i r="3">
      <x v="4"/>
    </i>
    <i r="3">
      <x v="5"/>
    </i>
    <i r="3">
      <x v="6"/>
    </i>
    <i r="2">
      <x v="3"/>
    </i>
    <i r="3">
      <x v="7"/>
    </i>
    <i r="3">
      <x v="8"/>
    </i>
    <i r="3">
      <x v="9"/>
    </i>
    <i r="2">
      <x v="4"/>
    </i>
    <i r="3">
      <x v="10"/>
    </i>
    <i r="3">
      <x v="12"/>
    </i>
    <i r="1">
      <x v="2"/>
    </i>
    <i r="1">
      <x v="3"/>
    </i>
    <i>
      <x v="8"/>
    </i>
    <i r="1">
      <x v="1"/>
    </i>
    <i r="2">
      <x v="1"/>
    </i>
    <i r="3">
      <x v="1"/>
    </i>
    <i r="4">
      <x v="5"/>
    </i>
    <i r="3">
      <x v="2"/>
    </i>
    <i r="2">
      <x v="2"/>
    </i>
    <i r="3">
      <x v="4"/>
    </i>
    <i r="3">
      <x v="5"/>
    </i>
    <i r="3">
      <x v="6"/>
    </i>
    <i r="2">
      <x v="3"/>
    </i>
    <i r="3">
      <x v="7"/>
    </i>
    <i r="3">
      <x v="8"/>
    </i>
    <i r="2">
      <x v="4"/>
    </i>
    <i r="3">
      <x v="10"/>
    </i>
    <i r="3">
      <x v="12"/>
    </i>
    <i r="1">
      <x v="2"/>
    </i>
    <i r="1">
      <x v="3"/>
    </i>
    <i>
      <x v="9"/>
    </i>
    <i r="1">
      <x v="1"/>
    </i>
    <i r="2">
      <x v="1"/>
    </i>
    <i r="3">
      <x v="1"/>
    </i>
    <i r="4">
      <x v="1"/>
    </i>
    <i r="3">
      <x v="2"/>
    </i>
    <i r="3">
      <x v="3"/>
    </i>
    <i r="2">
      <x v="2"/>
    </i>
    <i r="3">
      <x v="5"/>
    </i>
    <i r="2">
      <x v="3"/>
    </i>
    <i r="3">
      <x v="7"/>
    </i>
    <i r="3">
      <x v="8"/>
    </i>
    <i r="2">
      <x v="4"/>
    </i>
    <i r="3">
      <x v="10"/>
    </i>
    <i r="3">
      <x v="11"/>
    </i>
    <i r="3">
      <x v="12"/>
    </i>
    <i r="1">
      <x v="2"/>
    </i>
    <i r="1">
      <x v="3"/>
    </i>
    <i>
      <x v="10"/>
    </i>
    <i r="1">
      <x v="1"/>
    </i>
    <i r="2">
      <x v="1"/>
    </i>
    <i r="3">
      <x v="1"/>
    </i>
    <i r="4">
      <x v="6"/>
    </i>
    <i r="4">
      <x v="10"/>
    </i>
    <i r="3">
      <x v="2"/>
    </i>
    <i r="3">
      <x v="3"/>
    </i>
    <i r="2">
      <x v="2"/>
    </i>
    <i r="3">
      <x v="4"/>
    </i>
    <i r="3">
      <x v="5"/>
    </i>
    <i r="3">
      <x v="6"/>
    </i>
    <i r="2">
      <x v="3"/>
    </i>
    <i r="3">
      <x v="7"/>
    </i>
    <i r="3">
      <x v="8"/>
    </i>
    <i r="2">
      <x v="4"/>
    </i>
    <i r="3">
      <x v="10"/>
    </i>
    <i r="3">
      <x v="11"/>
    </i>
    <i r="1">
      <x v="2"/>
    </i>
    <i r="1">
      <x v="3"/>
    </i>
    <i>
      <x v="11"/>
    </i>
    <i r="1">
      <x v="1"/>
    </i>
    <i r="2">
      <x v="1"/>
    </i>
    <i r="3">
      <x v="1"/>
    </i>
    <i r="4">
      <x v="4"/>
    </i>
    <i r="4">
      <x v="8"/>
    </i>
    <i r="3">
      <x v="2"/>
    </i>
    <i r="2">
      <x v="2"/>
    </i>
    <i r="3">
      <x v="4"/>
    </i>
    <i r="3">
      <x v="5"/>
    </i>
    <i r="3">
      <x v="6"/>
    </i>
    <i r="2">
      <x v="3"/>
    </i>
    <i r="3">
      <x v="7"/>
    </i>
    <i r="3">
      <x v="8"/>
    </i>
    <i r="3">
      <x v="9"/>
    </i>
    <i r="2">
      <x v="4"/>
    </i>
    <i r="3">
      <x v="10"/>
    </i>
    <i r="1">
      <x v="2"/>
    </i>
    <i r="1">
      <x v="3"/>
    </i>
    <i t="grand">
      <x/>
    </i>
  </rowItems>
  <colItems count="1">
    <i/>
  </colItems>
  <dataFields count="1">
    <dataField name="Sum of GrossRevenue" fld="23"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CE218F-4CB6-4CB3-BCB8-A58CCAD65B93}" name="PivotTable4"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1" firstHeaderRow="1" firstDataRow="1" firstDataCol="1"/>
  <pivotFields count="41">
    <pivotField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axis="axisRow" showAll="0" sortType="descending">
      <items count="8">
        <item sd="0" x="6"/>
        <item sd="0" x="0"/>
        <item sd="0" x="4"/>
        <item sd="0" x="5"/>
        <item x="2"/>
        <item sd="0" x="3"/>
        <item sd="0" x="1"/>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630">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t="default"/>
      </items>
      <autoSortScope>
        <pivotArea dataOnly="0" outline="0" fieldPosition="0">
          <references count="1">
            <reference field="4294967294" count="1" selected="0">
              <x v="0"/>
            </reference>
          </references>
        </pivotArea>
      </autoSortScope>
    </pivotField>
    <pivotField numFmtId="43" showAll="0"/>
    <pivotField numFmtId="43" showAll="0"/>
    <pivotField numFmtId="43" showAll="0"/>
    <pivotField numFmtId="2" showAll="0"/>
    <pivotField numFmtId="9" showAll="0"/>
    <pivotField showAll="0"/>
    <pivotField numFmtId="1" showAll="0"/>
    <pivotField dataField="1" numFmtId="43" showAll="0"/>
    <pivotField numFmtId="43" showAll="0"/>
    <pivotField numFmtId="43" showAll="0"/>
    <pivotField numFmtId="9"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13"/>
    <field x="15"/>
  </rowFields>
  <rowItems count="18">
    <i>
      <x v="4"/>
    </i>
    <i r="1">
      <x v="367"/>
    </i>
    <i r="1">
      <x v="404"/>
    </i>
    <i r="1">
      <x v="402"/>
    </i>
    <i r="1">
      <x v="358"/>
    </i>
    <i r="1">
      <x v="395"/>
    </i>
    <i r="1">
      <x v="355"/>
    </i>
    <i r="1">
      <x v="394"/>
    </i>
    <i r="1">
      <x v="386"/>
    </i>
    <i r="1">
      <x v="406"/>
    </i>
    <i r="1">
      <x v="385"/>
    </i>
    <i>
      <x v="2"/>
    </i>
    <i>
      <x v="1"/>
    </i>
    <i>
      <x v="3"/>
    </i>
    <i>
      <x v="6"/>
    </i>
    <i>
      <x/>
    </i>
    <i>
      <x v="5"/>
    </i>
    <i t="grand">
      <x/>
    </i>
  </rowItems>
  <colItems count="1">
    <i/>
  </colItems>
  <dataFields count="1">
    <dataField name="Sum of GrossRevenue" fld="23" showDataAs="percentOfCol" baseField="13" baseItem="402" numFmtId="10"/>
  </dataFields>
  <formats count="22">
    <format dxfId="971">
      <pivotArea collapsedLevelsAreSubtotals="1" fieldPosition="0">
        <references count="2">
          <reference field="13" count="1" selected="0">
            <x v="4"/>
          </reference>
          <reference field="15" count="69">
            <x v="352"/>
            <x v="354"/>
            <x v="355"/>
            <x v="356"/>
            <x v="357"/>
            <x v="358"/>
            <x v="359"/>
            <x v="360"/>
            <x v="361"/>
            <x v="363"/>
            <x v="364"/>
            <x v="365"/>
            <x v="366"/>
            <x v="367"/>
            <x v="368"/>
            <x v="370"/>
            <x v="372"/>
            <x v="374"/>
            <x v="375"/>
            <x v="377"/>
            <x v="378"/>
            <x v="379"/>
            <x v="380"/>
            <x v="381"/>
            <x v="382"/>
            <x v="384"/>
            <x v="385"/>
            <x v="386"/>
            <x v="387"/>
            <x v="388"/>
            <x v="389"/>
            <x v="391"/>
            <x v="392"/>
            <x v="393"/>
            <x v="394"/>
            <x v="395"/>
            <x v="396"/>
            <x v="397"/>
            <x v="398"/>
            <x v="400"/>
            <x v="401"/>
            <x v="402"/>
            <x v="404"/>
            <x v="405"/>
            <x v="406"/>
            <x v="408"/>
            <x v="409"/>
            <x v="411"/>
            <x v="412"/>
            <x v="413"/>
            <x v="414"/>
            <x v="415"/>
            <x v="416"/>
            <x v="417"/>
            <x v="418"/>
            <x v="420"/>
            <x v="421"/>
            <x v="422"/>
            <x v="424"/>
            <x v="426"/>
            <x v="427"/>
            <x v="428"/>
            <x v="429"/>
            <x v="430"/>
            <x v="431"/>
            <x v="433"/>
            <x v="434"/>
            <x v="435"/>
            <x v="436"/>
          </reference>
        </references>
      </pivotArea>
    </format>
    <format dxfId="972">
      <pivotArea collapsedLevelsAreSubtotals="1" fieldPosition="0">
        <references count="2">
          <reference field="13" count="1" selected="0">
            <x v="4"/>
          </reference>
          <reference field="15" count="13">
            <x v="362"/>
            <x v="369"/>
            <x v="371"/>
            <x v="373"/>
            <x v="376"/>
            <x v="383"/>
            <x v="399"/>
            <x v="403"/>
            <x v="410"/>
            <x v="419"/>
            <x v="423"/>
            <x v="425"/>
            <x v="432"/>
          </reference>
        </references>
      </pivotArea>
    </format>
    <format dxfId="973">
      <pivotArea collapsedLevelsAreSubtotals="1" fieldPosition="0">
        <references count="2">
          <reference field="13" count="1" selected="0">
            <x v="4"/>
          </reference>
          <reference field="15" count="4">
            <x v="353"/>
            <x v="390"/>
            <x v="407"/>
            <x v="437"/>
          </reference>
        </references>
      </pivotArea>
    </format>
    <format dxfId="974">
      <pivotArea collapsedLevelsAreSubtotals="1" fieldPosition="0">
        <references count="2">
          <reference field="13" count="1" selected="0">
            <x v="2"/>
          </reference>
          <reference field="15" count="65">
            <x v="178"/>
            <x v="179"/>
            <x v="180"/>
            <x v="181"/>
            <x v="182"/>
            <x v="183"/>
            <x v="184"/>
            <x v="185"/>
            <x v="187"/>
            <x v="188"/>
            <x v="190"/>
            <x v="191"/>
            <x v="192"/>
            <x v="196"/>
            <x v="198"/>
            <x v="199"/>
            <x v="200"/>
            <x v="202"/>
            <x v="203"/>
            <x v="204"/>
            <x v="206"/>
            <x v="207"/>
            <x v="208"/>
            <x v="209"/>
            <x v="210"/>
            <x v="211"/>
            <x v="212"/>
            <x v="213"/>
            <x v="214"/>
            <x v="215"/>
            <x v="216"/>
            <x v="217"/>
            <x v="218"/>
            <x v="219"/>
            <x v="220"/>
            <x v="222"/>
            <x v="223"/>
            <x v="224"/>
            <x v="225"/>
            <x v="226"/>
            <x v="227"/>
            <x v="228"/>
            <x v="230"/>
            <x v="231"/>
            <x v="232"/>
            <x v="234"/>
            <x v="235"/>
            <x v="236"/>
            <x v="238"/>
            <x v="240"/>
            <x v="241"/>
            <x v="242"/>
            <x v="243"/>
            <x v="245"/>
            <x v="246"/>
            <x v="247"/>
            <x v="248"/>
            <x v="249"/>
            <x v="250"/>
            <x v="251"/>
            <x v="252"/>
            <x v="253"/>
            <x v="254"/>
            <x v="256"/>
            <x v="257"/>
          </reference>
        </references>
      </pivotArea>
    </format>
    <format dxfId="975">
      <pivotArea collapsedLevelsAreSubtotals="1" fieldPosition="0">
        <references count="2">
          <reference field="13" count="1" selected="0">
            <x v="2"/>
          </reference>
          <reference field="15" count="12">
            <x v="186"/>
            <x v="193"/>
            <x v="194"/>
            <x v="197"/>
            <x v="201"/>
            <x v="205"/>
            <x v="221"/>
            <x v="229"/>
            <x v="237"/>
            <x v="239"/>
            <x v="244"/>
            <x v="255"/>
          </reference>
        </references>
      </pivotArea>
    </format>
    <format dxfId="976">
      <pivotArea collapsedLevelsAreSubtotals="1" fieldPosition="0">
        <references count="2">
          <reference field="13" count="1" selected="0">
            <x v="2"/>
          </reference>
          <reference field="15" count="4">
            <x v="177"/>
            <x v="189"/>
            <x v="195"/>
            <x v="233"/>
          </reference>
        </references>
      </pivotArea>
    </format>
    <format dxfId="977">
      <pivotArea collapsedLevelsAreSubtotals="1" fieldPosition="0">
        <references count="2">
          <reference field="13" count="1" selected="0">
            <x v="6"/>
          </reference>
          <reference field="15" count="82">
            <x v="526"/>
            <x v="527"/>
            <x v="530"/>
            <x v="531"/>
            <x v="532"/>
            <x v="533"/>
            <x v="534"/>
            <x v="535"/>
            <x v="536"/>
            <x v="537"/>
            <x v="539"/>
            <x v="540"/>
            <x v="541"/>
            <x v="542"/>
            <x v="543"/>
            <x v="544"/>
            <x v="545"/>
            <x v="546"/>
            <x v="547"/>
            <x v="548"/>
            <x v="549"/>
            <x v="550"/>
            <x v="551"/>
            <x v="552"/>
            <x v="553"/>
            <x v="554"/>
            <x v="556"/>
            <x v="557"/>
            <x v="559"/>
            <x v="560"/>
            <x v="561"/>
            <x v="562"/>
            <x v="564"/>
            <x v="565"/>
            <x v="566"/>
            <x v="567"/>
            <x v="568"/>
            <x v="569"/>
            <x v="570"/>
            <x v="571"/>
            <x v="572"/>
            <x v="573"/>
            <x v="574"/>
            <x v="577"/>
            <x v="578"/>
            <x v="579"/>
            <x v="582"/>
            <x v="583"/>
            <x v="584"/>
            <x v="585"/>
            <x v="587"/>
            <x v="589"/>
            <x v="590"/>
            <x v="592"/>
            <x v="593"/>
            <x v="594"/>
            <x v="595"/>
            <x v="597"/>
            <x v="598"/>
            <x v="599"/>
            <x v="600"/>
            <x v="601"/>
            <x v="603"/>
            <x v="606"/>
            <x v="607"/>
            <x v="609"/>
            <x v="610"/>
            <x v="612"/>
            <x v="614"/>
            <x v="615"/>
            <x v="616"/>
            <x v="617"/>
            <x v="618"/>
            <x v="619"/>
            <x v="620"/>
            <x v="621"/>
            <x v="622"/>
            <x v="623"/>
            <x v="624"/>
            <x v="625"/>
            <x v="626"/>
            <x v="628"/>
          </reference>
        </references>
      </pivotArea>
    </format>
    <format dxfId="978">
      <pivotArea collapsedLevelsAreSubtotals="1" fieldPosition="0">
        <references count="2">
          <reference field="13" count="1" selected="0">
            <x v="6"/>
          </reference>
          <reference field="15" count="15">
            <x v="528"/>
            <x v="529"/>
            <x v="538"/>
            <x v="555"/>
            <x v="558"/>
            <x v="563"/>
            <x v="576"/>
            <x v="580"/>
            <x v="591"/>
            <x v="596"/>
            <x v="602"/>
            <x v="604"/>
            <x v="605"/>
            <x v="608"/>
            <x v="611"/>
          </reference>
        </references>
      </pivotArea>
    </format>
    <format dxfId="979">
      <pivotArea collapsedLevelsAreSubtotals="1" fieldPosition="0">
        <references count="2">
          <reference field="13" count="1" selected="0">
            <x v="6"/>
          </reference>
          <reference field="15" count="16">
            <x v="528"/>
            <x v="529"/>
            <x v="538"/>
            <x v="555"/>
            <x v="558"/>
            <x v="563"/>
            <x v="576"/>
            <x v="580"/>
            <x v="591"/>
            <x v="596"/>
            <x v="602"/>
            <x v="604"/>
            <x v="605"/>
            <x v="608"/>
            <x v="611"/>
            <x v="627"/>
          </reference>
        </references>
      </pivotArea>
    </format>
    <format dxfId="980">
      <pivotArea collapsedLevelsAreSubtotals="1" fieldPosition="0">
        <references count="2">
          <reference field="13" count="1" selected="0">
            <x v="6"/>
          </reference>
          <reference field="15" count="5">
            <x v="575"/>
            <x v="581"/>
            <x v="586"/>
            <x v="588"/>
            <x v="613"/>
          </reference>
        </references>
      </pivotArea>
    </format>
    <format dxfId="981">
      <pivotArea collapsedLevelsAreSubtotals="1" fieldPosition="0">
        <references count="2">
          <reference field="13" count="1" selected="0">
            <x v="3"/>
          </reference>
          <reference field="15" count="75">
            <x v="258"/>
            <x v="259"/>
            <x v="260"/>
            <x v="261"/>
            <x v="262"/>
            <x v="263"/>
            <x v="264"/>
            <x v="265"/>
            <x v="267"/>
            <x v="268"/>
            <x v="269"/>
            <x v="270"/>
            <x v="271"/>
            <x v="272"/>
            <x v="274"/>
            <x v="276"/>
            <x v="278"/>
            <x v="279"/>
            <x v="280"/>
            <x v="281"/>
            <x v="282"/>
            <x v="284"/>
            <x v="285"/>
            <x v="286"/>
            <x v="287"/>
            <x v="288"/>
            <x v="289"/>
            <x v="290"/>
            <x v="294"/>
            <x v="295"/>
            <x v="296"/>
            <x v="297"/>
            <x v="298"/>
            <x v="299"/>
            <x v="300"/>
            <x v="301"/>
            <x v="302"/>
            <x v="303"/>
            <x v="304"/>
            <x v="306"/>
            <x v="307"/>
            <x v="309"/>
            <x v="310"/>
            <x v="311"/>
            <x v="312"/>
            <x v="313"/>
            <x v="314"/>
            <x v="315"/>
            <x v="316"/>
            <x v="317"/>
            <x v="318"/>
            <x v="319"/>
            <x v="320"/>
            <x v="321"/>
            <x v="322"/>
            <x v="323"/>
            <x v="324"/>
            <x v="326"/>
            <x v="327"/>
            <x v="328"/>
            <x v="331"/>
            <x v="332"/>
            <x v="333"/>
            <x v="336"/>
            <x v="337"/>
            <x v="339"/>
            <x v="341"/>
            <x v="342"/>
            <x v="343"/>
            <x v="345"/>
            <x v="346"/>
            <x v="348"/>
            <x v="349"/>
            <x v="350"/>
            <x v="351"/>
          </reference>
        </references>
      </pivotArea>
    </format>
    <format dxfId="982">
      <pivotArea collapsedLevelsAreSubtotals="1" fieldPosition="0">
        <references count="2">
          <reference field="13" count="1" selected="0">
            <x v="3"/>
          </reference>
          <reference field="15" count="14">
            <x v="273"/>
            <x v="275"/>
            <x v="277"/>
            <x v="291"/>
            <x v="292"/>
            <x v="305"/>
            <x v="325"/>
            <x v="329"/>
            <x v="330"/>
            <x v="334"/>
            <x v="335"/>
            <x v="338"/>
            <x v="340"/>
            <x v="347"/>
          </reference>
        </references>
      </pivotArea>
    </format>
    <format dxfId="983">
      <pivotArea collapsedLevelsAreSubtotals="1" fieldPosition="0">
        <references count="2">
          <reference field="13" count="1" selected="0">
            <x v="3"/>
          </reference>
          <reference field="15" count="5">
            <x v="266"/>
            <x v="283"/>
            <x v="293"/>
            <x v="308"/>
            <x v="344"/>
          </reference>
        </references>
      </pivotArea>
    </format>
    <format dxfId="984">
      <pivotArea collapsedLevelsAreSubtotals="1" fieldPosition="0">
        <references count="2">
          <reference field="13" count="1" selected="0">
            <x v="1"/>
          </reference>
          <reference field="15" count="72">
            <x v="87"/>
            <x v="89"/>
            <x v="90"/>
            <x v="91"/>
            <x v="93"/>
            <x v="94"/>
            <x v="96"/>
            <x v="97"/>
            <x v="98"/>
            <x v="99"/>
            <x v="101"/>
            <x v="102"/>
            <x v="103"/>
            <x v="104"/>
            <x v="106"/>
            <x v="107"/>
            <x v="109"/>
            <x v="110"/>
            <x v="111"/>
            <x v="112"/>
            <x v="113"/>
            <x v="114"/>
            <x v="115"/>
            <x v="116"/>
            <x v="117"/>
            <x v="118"/>
            <x v="119"/>
            <x v="120"/>
            <x v="121"/>
            <x v="122"/>
            <x v="123"/>
            <x v="124"/>
            <x v="126"/>
            <x v="127"/>
            <x v="128"/>
            <x v="130"/>
            <x v="131"/>
            <x v="132"/>
            <x v="133"/>
            <x v="136"/>
            <x v="137"/>
            <x v="138"/>
            <x v="139"/>
            <x v="141"/>
            <x v="142"/>
            <x v="144"/>
            <x v="146"/>
            <x v="147"/>
            <x v="148"/>
            <x v="150"/>
            <x v="151"/>
            <x v="153"/>
            <x v="154"/>
            <x v="155"/>
            <x v="156"/>
            <x v="157"/>
            <x v="158"/>
            <x v="159"/>
            <x v="160"/>
            <x v="161"/>
            <x v="162"/>
            <x v="163"/>
            <x v="164"/>
            <x v="165"/>
            <x v="166"/>
            <x v="167"/>
            <x v="168"/>
            <x v="170"/>
            <x v="171"/>
            <x v="173"/>
            <x v="174"/>
            <x v="175"/>
          </reference>
        </references>
      </pivotArea>
    </format>
    <format dxfId="985">
      <pivotArea collapsedLevelsAreSubtotals="1" fieldPosition="0">
        <references count="2">
          <reference field="13" count="1" selected="0">
            <x v="1"/>
          </reference>
          <reference field="15" count="14">
            <x v="88"/>
            <x v="92"/>
            <x v="100"/>
            <x v="105"/>
            <x v="108"/>
            <x v="129"/>
            <x v="134"/>
            <x v="135"/>
            <x v="140"/>
            <x v="143"/>
            <x v="145"/>
            <x v="152"/>
            <x v="169"/>
            <x v="176"/>
          </reference>
        </references>
      </pivotArea>
    </format>
    <format dxfId="986">
      <pivotArea collapsedLevelsAreSubtotals="1" fieldPosition="0">
        <references count="2">
          <reference field="13" count="1" selected="0">
            <x v="1"/>
          </reference>
          <reference field="15" count="4">
            <x v="95"/>
            <x v="125"/>
            <x v="149"/>
            <x v="172"/>
          </reference>
        </references>
      </pivotArea>
    </format>
    <format dxfId="987">
      <pivotArea collapsedLevelsAreSubtotals="1" fieldPosition="0">
        <references count="2">
          <reference field="13" count="1" selected="0">
            <x v="5"/>
          </reference>
          <reference field="15" count="71">
            <x v="438"/>
            <x v="439"/>
            <x v="442"/>
            <x v="443"/>
            <x v="445"/>
            <x v="446"/>
            <x v="447"/>
            <x v="448"/>
            <x v="450"/>
            <x v="451"/>
            <x v="452"/>
            <x v="453"/>
            <x v="454"/>
            <x v="455"/>
            <x v="458"/>
            <x v="459"/>
            <x v="460"/>
            <x v="461"/>
            <x v="462"/>
            <x v="463"/>
            <x v="466"/>
            <x v="467"/>
            <x v="468"/>
            <x v="471"/>
            <x v="472"/>
            <x v="473"/>
            <x v="474"/>
            <x v="475"/>
            <x v="477"/>
            <x v="478"/>
            <x v="479"/>
            <x v="480"/>
            <x v="482"/>
            <x v="483"/>
            <x v="484"/>
            <x v="485"/>
            <x v="486"/>
            <x v="487"/>
            <x v="488"/>
            <x v="489"/>
            <x v="491"/>
            <x v="492"/>
            <x v="494"/>
            <x v="495"/>
            <x v="496"/>
            <x v="497"/>
            <x v="498"/>
            <x v="499"/>
            <x v="500"/>
            <x v="501"/>
            <x v="502"/>
            <x v="503"/>
            <x v="504"/>
            <x v="506"/>
            <x v="507"/>
            <x v="508"/>
            <x v="509"/>
            <x v="510"/>
            <x v="511"/>
            <x v="512"/>
            <x v="513"/>
            <x v="515"/>
            <x v="516"/>
            <x v="517"/>
            <x v="519"/>
            <x v="520"/>
            <x v="521"/>
            <x v="522"/>
            <x v="523"/>
            <x v="524"/>
            <x v="525"/>
          </reference>
        </references>
      </pivotArea>
    </format>
    <format dxfId="988">
      <pivotArea collapsedLevelsAreSubtotals="1" fieldPosition="0">
        <references count="2">
          <reference field="13" count="1" selected="0">
            <x v="5"/>
          </reference>
          <reference field="15" count="13">
            <x v="440"/>
            <x v="441"/>
            <x v="444"/>
            <x v="449"/>
            <x v="456"/>
            <x v="457"/>
            <x v="465"/>
            <x v="469"/>
            <x v="470"/>
            <x v="476"/>
            <x v="490"/>
            <x v="493"/>
            <x v="514"/>
          </reference>
        </references>
      </pivotArea>
    </format>
    <format dxfId="989">
      <pivotArea collapsedLevelsAreSubtotals="1" fieldPosition="0">
        <references count="2">
          <reference field="13" count="1" selected="0">
            <x v="5"/>
          </reference>
          <reference field="15" count="4">
            <x v="464"/>
            <x v="481"/>
            <x v="505"/>
            <x v="518"/>
          </reference>
        </references>
      </pivotArea>
    </format>
    <format dxfId="990">
      <pivotArea collapsedLevelsAreSubtotals="1" fieldPosition="0">
        <references count="2">
          <reference field="13" count="1" selected="0">
            <x v="0"/>
          </reference>
          <reference field="15" count="70">
            <x v="1"/>
            <x v="2"/>
            <x v="3"/>
            <x v="4"/>
            <x v="5"/>
            <x v="6"/>
            <x v="7"/>
            <x v="8"/>
            <x v="9"/>
            <x v="10"/>
            <x v="11"/>
            <x v="12"/>
            <x v="13"/>
            <x v="14"/>
            <x v="16"/>
            <x v="17"/>
            <x v="18"/>
            <x v="19"/>
            <x v="20"/>
            <x v="21"/>
            <x v="22"/>
            <x v="23"/>
            <x v="25"/>
            <x v="26"/>
            <x v="28"/>
            <x v="29"/>
            <x v="31"/>
            <x v="32"/>
            <x v="33"/>
            <x v="34"/>
            <x v="35"/>
            <x v="36"/>
            <x v="37"/>
            <x v="39"/>
            <x v="40"/>
            <x v="41"/>
            <x v="45"/>
            <x v="46"/>
            <x v="47"/>
            <x v="48"/>
            <x v="49"/>
            <x v="51"/>
            <x v="52"/>
            <x v="53"/>
            <x v="55"/>
            <x v="56"/>
            <x v="57"/>
            <x v="58"/>
            <x v="59"/>
            <x v="62"/>
            <x v="63"/>
            <x v="64"/>
            <x v="66"/>
            <x v="67"/>
            <x v="68"/>
            <x v="69"/>
            <x v="70"/>
            <x v="71"/>
            <x v="74"/>
            <x v="75"/>
            <x v="76"/>
            <x v="77"/>
            <x v="78"/>
            <x v="79"/>
            <x v="80"/>
            <x v="81"/>
            <x v="82"/>
            <x v="83"/>
            <x v="84"/>
            <x v="85"/>
          </reference>
        </references>
      </pivotArea>
    </format>
    <format dxfId="991">
      <pivotArea collapsedLevelsAreSubtotals="1" fieldPosition="0">
        <references count="2">
          <reference field="13" count="1" selected="0">
            <x v="0"/>
          </reference>
          <reference field="15" count="13">
            <x v="0"/>
            <x v="15"/>
            <x v="24"/>
            <x v="27"/>
            <x v="38"/>
            <x v="42"/>
            <x v="43"/>
            <x v="44"/>
            <x v="54"/>
            <x v="61"/>
            <x v="65"/>
            <x v="72"/>
            <x v="73"/>
          </reference>
        </references>
      </pivotArea>
    </format>
    <format dxfId="992">
      <pivotArea collapsedLevelsAreSubtotals="1" fieldPosition="0">
        <references count="2">
          <reference field="13" count="1" selected="0">
            <x v="0"/>
          </reference>
          <reference field="15" count="4">
            <x v="30"/>
            <x v="50"/>
            <x v="60"/>
            <x v="86"/>
          </reference>
        </references>
      </pivotArea>
    </format>
  </formats>
  <pivotTableStyleInfo name="PivotStyleMedium10"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E23078-0589-49FA-ADBF-6BDD7602AB2C}" name="PivotTable5"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27" firstHeaderRow="0" firstDataRow="1" firstDataCol="1"/>
  <pivotFields count="41">
    <pivotField axis="axisRow" showAll="0" sortType="descending">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autoSortScope>
        <pivotArea dataOnly="0" outline="0" fieldPosition="0">
          <references count="1">
            <reference field="4294967294" count="1" selected="0">
              <x v="1"/>
            </reference>
          </references>
        </pivotArea>
      </autoSortScope>
    </pivotField>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axis="axisRow" showAll="0" sortType="descending">
      <items count="17">
        <item x="8"/>
        <item x="5"/>
        <item x="0"/>
        <item x="14"/>
        <item x="6"/>
        <item x="9"/>
        <item x="3"/>
        <item x="10"/>
        <item x="2"/>
        <item x="1"/>
        <item x="11"/>
        <item x="4"/>
        <item x="12"/>
        <item x="13"/>
        <item x="7"/>
        <item x="15"/>
        <item t="default"/>
      </items>
      <autoSortScope>
        <pivotArea dataOnly="0" outline="0" fieldPosition="0">
          <references count="1">
            <reference field="4294967294" count="1" selected="0">
              <x v="1"/>
            </reference>
          </references>
        </pivotArea>
      </autoSortScope>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9" showAll="0"/>
    <pivotField showAll="0"/>
    <pivotField numFmtId="1" showAll="0"/>
    <pivotField dataField="1" numFmtId="43" showAll="0"/>
    <pivotField numFmtId="43" showAll="0"/>
    <pivotField dataField="1" numFmtId="43" showAll="0"/>
    <pivotField numFmtId="9"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axis="axisRow" showAll="0" sortType="descending" defaultSubtotal="0">
      <items count="14">
        <item sd="0" x="0"/>
        <item x="1"/>
        <item x="2"/>
        <item x="3"/>
        <item x="4"/>
        <item x="5"/>
        <item x="6"/>
        <item x="7"/>
        <item x="8"/>
        <item x="9"/>
        <item x="10"/>
        <item x="11"/>
        <item x="12"/>
        <item sd="0" x="13"/>
      </items>
      <autoSortScope>
        <pivotArea dataOnly="0" outline="0" fieldPosition="0">
          <references count="1">
            <reference field="4294967294" count="1" selected="0">
              <x v="1"/>
            </reference>
          </references>
        </pivotArea>
      </autoSortScope>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3">
    <field x="38"/>
    <field x="12"/>
    <field x="0"/>
  </rowFields>
  <rowItems count="824">
    <i>
      <x v="5"/>
    </i>
    <i r="1">
      <x v="1"/>
    </i>
    <i r="2">
      <x v="339"/>
    </i>
    <i r="2">
      <x v="628"/>
    </i>
    <i r="2">
      <x v="304"/>
    </i>
    <i r="2">
      <x v="61"/>
    </i>
    <i r="1">
      <x v="12"/>
    </i>
    <i r="2">
      <x v="86"/>
    </i>
    <i r="2">
      <x v="581"/>
    </i>
    <i r="2">
      <x v="116"/>
    </i>
    <i r="2">
      <x v="21"/>
    </i>
    <i r="2">
      <x v="232"/>
    </i>
    <i r="1">
      <x v="5"/>
    </i>
    <i r="2">
      <x v="608"/>
    </i>
    <i r="2">
      <x v="365"/>
    </i>
    <i r="2">
      <x v="210"/>
    </i>
    <i r="2">
      <x v="530"/>
    </i>
    <i r="2">
      <x v="359"/>
    </i>
    <i r="2">
      <x v="453"/>
    </i>
    <i r="2">
      <x v="599"/>
    </i>
    <i r="2">
      <x v="3"/>
    </i>
    <i r="1">
      <x/>
    </i>
    <i r="2">
      <x v="630"/>
    </i>
    <i r="2">
      <x v="242"/>
    </i>
    <i r="2">
      <x v="134"/>
    </i>
    <i r="2">
      <x v="596"/>
    </i>
    <i r="2">
      <x v="71"/>
    </i>
    <i r="2">
      <x v="586"/>
    </i>
    <i r="1">
      <x v="10"/>
    </i>
    <i r="2">
      <x v="203"/>
    </i>
    <i r="2">
      <x v="209"/>
    </i>
    <i r="2">
      <x v="301"/>
    </i>
    <i r="2">
      <x v="463"/>
    </i>
    <i r="2">
      <x v="9"/>
    </i>
    <i r="2">
      <x v="456"/>
    </i>
    <i r="2">
      <x v="149"/>
    </i>
    <i r="1">
      <x v="9"/>
    </i>
    <i r="2">
      <x v="582"/>
    </i>
    <i r="2">
      <x v="565"/>
    </i>
    <i r="2">
      <x v="202"/>
    </i>
    <i r="2">
      <x v="18"/>
    </i>
    <i r="2">
      <x v="36"/>
    </i>
    <i r="2">
      <x v="193"/>
    </i>
    <i r="1">
      <x v="4"/>
    </i>
    <i r="2">
      <x v="410"/>
    </i>
    <i r="2">
      <x v="135"/>
    </i>
    <i r="2">
      <x v="189"/>
    </i>
    <i r="2">
      <x v="328"/>
    </i>
    <i r="2">
      <x v="123"/>
    </i>
    <i r="1">
      <x v="11"/>
    </i>
    <i r="2">
      <x v="417"/>
    </i>
    <i r="2">
      <x v="110"/>
    </i>
    <i r="2">
      <x v="590"/>
    </i>
    <i r="2">
      <x v="334"/>
    </i>
    <i r="2">
      <x v="69"/>
    </i>
    <i r="1">
      <x v="2"/>
    </i>
    <i r="2">
      <x v="379"/>
    </i>
    <i r="2">
      <x v="479"/>
    </i>
    <i r="2">
      <x v="287"/>
    </i>
    <i r="2">
      <x v="205"/>
    </i>
    <i r="1">
      <x v="14"/>
    </i>
    <i r="2">
      <x v="574"/>
    </i>
    <i r="2">
      <x v="96"/>
    </i>
    <i r="2">
      <x v="354"/>
    </i>
    <i r="1">
      <x v="3"/>
    </i>
    <i r="2">
      <x v="216"/>
    </i>
    <i r="2">
      <x v="297"/>
    </i>
    <i r="1">
      <x v="6"/>
    </i>
    <i r="2">
      <x v="16"/>
    </i>
    <i r="2">
      <x v="607"/>
    </i>
    <i r="2">
      <x v="367"/>
    </i>
    <i r="1">
      <x v="7"/>
    </i>
    <i r="2">
      <x v="325"/>
    </i>
    <i r="2">
      <x v="342"/>
    </i>
    <i r="2">
      <x v="489"/>
    </i>
    <i r="2">
      <x v="348"/>
    </i>
    <i r="2">
      <x v="524"/>
    </i>
    <i r="2">
      <x v="508"/>
    </i>
    <i r="2">
      <x v="145"/>
    </i>
    <i r="1">
      <x v="8"/>
    </i>
    <i r="2">
      <x v="305"/>
    </i>
    <i r="1">
      <x v="13"/>
    </i>
    <i r="2">
      <x v="279"/>
    </i>
    <i>
      <x v="7"/>
    </i>
    <i r="1">
      <x v="9"/>
    </i>
    <i r="2">
      <x v="433"/>
    </i>
    <i r="2">
      <x v="108"/>
    </i>
    <i r="2">
      <x v="404"/>
    </i>
    <i r="2">
      <x v="430"/>
    </i>
    <i r="2">
      <x v="528"/>
    </i>
    <i r="2">
      <x v="408"/>
    </i>
    <i r="1">
      <x v="1"/>
    </i>
    <i r="2">
      <x v="568"/>
    </i>
    <i r="2">
      <x v="131"/>
    </i>
    <i r="2">
      <x v="55"/>
    </i>
    <i r="2">
      <x v="50"/>
    </i>
    <i r="2">
      <x v="206"/>
    </i>
    <i r="2">
      <x v="575"/>
    </i>
    <i r="1">
      <x v="7"/>
    </i>
    <i r="2">
      <x v="465"/>
    </i>
    <i r="2">
      <x v="374"/>
    </i>
    <i r="2">
      <x v="544"/>
    </i>
    <i r="1">
      <x v="15"/>
    </i>
    <i r="2">
      <x v="559"/>
    </i>
    <i r="2">
      <x v="173"/>
    </i>
    <i r="1">
      <x/>
    </i>
    <i r="2">
      <x v="13"/>
    </i>
    <i r="2">
      <x v="48"/>
    </i>
    <i r="2">
      <x v="419"/>
    </i>
    <i r="1">
      <x v="6"/>
    </i>
    <i r="2">
      <x v="602"/>
    </i>
    <i r="2">
      <x v="346"/>
    </i>
    <i r="2">
      <x v="83"/>
    </i>
    <i r="2">
      <x v="360"/>
    </i>
    <i r="1">
      <x v="12"/>
    </i>
    <i r="2">
      <x v="40"/>
    </i>
    <i r="2">
      <x v="592"/>
    </i>
    <i r="2">
      <x v="550"/>
    </i>
    <i r="2">
      <x v="204"/>
    </i>
    <i r="2">
      <x v="243"/>
    </i>
    <i r="2">
      <x v="538"/>
    </i>
    <i r="1">
      <x v="8"/>
    </i>
    <i r="2">
      <x v="275"/>
    </i>
    <i r="2">
      <x v="89"/>
    </i>
    <i r="2">
      <x v="593"/>
    </i>
    <i r="2">
      <x v="625"/>
    </i>
    <i r="2">
      <x v="140"/>
    </i>
    <i r="1">
      <x v="3"/>
    </i>
    <i r="2">
      <x v="46"/>
    </i>
    <i r="2">
      <x v="319"/>
    </i>
    <i r="2">
      <x v="520"/>
    </i>
    <i r="1">
      <x v="2"/>
    </i>
    <i r="2">
      <x v="175"/>
    </i>
    <i r="2">
      <x v="64"/>
    </i>
    <i r="2">
      <x v="471"/>
    </i>
    <i r="1">
      <x v="5"/>
    </i>
    <i r="2">
      <x v="117"/>
    </i>
    <i r="2">
      <x v="92"/>
    </i>
    <i r="2">
      <x v="431"/>
    </i>
    <i r="2">
      <x v="29"/>
    </i>
    <i r="2">
      <x v="445"/>
    </i>
    <i r="2">
      <x v="303"/>
    </i>
    <i r="1">
      <x v="13"/>
    </i>
    <i r="2">
      <x v="84"/>
    </i>
    <i r="2">
      <x v="100"/>
    </i>
    <i r="1">
      <x v="4"/>
    </i>
    <i r="2">
      <x v="1"/>
    </i>
    <i r="1">
      <x v="14"/>
    </i>
    <i r="2">
      <x v="557"/>
    </i>
    <i r="1">
      <x v="10"/>
    </i>
    <i r="2">
      <x v="470"/>
    </i>
    <i r="1">
      <x v="11"/>
    </i>
    <i r="2">
      <x v="63"/>
    </i>
    <i>
      <x v="6"/>
    </i>
    <i r="1">
      <x v="12"/>
    </i>
    <i r="2">
      <x v="285"/>
    </i>
    <i r="2">
      <x v="351"/>
    </i>
    <i r="2">
      <x v="256"/>
    </i>
    <i r="2">
      <x v="594"/>
    </i>
    <i r="2">
      <x v="534"/>
    </i>
    <i r="2">
      <x v="200"/>
    </i>
    <i r="2">
      <x v="543"/>
    </i>
    <i r="2">
      <x v="399"/>
    </i>
    <i r="1">
      <x v="5"/>
    </i>
    <i r="2">
      <x v="347"/>
    </i>
    <i r="2">
      <x v="349"/>
    </i>
    <i r="2">
      <x v="78"/>
    </i>
    <i r="2">
      <x v="121"/>
    </i>
    <i r="2">
      <x v="39"/>
    </i>
    <i r="1">
      <x v="11"/>
    </i>
    <i r="2">
      <x v="477"/>
    </i>
    <i r="2">
      <x v="316"/>
    </i>
    <i r="2">
      <x v="381"/>
    </i>
    <i r="2">
      <x v="521"/>
    </i>
    <i r="2">
      <x v="300"/>
    </i>
    <i r="1">
      <x v="9"/>
    </i>
    <i r="2">
      <x v="500"/>
    </i>
    <i r="2">
      <x v="437"/>
    </i>
    <i r="2">
      <x v="228"/>
    </i>
    <i r="2">
      <x v="425"/>
    </i>
    <i r="2">
      <x v="5"/>
    </i>
    <i r="2">
      <x v="74"/>
    </i>
    <i r="2">
      <x v="125"/>
    </i>
    <i r="1">
      <x v="14"/>
    </i>
    <i r="2">
      <x v="409"/>
    </i>
    <i r="2">
      <x v="362"/>
    </i>
    <i r="2">
      <x v="152"/>
    </i>
    <i r="2">
      <x v="567"/>
    </i>
    <i r="2">
      <x v="118"/>
    </i>
    <i r="2">
      <x v="573"/>
    </i>
    <i r="1">
      <x v="7"/>
    </i>
    <i r="2">
      <x v="317"/>
    </i>
    <i r="2">
      <x v="490"/>
    </i>
    <i r="2">
      <x v="99"/>
    </i>
    <i r="2">
      <x v="308"/>
    </i>
    <i r="2">
      <x v="553"/>
    </i>
    <i r="1">
      <x v="6"/>
    </i>
    <i r="2">
      <x v="427"/>
    </i>
    <i r="2">
      <x v="482"/>
    </i>
    <i r="2">
      <x v="476"/>
    </i>
    <i r="1">
      <x v="2"/>
    </i>
    <i r="2">
      <x v="81"/>
    </i>
    <i r="2">
      <x v="604"/>
    </i>
    <i r="2">
      <x v="253"/>
    </i>
    <i r="2">
      <x v="165"/>
    </i>
    <i r="2">
      <x v="523"/>
    </i>
    <i r="1">
      <x/>
    </i>
    <i r="2">
      <x v="618"/>
    </i>
    <i r="2">
      <x v="34"/>
    </i>
    <i r="2">
      <x v="59"/>
    </i>
    <i r="2">
      <x v="510"/>
    </i>
    <i r="2">
      <x v="235"/>
    </i>
    <i r="2">
      <x v="494"/>
    </i>
    <i r="1">
      <x v="15"/>
    </i>
    <i r="2">
      <x v="475"/>
    </i>
    <i r="1">
      <x v="13"/>
    </i>
    <i r="2">
      <x v="207"/>
    </i>
    <i r="2">
      <x v="577"/>
    </i>
    <i r="2">
      <x v="613"/>
    </i>
    <i r="1">
      <x v="4"/>
    </i>
    <i r="2">
      <x v="509"/>
    </i>
    <i r="2">
      <x v="66"/>
    </i>
    <i r="2">
      <x v="190"/>
    </i>
    <i r="1">
      <x v="10"/>
    </i>
    <i r="2">
      <x v="312"/>
    </i>
    <i r="2">
      <x v="49"/>
    </i>
    <i r="2">
      <x v="72"/>
    </i>
    <i r="1">
      <x v="3"/>
    </i>
    <i r="2">
      <x v="382"/>
    </i>
    <i r="2">
      <x v="546"/>
    </i>
    <i r="1">
      <x v="1"/>
    </i>
    <i r="2">
      <x v="513"/>
    </i>
    <i r="2">
      <x v="439"/>
    </i>
    <i r="1">
      <x v="8"/>
    </i>
    <i r="2">
      <x v="17"/>
    </i>
    <i r="2">
      <x v="137"/>
    </i>
    <i r="2">
      <x v="499"/>
    </i>
    <i r="2">
      <x v="343"/>
    </i>
    <i>
      <x v="8"/>
    </i>
    <i r="1">
      <x v="9"/>
    </i>
    <i r="2">
      <x v="197"/>
    </i>
    <i r="2">
      <x v="512"/>
    </i>
    <i r="2">
      <x v="271"/>
    </i>
    <i r="2">
      <x v="402"/>
    </i>
    <i r="2">
      <x v="56"/>
    </i>
    <i r="2">
      <x v="37"/>
    </i>
    <i r="1">
      <x/>
    </i>
    <i r="2">
      <x v="566"/>
    </i>
    <i r="2">
      <x v="616"/>
    </i>
    <i r="2">
      <x v="98"/>
    </i>
    <i r="2">
      <x v="515"/>
    </i>
    <i r="1">
      <x v="11"/>
    </i>
    <i r="2">
      <x v="289"/>
    </i>
    <i r="2">
      <x v="157"/>
    </i>
    <i r="2">
      <x v="388"/>
    </i>
    <i r="2">
      <x v="213"/>
    </i>
    <i r="1">
      <x v="8"/>
    </i>
    <i r="2">
      <x v="336"/>
    </i>
    <i r="2">
      <x v="514"/>
    </i>
    <i r="2">
      <x v="570"/>
    </i>
    <i r="2">
      <x v="58"/>
    </i>
    <i r="2">
      <x v="252"/>
    </i>
    <i r="1">
      <x v="1"/>
    </i>
    <i r="2">
      <x v="33"/>
    </i>
    <i r="2">
      <x v="341"/>
    </i>
    <i r="2">
      <x v="585"/>
    </i>
    <i r="2">
      <x v="560"/>
    </i>
    <i r="2">
      <x v="194"/>
    </i>
    <i r="1">
      <x v="5"/>
    </i>
    <i r="2">
      <x v="624"/>
    </i>
    <i r="2">
      <x v="151"/>
    </i>
    <i r="2">
      <x v="276"/>
    </i>
    <i r="2">
      <x v="122"/>
    </i>
    <i r="2">
      <x v="478"/>
    </i>
    <i r="1">
      <x v="13"/>
    </i>
    <i r="2">
      <x v="141"/>
    </i>
    <i r="2">
      <x v="555"/>
    </i>
    <i r="2">
      <x v="25"/>
    </i>
    <i r="2">
      <x v="551"/>
    </i>
    <i r="2">
      <x v="103"/>
    </i>
    <i r="2">
      <x v="150"/>
    </i>
    <i r="2">
      <x v="337"/>
    </i>
    <i r="2">
      <x v="43"/>
    </i>
    <i r="2">
      <x v="30"/>
    </i>
    <i r="1">
      <x v="12"/>
    </i>
    <i r="2">
      <x v="136"/>
    </i>
    <i r="2">
      <x v="352"/>
    </i>
    <i r="2">
      <x v="597"/>
    </i>
    <i r="2">
      <x v="626"/>
    </i>
    <i r="2">
      <x v="606"/>
    </i>
    <i r="1">
      <x v="4"/>
    </i>
    <i r="2">
      <x v="236"/>
    </i>
    <i r="2">
      <x v="595"/>
    </i>
    <i r="2">
      <x v="629"/>
    </i>
    <i r="2">
      <x v="536"/>
    </i>
    <i r="1">
      <x v="15"/>
    </i>
    <i r="2">
      <x v="315"/>
    </i>
    <i r="2">
      <x v="133"/>
    </i>
    <i r="1">
      <x v="3"/>
    </i>
    <i r="2">
      <x v="364"/>
    </i>
    <i r="2">
      <x v="309"/>
    </i>
    <i r="2">
      <x v="361"/>
    </i>
    <i r="2">
      <x v="161"/>
    </i>
    <i r="1">
      <x v="14"/>
    </i>
    <i r="2">
      <x v="223"/>
    </i>
    <i r="2">
      <x v="67"/>
    </i>
    <i r="2">
      <x v="496"/>
    </i>
    <i r="2">
      <x v="491"/>
    </i>
    <i r="1">
      <x v="10"/>
    </i>
    <i r="2">
      <x v="7"/>
    </i>
    <i r="2">
      <x v="497"/>
    </i>
    <i r="2">
      <x v="229"/>
    </i>
    <i r="1">
      <x v="7"/>
    </i>
    <i r="2">
      <x v="438"/>
    </i>
    <i r="2">
      <x v="378"/>
    </i>
    <i r="1">
      <x v="6"/>
    </i>
    <i r="2">
      <x v="187"/>
    </i>
    <i r="1">
      <x v="2"/>
    </i>
    <i r="2">
      <x v="459"/>
    </i>
    <i r="2">
      <x v="340"/>
    </i>
    <i>
      <x v="2"/>
    </i>
    <i r="1">
      <x v="11"/>
    </i>
    <i r="2">
      <x v="196"/>
    </i>
    <i r="2">
      <x v="129"/>
    </i>
    <i r="2">
      <x v="588"/>
    </i>
    <i r="2">
      <x v="506"/>
    </i>
    <i r="2">
      <x v="611"/>
    </i>
    <i r="2">
      <x v="183"/>
    </i>
    <i r="2">
      <x v="505"/>
    </i>
    <i r="2">
      <x v="562"/>
    </i>
    <i r="2">
      <x v="258"/>
    </i>
    <i r="1">
      <x v="10"/>
    </i>
    <i r="2">
      <x v="199"/>
    </i>
    <i r="2">
      <x v="241"/>
    </i>
    <i r="2">
      <x v="90"/>
    </i>
    <i r="2">
      <x v="495"/>
    </i>
    <i r="2">
      <x v="159"/>
    </i>
    <i r="2">
      <x v="369"/>
    </i>
    <i r="1">
      <x v="12"/>
    </i>
    <i r="2">
      <x v="12"/>
    </i>
    <i r="2">
      <x v="181"/>
    </i>
    <i r="2">
      <x v="47"/>
    </i>
    <i r="1">
      <x v="3"/>
    </i>
    <i r="2">
      <x v="627"/>
    </i>
    <i r="2">
      <x v="87"/>
    </i>
    <i r="2">
      <x v="106"/>
    </i>
    <i r="2">
      <x v="576"/>
    </i>
    <i r="2">
      <x v="338"/>
    </i>
    <i r="2">
      <x v="217"/>
    </i>
    <i r="1">
      <x v="1"/>
    </i>
    <i r="2">
      <x v="619"/>
    </i>
    <i r="2">
      <x v="558"/>
    </i>
    <i r="2">
      <x v="452"/>
    </i>
    <i r="1">
      <x v="14"/>
    </i>
    <i r="2">
      <x v="320"/>
    </i>
    <i r="2">
      <x v="522"/>
    </i>
    <i r="1">
      <x v="5"/>
    </i>
    <i r="2">
      <x v="615"/>
    </i>
    <i r="2">
      <x v="368"/>
    </i>
    <i r="2">
      <x v="457"/>
    </i>
    <i r="2">
      <x v="10"/>
    </i>
    <i r="1">
      <x/>
    </i>
    <i r="2">
      <x v="227"/>
    </i>
    <i r="2">
      <x v="393"/>
    </i>
    <i r="2">
      <x v="245"/>
    </i>
    <i r="1">
      <x v="2"/>
    </i>
    <i r="2">
      <x v="310"/>
    </i>
    <i r="2">
      <x v="158"/>
    </i>
    <i r="2">
      <x v="517"/>
    </i>
    <i r="1">
      <x v="7"/>
    </i>
    <i r="2">
      <x v="281"/>
    </i>
    <i r="2">
      <x v="77"/>
    </i>
    <i r="2">
      <x v="493"/>
    </i>
    <i r="2">
      <x v="392"/>
    </i>
    <i r="2">
      <x v="447"/>
    </i>
    <i r="1">
      <x v="13"/>
    </i>
    <i r="2">
      <x v="41"/>
    </i>
    <i r="2">
      <x v="579"/>
    </i>
    <i r="1">
      <x v="6"/>
    </i>
    <i r="2">
      <x v="332"/>
    </i>
    <i r="1">
      <x v="4"/>
    </i>
    <i r="2">
      <x v="407"/>
    </i>
    <i r="1">
      <x v="8"/>
    </i>
    <i r="2">
      <x v="240"/>
    </i>
    <i r="2">
      <x v="609"/>
    </i>
    <i r="2">
      <x v="65"/>
    </i>
    <i>
      <x v="4"/>
    </i>
    <i r="1">
      <x v="10"/>
    </i>
    <i r="2">
      <x v="603"/>
    </i>
    <i r="2">
      <x v="277"/>
    </i>
    <i r="2">
      <x v="101"/>
    </i>
    <i r="2">
      <x v="356"/>
    </i>
    <i r="2">
      <x v="589"/>
    </i>
    <i r="2">
      <x v="587"/>
    </i>
    <i r="2">
      <x v="485"/>
    </i>
    <i r="1">
      <x v="4"/>
    </i>
    <i r="2">
      <x v="188"/>
    </i>
    <i r="2">
      <x v="73"/>
    </i>
    <i r="2">
      <x v="540"/>
    </i>
    <i r="2">
      <x v="282"/>
    </i>
    <i r="2">
      <x v="60"/>
    </i>
    <i r="2">
      <x v="212"/>
    </i>
    <i r="1">
      <x v="8"/>
    </i>
    <i r="2">
      <x v="191"/>
    </i>
    <i r="2">
      <x v="533"/>
    </i>
    <i r="2">
      <x v="605"/>
    </i>
    <i r="1">
      <x v="9"/>
    </i>
    <i r="2">
      <x v="148"/>
    </i>
    <i r="2">
      <x v="612"/>
    </i>
    <i r="1">
      <x v="1"/>
    </i>
    <i r="2">
      <x v="331"/>
    </i>
    <i r="2">
      <x v="124"/>
    </i>
    <i r="2">
      <x v="488"/>
    </i>
    <i r="1">
      <x v="2"/>
    </i>
    <i r="2">
      <x v="420"/>
    </i>
    <i r="2">
      <x v="584"/>
    </i>
    <i r="2">
      <x v="622"/>
    </i>
    <i r="1">
      <x/>
    </i>
    <i r="2">
      <x v="54"/>
    </i>
    <i r="2">
      <x v="169"/>
    </i>
    <i r="2">
      <x v="357"/>
    </i>
    <i r="2">
      <x v="186"/>
    </i>
    <i r="2">
      <x v="261"/>
    </i>
    <i r="2">
      <x/>
    </i>
    <i r="2">
      <x v="443"/>
    </i>
    <i r="1">
      <x v="13"/>
    </i>
    <i r="2">
      <x v="519"/>
    </i>
    <i r="2">
      <x v="411"/>
    </i>
    <i r="2">
      <x v="549"/>
    </i>
    <i r="2">
      <x v="254"/>
    </i>
    <i r="2">
      <x v="492"/>
    </i>
    <i r="2">
      <x v="93"/>
    </i>
    <i r="2">
      <x v="344"/>
    </i>
    <i r="1">
      <x v="3"/>
    </i>
    <i r="2">
      <x v="363"/>
    </i>
    <i r="2">
      <x v="294"/>
    </i>
    <i r="2">
      <x v="51"/>
    </i>
    <i r="2">
      <x v="527"/>
    </i>
    <i r="1">
      <x v="5"/>
    </i>
    <i r="2">
      <x v="516"/>
    </i>
    <i r="2">
      <x v="554"/>
    </i>
    <i r="2">
      <x v="547"/>
    </i>
    <i r="2">
      <x v="537"/>
    </i>
    <i r="1">
      <x v="14"/>
    </i>
    <i r="2">
      <x v="224"/>
    </i>
    <i r="2">
      <x v="251"/>
    </i>
    <i r="2">
      <x v="142"/>
    </i>
    <i r="1">
      <x v="11"/>
    </i>
    <i r="2">
      <x v="486"/>
    </i>
    <i r="1">
      <x v="7"/>
    </i>
    <i r="2">
      <x v="501"/>
    </i>
    <i r="2">
      <x v="467"/>
    </i>
    <i r="2">
      <x v="38"/>
    </i>
    <i r="2">
      <x v="11"/>
    </i>
    <i r="1">
      <x v="6"/>
    </i>
    <i r="2">
      <x v="473"/>
    </i>
    <i r="2">
      <x v="164"/>
    </i>
    <i r="2">
      <x v="498"/>
    </i>
    <i r="1">
      <x v="12"/>
    </i>
    <i r="2">
      <x v="162"/>
    </i>
    <i r="2">
      <x v="201"/>
    </i>
    <i r="2">
      <x v="525"/>
    </i>
    <i r="2">
      <x v="57"/>
    </i>
    <i r="2">
      <x v="155"/>
    </i>
    <i r="2">
      <x v="160"/>
    </i>
    <i>
      <x v="12"/>
    </i>
    <i r="1">
      <x v="10"/>
    </i>
    <i r="2">
      <x v="370"/>
    </i>
    <i r="2">
      <x v="26"/>
    </i>
    <i r="2">
      <x v="434"/>
    </i>
    <i r="2">
      <x v="244"/>
    </i>
    <i r="2">
      <x v="4"/>
    </i>
    <i r="1">
      <x v="5"/>
    </i>
    <i r="2">
      <x v="321"/>
    </i>
    <i r="2">
      <x v="114"/>
    </i>
    <i r="2">
      <x v="322"/>
    </i>
    <i r="1">
      <x v="3"/>
    </i>
    <i r="2">
      <x v="230"/>
    </i>
    <i r="2">
      <x v="442"/>
    </i>
    <i r="2">
      <x v="156"/>
    </i>
    <i r="2">
      <x v="454"/>
    </i>
    <i r="2">
      <x v="178"/>
    </i>
    <i r="1">
      <x/>
    </i>
    <i r="2">
      <x v="221"/>
    </i>
    <i r="2">
      <x v="144"/>
    </i>
    <i r="2">
      <x v="35"/>
    </i>
    <i r="1">
      <x v="4"/>
    </i>
    <i r="2">
      <x v="218"/>
    </i>
    <i r="2">
      <x v="284"/>
    </i>
    <i r="1">
      <x v="1"/>
    </i>
    <i r="2">
      <x v="234"/>
    </i>
    <i r="2">
      <x v="113"/>
    </i>
    <i r="2">
      <x v="422"/>
    </i>
    <i r="2">
      <x v="225"/>
    </i>
    <i r="1">
      <x v="9"/>
    </i>
    <i r="2">
      <x v="24"/>
    </i>
    <i r="2">
      <x v="413"/>
    </i>
    <i r="2">
      <x v="405"/>
    </i>
    <i r="1">
      <x v="13"/>
    </i>
    <i r="2">
      <x v="109"/>
    </i>
    <i r="2">
      <x v="28"/>
    </i>
    <i r="1">
      <x v="11"/>
    </i>
    <i r="2">
      <x v="168"/>
    </i>
    <i r="2">
      <x v="273"/>
    </i>
    <i r="2">
      <x v="172"/>
    </i>
    <i r="2">
      <x v="80"/>
    </i>
    <i r="2">
      <x v="19"/>
    </i>
    <i r="1">
      <x v="2"/>
    </i>
    <i r="2">
      <x v="265"/>
    </i>
    <i r="2">
      <x v="220"/>
    </i>
    <i r="1">
      <x v="6"/>
    </i>
    <i r="2">
      <x v="238"/>
    </i>
    <i r="1">
      <x v="14"/>
    </i>
    <i r="2">
      <x v="414"/>
    </i>
    <i r="2">
      <x v="31"/>
    </i>
    <i r="1">
      <x v="12"/>
    </i>
    <i r="2">
      <x v="302"/>
    </i>
    <i r="2">
      <x v="171"/>
    </i>
    <i r="2">
      <x v="233"/>
    </i>
    <i r="1">
      <x v="7"/>
    </i>
    <i r="2">
      <x v="299"/>
    </i>
    <i r="2">
      <x v="119"/>
    </i>
    <i>
      <x v="1"/>
    </i>
    <i r="1">
      <x v="11"/>
    </i>
    <i r="2">
      <x v="502"/>
    </i>
    <i r="2">
      <x v="429"/>
    </i>
    <i r="2">
      <x v="511"/>
    </i>
    <i r="1">
      <x v="6"/>
    </i>
    <i r="2">
      <x v="226"/>
    </i>
    <i r="2">
      <x v="166"/>
    </i>
    <i r="2">
      <x v="250"/>
    </i>
    <i r="2">
      <x v="556"/>
    </i>
    <i r="2">
      <x v="111"/>
    </i>
    <i r="1">
      <x v="1"/>
    </i>
    <i r="2">
      <x v="541"/>
    </i>
    <i r="2">
      <x v="469"/>
    </i>
    <i r="2">
      <x v="295"/>
    </i>
    <i r="2">
      <x v="248"/>
    </i>
    <i r="2">
      <x v="154"/>
    </i>
    <i r="2">
      <x v="231"/>
    </i>
    <i r="2">
      <x v="620"/>
    </i>
    <i r="2">
      <x v="383"/>
    </i>
    <i r="1">
      <x v="8"/>
    </i>
    <i r="2">
      <x v="466"/>
    </i>
    <i r="2">
      <x v="335"/>
    </i>
    <i r="1">
      <x/>
    </i>
    <i r="2">
      <x v="97"/>
    </i>
    <i r="2">
      <x v="290"/>
    </i>
    <i r="2">
      <x v="146"/>
    </i>
    <i r="2">
      <x v="426"/>
    </i>
    <i r="2">
      <x v="462"/>
    </i>
    <i r="1">
      <x v="7"/>
    </i>
    <i r="2">
      <x v="428"/>
    </i>
    <i r="2">
      <x v="480"/>
    </i>
    <i r="2">
      <x v="561"/>
    </i>
    <i r="2">
      <x v="70"/>
    </i>
    <i r="1">
      <x v="12"/>
    </i>
    <i r="2">
      <x v="115"/>
    </i>
    <i r="2">
      <x v="147"/>
    </i>
    <i r="1">
      <x v="9"/>
    </i>
    <i r="2">
      <x v="468"/>
    </i>
    <i r="2">
      <x v="416"/>
    </i>
    <i r="1">
      <x v="3"/>
    </i>
    <i r="2">
      <x v="440"/>
    </i>
    <i r="2">
      <x v="195"/>
    </i>
    <i r="2">
      <x v="184"/>
    </i>
    <i r="1">
      <x v="2"/>
    </i>
    <i r="2">
      <x v="358"/>
    </i>
    <i r="2">
      <x v="507"/>
    </i>
    <i r="1">
      <x v="10"/>
    </i>
    <i r="2">
      <x v="552"/>
    </i>
    <i r="2">
      <x v="274"/>
    </i>
    <i r="1">
      <x v="5"/>
    </i>
    <i r="2">
      <x v="269"/>
    </i>
    <i r="2">
      <x v="127"/>
    </i>
    <i r="2">
      <x v="614"/>
    </i>
    <i r="2">
      <x v="532"/>
    </i>
    <i r="1">
      <x v="15"/>
    </i>
    <i r="2">
      <x v="270"/>
    </i>
    <i r="1">
      <x v="4"/>
    </i>
    <i r="2">
      <x v="246"/>
    </i>
    <i r="2">
      <x v="390"/>
    </i>
    <i r="2">
      <x v="539"/>
    </i>
    <i r="2">
      <x v="424"/>
    </i>
    <i r="1">
      <x v="14"/>
    </i>
    <i r="2">
      <x v="2"/>
    </i>
    <i r="2">
      <x v="415"/>
    </i>
    <i r="2">
      <x v="542"/>
    </i>
    <i r="2">
      <x v="170"/>
    </i>
    <i r="1">
      <x v="13"/>
    </i>
    <i r="2">
      <x v="324"/>
    </i>
    <i r="2">
      <x v="79"/>
    </i>
    <i>
      <x v="10"/>
    </i>
    <i r="1">
      <x v="2"/>
    </i>
    <i r="2">
      <x v="62"/>
    </i>
    <i r="2">
      <x v="120"/>
    </i>
    <i r="2">
      <x v="387"/>
    </i>
    <i r="1">
      <x v="7"/>
    </i>
    <i r="2">
      <x v="461"/>
    </i>
    <i r="2">
      <x v="288"/>
    </i>
    <i r="2">
      <x v="132"/>
    </i>
    <i r="1">
      <x v="8"/>
    </i>
    <i r="2">
      <x v="14"/>
    </i>
    <i r="2">
      <x v="386"/>
    </i>
    <i r="2">
      <x v="88"/>
    </i>
    <i r="2">
      <x v="177"/>
    </i>
    <i r="1">
      <x v="5"/>
    </i>
    <i r="2">
      <x v="460"/>
    </i>
    <i r="2">
      <x v="391"/>
    </i>
    <i r="2">
      <x v="27"/>
    </i>
    <i r="2">
      <x v="384"/>
    </i>
    <i r="1">
      <x v="4"/>
    </i>
    <i r="2">
      <x v="326"/>
    </i>
    <i r="2">
      <x v="292"/>
    </i>
    <i r="1">
      <x v="14"/>
    </i>
    <i r="2">
      <x v="451"/>
    </i>
    <i r="2">
      <x v="179"/>
    </i>
    <i r="2">
      <x v="52"/>
    </i>
    <i r="2">
      <x v="266"/>
    </i>
    <i r="1">
      <x v="1"/>
    </i>
    <i r="2">
      <x v="259"/>
    </i>
    <i r="2">
      <x v="373"/>
    </i>
    <i r="1">
      <x/>
    </i>
    <i r="2">
      <x v="375"/>
    </i>
    <i r="2">
      <x v="143"/>
    </i>
    <i r="1">
      <x v="12"/>
    </i>
    <i r="2">
      <x v="283"/>
    </i>
    <i r="2">
      <x v="366"/>
    </i>
    <i r="1">
      <x v="11"/>
    </i>
    <i r="2">
      <x v="75"/>
    </i>
    <i r="2">
      <x v="450"/>
    </i>
    <i r="1">
      <x v="10"/>
    </i>
    <i r="2">
      <x v="94"/>
    </i>
    <i r="1">
      <x v="6"/>
    </i>
    <i r="2">
      <x v="53"/>
    </i>
    <i r="1">
      <x v="13"/>
    </i>
    <i r="2">
      <x v="263"/>
    </i>
    <i r="1">
      <x v="15"/>
    </i>
    <i r="2">
      <x v="198"/>
    </i>
    <i r="1">
      <x v="9"/>
    </i>
    <i r="2">
      <x v="68"/>
    </i>
    <i r="2">
      <x v="15"/>
    </i>
    <i r="2">
      <x v="403"/>
    </i>
    <i r="2">
      <x v="444"/>
    </i>
    <i r="2">
      <x v="139"/>
    </i>
    <i r="2">
      <x v="208"/>
    </i>
    <i r="2">
      <x v="293"/>
    </i>
    <i>
      <x v="3"/>
    </i>
    <i r="1">
      <x v="6"/>
    </i>
    <i r="2">
      <x v="192"/>
    </i>
    <i r="2">
      <x v="621"/>
    </i>
    <i r="2">
      <x v="423"/>
    </i>
    <i r="2">
      <x v="504"/>
    </i>
    <i r="2">
      <x v="314"/>
    </i>
    <i r="2">
      <x v="432"/>
    </i>
    <i r="2">
      <x v="472"/>
    </i>
    <i r="1">
      <x v="2"/>
    </i>
    <i r="2">
      <x v="548"/>
    </i>
    <i r="2">
      <x v="563"/>
    </i>
    <i r="2">
      <x v="176"/>
    </i>
    <i r="2">
      <x v="182"/>
    </i>
    <i r="2">
      <x v="268"/>
    </i>
    <i r="2">
      <x v="126"/>
    </i>
    <i r="1">
      <x v="14"/>
    </i>
    <i r="2">
      <x v="446"/>
    </i>
    <i r="2">
      <x v="401"/>
    </i>
    <i r="2">
      <x v="211"/>
    </i>
    <i r="1">
      <x v="8"/>
    </i>
    <i r="2">
      <x v="435"/>
    </i>
    <i r="2">
      <x v="44"/>
    </i>
    <i r="2">
      <x v="32"/>
    </i>
    <i r="2">
      <x v="418"/>
    </i>
    <i r="2">
      <x v="264"/>
    </i>
    <i r="2">
      <x v="333"/>
    </i>
    <i r="2">
      <x v="617"/>
    </i>
    <i r="1">
      <x v="4"/>
    </i>
    <i r="2">
      <x v="436"/>
    </i>
    <i r="2">
      <x v="623"/>
    </i>
    <i r="2">
      <x v="464"/>
    </i>
    <i r="1">
      <x v="7"/>
    </i>
    <i r="2">
      <x v="572"/>
    </i>
    <i r="2">
      <x v="389"/>
    </i>
    <i r="2">
      <x v="503"/>
    </i>
    <i r="2">
      <x v="571"/>
    </i>
    <i r="2">
      <x v="529"/>
    </i>
    <i r="1">
      <x v="12"/>
    </i>
    <i r="2">
      <x v="376"/>
    </i>
    <i r="2">
      <x v="272"/>
    </i>
    <i r="2">
      <x v="306"/>
    </i>
    <i r="2">
      <x v="291"/>
    </i>
    <i r="1">
      <x v="11"/>
    </i>
    <i r="2">
      <x v="260"/>
    </i>
    <i r="2">
      <x v="583"/>
    </i>
    <i r="2">
      <x v="102"/>
    </i>
    <i r="1">
      <x v="10"/>
    </i>
    <i r="2">
      <x v="412"/>
    </i>
    <i r="2">
      <x v="214"/>
    </i>
    <i r="2">
      <x v="531"/>
    </i>
    <i r="2">
      <x v="286"/>
    </i>
    <i r="1">
      <x v="3"/>
    </i>
    <i r="2">
      <x v="8"/>
    </i>
    <i r="2">
      <x v="481"/>
    </i>
    <i r="2">
      <x v="215"/>
    </i>
    <i r="1">
      <x v="9"/>
    </i>
    <i r="2">
      <x v="526"/>
    </i>
    <i r="2">
      <x v="518"/>
    </i>
    <i r="2">
      <x v="474"/>
    </i>
    <i r="2">
      <x v="185"/>
    </i>
    <i r="2">
      <x v="247"/>
    </i>
    <i r="1">
      <x v="5"/>
    </i>
    <i r="2">
      <x v="569"/>
    </i>
    <i r="2">
      <x v="448"/>
    </i>
    <i r="2">
      <x v="255"/>
    </i>
    <i r="1">
      <x/>
    </i>
    <i r="2">
      <x v="45"/>
    </i>
    <i r="2">
      <x v="167"/>
    </i>
    <i r="1">
      <x v="1"/>
    </i>
    <i r="2">
      <x v="535"/>
    </i>
    <i r="2">
      <x v="380"/>
    </i>
    <i r="2">
      <x v="76"/>
    </i>
    <i>
      <x v="9"/>
    </i>
    <i r="1">
      <x v="1"/>
    </i>
    <i r="2">
      <x v="180"/>
    </i>
    <i r="2">
      <x v="421"/>
    </i>
    <i r="2">
      <x v="23"/>
    </i>
    <i r="2">
      <x v="153"/>
    </i>
    <i r="2">
      <x v="104"/>
    </i>
    <i r="1">
      <x v="13"/>
    </i>
    <i r="2">
      <x v="311"/>
    </i>
    <i r="2">
      <x v="580"/>
    </i>
    <i r="2">
      <x v="249"/>
    </i>
    <i r="1">
      <x v="2"/>
    </i>
    <i r="2">
      <x v="483"/>
    </i>
    <i r="2">
      <x v="598"/>
    </i>
    <i r="1">
      <x v="3"/>
    </i>
    <i r="2">
      <x v="545"/>
    </i>
    <i r="2">
      <x v="82"/>
    </i>
    <i r="2">
      <x v="107"/>
    </i>
    <i r="2">
      <x v="455"/>
    </i>
    <i r="2">
      <x v="345"/>
    </i>
    <i r="1">
      <x v="9"/>
    </i>
    <i r="2">
      <x v="327"/>
    </i>
    <i r="2">
      <x v="6"/>
    </i>
    <i r="2">
      <x v="95"/>
    </i>
    <i r="2">
      <x v="484"/>
    </i>
    <i r="2">
      <x v="128"/>
    </i>
    <i r="1">
      <x v="10"/>
    </i>
    <i r="2">
      <x v="397"/>
    </i>
    <i r="2">
      <x v="313"/>
    </i>
    <i r="2">
      <x v="307"/>
    </i>
    <i r="2">
      <x v="601"/>
    </i>
    <i r="1">
      <x v="7"/>
    </i>
    <i r="2">
      <x v="372"/>
    </i>
    <i r="2">
      <x v="395"/>
    </i>
    <i r="1">
      <x/>
    </i>
    <i r="2">
      <x v="355"/>
    </i>
    <i r="2">
      <x v="91"/>
    </i>
    <i r="2">
      <x v="600"/>
    </i>
    <i r="1">
      <x v="4"/>
    </i>
    <i r="2">
      <x v="330"/>
    </i>
    <i r="1">
      <x v="14"/>
    </i>
    <i r="2">
      <x v="591"/>
    </i>
    <i r="2">
      <x v="350"/>
    </i>
    <i r="1">
      <x v="11"/>
    </i>
    <i r="2">
      <x v="377"/>
    </i>
    <i r="2">
      <x v="564"/>
    </i>
    <i r="2">
      <x v="458"/>
    </i>
    <i r="2">
      <x v="578"/>
    </i>
    <i r="1">
      <x v="8"/>
    </i>
    <i r="2">
      <x v="163"/>
    </i>
    <i r="2">
      <x v="42"/>
    </i>
    <i r="1">
      <x v="12"/>
    </i>
    <i r="2">
      <x v="406"/>
    </i>
    <i r="2">
      <x v="610"/>
    </i>
    <i r="1">
      <x v="5"/>
    </i>
    <i r="2">
      <x v="487"/>
    </i>
    <i r="2">
      <x v="385"/>
    </i>
    <i>
      <x v="11"/>
    </i>
    <i r="1">
      <x v="2"/>
    </i>
    <i r="2">
      <x v="329"/>
    </i>
    <i r="2">
      <x v="105"/>
    </i>
    <i r="1">
      <x v="14"/>
    </i>
    <i r="2">
      <x v="394"/>
    </i>
    <i r="2">
      <x v="262"/>
    </i>
    <i r="2">
      <x v="237"/>
    </i>
    <i r="1">
      <x v="12"/>
    </i>
    <i r="2">
      <x v="441"/>
    </i>
    <i r="2">
      <x v="278"/>
    </i>
    <i r="1">
      <x v="7"/>
    </i>
    <i r="2">
      <x v="112"/>
    </i>
    <i r="2">
      <x v="396"/>
    </i>
    <i r="2">
      <x v="20"/>
    </i>
    <i r="1">
      <x/>
    </i>
    <i r="2">
      <x v="296"/>
    </i>
    <i r="2">
      <x v="449"/>
    </i>
    <i r="1">
      <x v="11"/>
    </i>
    <i r="2">
      <x v="280"/>
    </i>
    <i r="2">
      <x v="138"/>
    </i>
    <i r="2">
      <x v="219"/>
    </i>
    <i r="2">
      <x v="222"/>
    </i>
    <i r="1">
      <x v="6"/>
    </i>
    <i r="2">
      <x v="398"/>
    </i>
    <i r="1">
      <x v="4"/>
    </i>
    <i r="2">
      <x v="174"/>
    </i>
    <i r="2">
      <x v="323"/>
    </i>
    <i r="1">
      <x v="1"/>
    </i>
    <i r="2">
      <x v="298"/>
    </i>
    <i r="2">
      <x v="267"/>
    </i>
    <i r="1">
      <x v="15"/>
    </i>
    <i r="2">
      <x v="85"/>
    </i>
    <i r="1">
      <x v="3"/>
    </i>
    <i r="2">
      <x v="318"/>
    </i>
    <i r="1">
      <x v="5"/>
    </i>
    <i r="2">
      <x v="22"/>
    </i>
    <i r="2">
      <x v="400"/>
    </i>
    <i r="2">
      <x v="371"/>
    </i>
    <i r="1">
      <x v="8"/>
    </i>
    <i r="2">
      <x v="239"/>
    </i>
    <i r="2">
      <x v="353"/>
    </i>
    <i r="1">
      <x v="10"/>
    </i>
    <i r="2">
      <x v="130"/>
    </i>
    <i r="1">
      <x v="9"/>
    </i>
    <i r="2">
      <x v="257"/>
    </i>
    <i t="grand">
      <x/>
    </i>
  </rowItems>
  <colFields count="1">
    <field x="-2"/>
  </colFields>
  <colItems count="2">
    <i>
      <x/>
    </i>
    <i i="1">
      <x v="1"/>
    </i>
  </colItems>
  <dataFields count="2">
    <dataField name="Sum of GrossRevenue" fld="23" baseField="0" baseItem="0"/>
    <dataField name="Sum of GrossProfit" fld="25" baseField="0" baseItem="0"/>
  </dataFields>
  <formats count="12">
    <format dxfId="993">
      <pivotArea outline="0" collapsedLevelsAreSubtotals="1" fieldPosition="0"/>
    </format>
    <format dxfId="994">
      <pivotArea dataOnly="0" labelOnly="1" outline="0" axis="axisValues" fieldPosition="0"/>
    </format>
    <format dxfId="995">
      <pivotArea collapsedLevelsAreSubtotals="1" fieldPosition="0">
        <references count="2">
          <reference field="12" count="1">
            <x v="1"/>
          </reference>
          <reference field="38" count="1" selected="0">
            <x v="5"/>
          </reference>
        </references>
      </pivotArea>
    </format>
    <format dxfId="996">
      <pivotArea collapsedLevelsAreSubtotals="1" fieldPosition="0">
        <references count="3">
          <reference field="0" count="4">
            <x v="61"/>
            <x v="304"/>
            <x v="339"/>
            <x v="628"/>
          </reference>
          <reference field="12" count="1" selected="0">
            <x v="1"/>
          </reference>
          <reference field="38" count="1" selected="0">
            <x v="5"/>
          </reference>
        </references>
      </pivotArea>
    </format>
    <format dxfId="997">
      <pivotArea collapsedLevelsAreSubtotals="1" fieldPosition="0">
        <references count="2">
          <reference field="12" count="1">
            <x v="12"/>
          </reference>
          <reference field="38" count="1" selected="0">
            <x v="5"/>
          </reference>
        </references>
      </pivotArea>
    </format>
    <format dxfId="998">
      <pivotArea collapsedLevelsAreSubtotals="1" fieldPosition="0">
        <references count="3">
          <reference field="0" count="5">
            <x v="21"/>
            <x v="86"/>
            <x v="116"/>
            <x v="232"/>
            <x v="581"/>
          </reference>
          <reference field="12" count="1" selected="0">
            <x v="12"/>
          </reference>
          <reference field="38" count="1" selected="0">
            <x v="5"/>
          </reference>
        </references>
      </pivotArea>
    </format>
    <format dxfId="999">
      <pivotArea collapsedLevelsAreSubtotals="1" fieldPosition="0">
        <references count="2">
          <reference field="12" count="1">
            <x v="5"/>
          </reference>
          <reference field="38" count="1" selected="0">
            <x v="5"/>
          </reference>
        </references>
      </pivotArea>
    </format>
    <format dxfId="1000">
      <pivotArea collapsedLevelsAreSubtotals="1" fieldPosition="0">
        <references count="3">
          <reference field="0" count="8">
            <x v="3"/>
            <x v="210"/>
            <x v="359"/>
            <x v="365"/>
            <x v="453"/>
            <x v="530"/>
            <x v="599"/>
            <x v="608"/>
          </reference>
          <reference field="12" count="1" selected="0">
            <x v="5"/>
          </reference>
          <reference field="38" count="1" selected="0">
            <x v="5"/>
          </reference>
        </references>
      </pivotArea>
    </format>
    <format dxfId="1001">
      <pivotArea dataOnly="0" labelOnly="1" fieldPosition="0">
        <references count="2">
          <reference field="12" count="3">
            <x v="1"/>
            <x v="5"/>
            <x v="12"/>
          </reference>
          <reference field="38" count="1" selected="0">
            <x v="5"/>
          </reference>
        </references>
      </pivotArea>
    </format>
    <format dxfId="1002">
      <pivotArea dataOnly="0" labelOnly="1" fieldPosition="0">
        <references count="3">
          <reference field="0" count="4">
            <x v="61"/>
            <x v="304"/>
            <x v="339"/>
            <x v="628"/>
          </reference>
          <reference field="12" count="1" selected="0">
            <x v="1"/>
          </reference>
          <reference field="38" count="1" selected="0">
            <x v="5"/>
          </reference>
        </references>
      </pivotArea>
    </format>
    <format dxfId="1003">
      <pivotArea dataOnly="0" labelOnly="1" fieldPosition="0">
        <references count="3">
          <reference field="0" count="5">
            <x v="21"/>
            <x v="86"/>
            <x v="116"/>
            <x v="232"/>
            <x v="581"/>
          </reference>
          <reference field="12" count="1" selected="0">
            <x v="12"/>
          </reference>
          <reference field="38" count="1" selected="0">
            <x v="5"/>
          </reference>
        </references>
      </pivotArea>
    </format>
    <format dxfId="1004">
      <pivotArea dataOnly="0" labelOnly="1" fieldPosition="0">
        <references count="3">
          <reference field="0" count="8">
            <x v="3"/>
            <x v="210"/>
            <x v="359"/>
            <x v="365"/>
            <x v="453"/>
            <x v="530"/>
            <x v="599"/>
            <x v="608"/>
          </reference>
          <reference field="12" count="1" selected="0">
            <x v="5"/>
          </reference>
          <reference field="38" count="1" selected="0">
            <x v="5"/>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1FF439-F6BA-408E-AC84-7624CE004FD3}" name="PivotTable9"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827" firstHeaderRow="0" firstDataRow="1" firstDataCol="1"/>
  <pivotFields count="41">
    <pivotField axis="axisRow" showAll="0" sortType="descending">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autoSortScope>
        <pivotArea dataOnly="0" outline="0" fieldPosition="0">
          <references count="1">
            <reference field="4294967294" count="1" selected="0">
              <x v="1"/>
            </reference>
          </references>
        </pivotArea>
      </autoSortScope>
    </pivotField>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axis="axisRow" showAll="0" sortType="descending">
      <items count="17">
        <item x="8"/>
        <item x="5"/>
        <item x="0"/>
        <item x="14"/>
        <item x="6"/>
        <item x="9"/>
        <item x="3"/>
        <item x="10"/>
        <item x="2"/>
        <item x="1"/>
        <item x="11"/>
        <item x="4"/>
        <item x="12"/>
        <item x="13"/>
        <item x="7"/>
        <item x="15"/>
        <item t="default"/>
      </items>
      <autoSortScope>
        <pivotArea dataOnly="0" outline="0" fieldPosition="0">
          <references count="1">
            <reference field="4294967294" count="1" selected="0">
              <x v="1"/>
            </reference>
          </references>
        </pivotArea>
      </autoSortScope>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9" showAll="0"/>
    <pivotField showAll="0"/>
    <pivotField numFmtId="1" showAll="0"/>
    <pivotField dataField="1" numFmtId="43" showAll="0"/>
    <pivotField numFmtId="43" showAll="0"/>
    <pivotField dataField="1" numFmtId="43" showAll="0"/>
    <pivotField numFmtId="9"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axis="axisRow" showAll="0" sortType="ascending" defaultSubtotal="0">
      <items count="14">
        <item sd="0" x="0"/>
        <item x="1"/>
        <item x="2"/>
        <item x="3"/>
        <item x="4"/>
        <item x="5"/>
        <item x="6"/>
        <item x="7"/>
        <item x="8"/>
        <item x="9"/>
        <item x="10"/>
        <item x="11"/>
        <item x="12"/>
        <item sd="0" x="13"/>
      </items>
      <autoSortScope>
        <pivotArea dataOnly="0" outline="0" fieldPosition="0">
          <references count="1">
            <reference field="4294967294" count="1" selected="0">
              <x v="1"/>
            </reference>
          </references>
        </pivotArea>
      </autoSortScope>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3">
    <field x="38"/>
    <field x="12"/>
    <field x="0"/>
  </rowFields>
  <rowItems count="824">
    <i>
      <x v="11"/>
    </i>
    <i r="1">
      <x v="2"/>
    </i>
    <i r="2">
      <x v="329"/>
    </i>
    <i r="2">
      <x v="105"/>
    </i>
    <i r="1">
      <x v="14"/>
    </i>
    <i r="2">
      <x v="394"/>
    </i>
    <i r="2">
      <x v="262"/>
    </i>
    <i r="2">
      <x v="237"/>
    </i>
    <i r="1">
      <x v="12"/>
    </i>
    <i r="2">
      <x v="441"/>
    </i>
    <i r="2">
      <x v="278"/>
    </i>
    <i r="1">
      <x v="7"/>
    </i>
    <i r="2">
      <x v="112"/>
    </i>
    <i r="2">
      <x v="396"/>
    </i>
    <i r="2">
      <x v="20"/>
    </i>
    <i r="1">
      <x/>
    </i>
    <i r="2">
      <x v="296"/>
    </i>
    <i r="2">
      <x v="449"/>
    </i>
    <i r="1">
      <x v="11"/>
    </i>
    <i r="2">
      <x v="280"/>
    </i>
    <i r="2">
      <x v="138"/>
    </i>
    <i r="2">
      <x v="219"/>
    </i>
    <i r="2">
      <x v="222"/>
    </i>
    <i r="1">
      <x v="6"/>
    </i>
    <i r="2">
      <x v="398"/>
    </i>
    <i r="1">
      <x v="4"/>
    </i>
    <i r="2">
      <x v="174"/>
    </i>
    <i r="2">
      <x v="323"/>
    </i>
    <i r="1">
      <x v="1"/>
    </i>
    <i r="2">
      <x v="298"/>
    </i>
    <i r="2">
      <x v="267"/>
    </i>
    <i r="1">
      <x v="15"/>
    </i>
    <i r="2">
      <x v="85"/>
    </i>
    <i r="1">
      <x v="3"/>
    </i>
    <i r="2">
      <x v="318"/>
    </i>
    <i r="1">
      <x v="5"/>
    </i>
    <i r="2">
      <x v="22"/>
    </i>
    <i r="2">
      <x v="400"/>
    </i>
    <i r="2">
      <x v="371"/>
    </i>
    <i r="1">
      <x v="8"/>
    </i>
    <i r="2">
      <x v="239"/>
    </i>
    <i r="2">
      <x v="353"/>
    </i>
    <i r="1">
      <x v="10"/>
    </i>
    <i r="2">
      <x v="130"/>
    </i>
    <i r="1">
      <x v="9"/>
    </i>
    <i r="2">
      <x v="257"/>
    </i>
    <i>
      <x v="9"/>
    </i>
    <i r="1">
      <x v="1"/>
    </i>
    <i r="2">
      <x v="180"/>
    </i>
    <i r="2">
      <x v="421"/>
    </i>
    <i r="2">
      <x v="23"/>
    </i>
    <i r="2">
      <x v="153"/>
    </i>
    <i r="2">
      <x v="104"/>
    </i>
    <i r="1">
      <x v="13"/>
    </i>
    <i r="2">
      <x v="311"/>
    </i>
    <i r="2">
      <x v="580"/>
    </i>
    <i r="2">
      <x v="249"/>
    </i>
    <i r="1">
      <x v="2"/>
    </i>
    <i r="2">
      <x v="483"/>
    </i>
    <i r="2">
      <x v="598"/>
    </i>
    <i r="1">
      <x v="3"/>
    </i>
    <i r="2">
      <x v="545"/>
    </i>
    <i r="2">
      <x v="82"/>
    </i>
    <i r="2">
      <x v="107"/>
    </i>
    <i r="2">
      <x v="455"/>
    </i>
    <i r="2">
      <x v="345"/>
    </i>
    <i r="1">
      <x v="9"/>
    </i>
    <i r="2">
      <x v="327"/>
    </i>
    <i r="2">
      <x v="6"/>
    </i>
    <i r="2">
      <x v="95"/>
    </i>
    <i r="2">
      <x v="484"/>
    </i>
    <i r="2">
      <x v="128"/>
    </i>
    <i r="1">
      <x v="10"/>
    </i>
    <i r="2">
      <x v="397"/>
    </i>
    <i r="2">
      <x v="313"/>
    </i>
    <i r="2">
      <x v="307"/>
    </i>
    <i r="2">
      <x v="601"/>
    </i>
    <i r="1">
      <x v="7"/>
    </i>
    <i r="2">
      <x v="372"/>
    </i>
    <i r="2">
      <x v="395"/>
    </i>
    <i r="1">
      <x/>
    </i>
    <i r="2">
      <x v="355"/>
    </i>
    <i r="2">
      <x v="91"/>
    </i>
    <i r="2">
      <x v="600"/>
    </i>
    <i r="1">
      <x v="4"/>
    </i>
    <i r="2">
      <x v="330"/>
    </i>
    <i r="1">
      <x v="14"/>
    </i>
    <i r="2">
      <x v="591"/>
    </i>
    <i r="2">
      <x v="350"/>
    </i>
    <i r="1">
      <x v="11"/>
    </i>
    <i r="2">
      <x v="377"/>
    </i>
    <i r="2">
      <x v="564"/>
    </i>
    <i r="2">
      <x v="458"/>
    </i>
    <i r="2">
      <x v="578"/>
    </i>
    <i r="1">
      <x v="8"/>
    </i>
    <i r="2">
      <x v="163"/>
    </i>
    <i r="2">
      <x v="42"/>
    </i>
    <i r="1">
      <x v="12"/>
    </i>
    <i r="2">
      <x v="406"/>
    </i>
    <i r="2">
      <x v="610"/>
    </i>
    <i r="1">
      <x v="5"/>
    </i>
    <i r="2">
      <x v="487"/>
    </i>
    <i r="2">
      <x v="385"/>
    </i>
    <i>
      <x v="3"/>
    </i>
    <i r="1">
      <x v="6"/>
    </i>
    <i r="2">
      <x v="192"/>
    </i>
    <i r="2">
      <x v="621"/>
    </i>
    <i r="2">
      <x v="423"/>
    </i>
    <i r="2">
      <x v="504"/>
    </i>
    <i r="2">
      <x v="314"/>
    </i>
    <i r="2">
      <x v="432"/>
    </i>
    <i r="2">
      <x v="472"/>
    </i>
    <i r="1">
      <x v="2"/>
    </i>
    <i r="2">
      <x v="548"/>
    </i>
    <i r="2">
      <x v="563"/>
    </i>
    <i r="2">
      <x v="176"/>
    </i>
    <i r="2">
      <x v="182"/>
    </i>
    <i r="2">
      <x v="268"/>
    </i>
    <i r="2">
      <x v="126"/>
    </i>
    <i r="1">
      <x v="14"/>
    </i>
    <i r="2">
      <x v="446"/>
    </i>
    <i r="2">
      <x v="401"/>
    </i>
    <i r="2">
      <x v="211"/>
    </i>
    <i r="1">
      <x v="8"/>
    </i>
    <i r="2">
      <x v="435"/>
    </i>
    <i r="2">
      <x v="44"/>
    </i>
    <i r="2">
      <x v="32"/>
    </i>
    <i r="2">
      <x v="418"/>
    </i>
    <i r="2">
      <x v="264"/>
    </i>
    <i r="2">
      <x v="333"/>
    </i>
    <i r="2">
      <x v="617"/>
    </i>
    <i r="1">
      <x v="4"/>
    </i>
    <i r="2">
      <x v="436"/>
    </i>
    <i r="2">
      <x v="623"/>
    </i>
    <i r="2">
      <x v="464"/>
    </i>
    <i r="1">
      <x v="7"/>
    </i>
    <i r="2">
      <x v="572"/>
    </i>
    <i r="2">
      <x v="389"/>
    </i>
    <i r="2">
      <x v="503"/>
    </i>
    <i r="2">
      <x v="571"/>
    </i>
    <i r="2">
      <x v="529"/>
    </i>
    <i r="1">
      <x v="12"/>
    </i>
    <i r="2">
      <x v="376"/>
    </i>
    <i r="2">
      <x v="272"/>
    </i>
    <i r="2">
      <x v="306"/>
    </i>
    <i r="2">
      <x v="291"/>
    </i>
    <i r="1">
      <x v="11"/>
    </i>
    <i r="2">
      <x v="260"/>
    </i>
    <i r="2">
      <x v="583"/>
    </i>
    <i r="2">
      <x v="102"/>
    </i>
    <i r="1">
      <x v="10"/>
    </i>
    <i r="2">
      <x v="412"/>
    </i>
    <i r="2">
      <x v="214"/>
    </i>
    <i r="2">
      <x v="531"/>
    </i>
    <i r="2">
      <x v="286"/>
    </i>
    <i r="1">
      <x v="3"/>
    </i>
    <i r="2">
      <x v="8"/>
    </i>
    <i r="2">
      <x v="481"/>
    </i>
    <i r="2">
      <x v="215"/>
    </i>
    <i r="1">
      <x v="9"/>
    </i>
    <i r="2">
      <x v="526"/>
    </i>
    <i r="2">
      <x v="518"/>
    </i>
    <i r="2">
      <x v="474"/>
    </i>
    <i r="2">
      <x v="185"/>
    </i>
    <i r="2">
      <x v="247"/>
    </i>
    <i r="1">
      <x v="5"/>
    </i>
    <i r="2">
      <x v="569"/>
    </i>
    <i r="2">
      <x v="448"/>
    </i>
    <i r="2">
      <x v="255"/>
    </i>
    <i r="1">
      <x/>
    </i>
    <i r="2">
      <x v="45"/>
    </i>
    <i r="2">
      <x v="167"/>
    </i>
    <i r="1">
      <x v="1"/>
    </i>
    <i r="2">
      <x v="535"/>
    </i>
    <i r="2">
      <x v="380"/>
    </i>
    <i r="2">
      <x v="76"/>
    </i>
    <i>
      <x v="10"/>
    </i>
    <i r="1">
      <x v="2"/>
    </i>
    <i r="2">
      <x v="62"/>
    </i>
    <i r="2">
      <x v="120"/>
    </i>
    <i r="2">
      <x v="387"/>
    </i>
    <i r="1">
      <x v="7"/>
    </i>
    <i r="2">
      <x v="461"/>
    </i>
    <i r="2">
      <x v="288"/>
    </i>
    <i r="2">
      <x v="132"/>
    </i>
    <i r="1">
      <x v="8"/>
    </i>
    <i r="2">
      <x v="14"/>
    </i>
    <i r="2">
      <x v="386"/>
    </i>
    <i r="2">
      <x v="88"/>
    </i>
    <i r="2">
      <x v="177"/>
    </i>
    <i r="1">
      <x v="5"/>
    </i>
    <i r="2">
      <x v="460"/>
    </i>
    <i r="2">
      <x v="391"/>
    </i>
    <i r="2">
      <x v="27"/>
    </i>
    <i r="2">
      <x v="384"/>
    </i>
    <i r="1">
      <x v="4"/>
    </i>
    <i r="2">
      <x v="326"/>
    </i>
    <i r="2">
      <x v="292"/>
    </i>
    <i r="1">
      <x v="14"/>
    </i>
    <i r="2">
      <x v="451"/>
    </i>
    <i r="2">
      <x v="179"/>
    </i>
    <i r="2">
      <x v="52"/>
    </i>
    <i r="2">
      <x v="266"/>
    </i>
    <i r="1">
      <x v="1"/>
    </i>
    <i r="2">
      <x v="259"/>
    </i>
    <i r="2">
      <x v="373"/>
    </i>
    <i r="1">
      <x/>
    </i>
    <i r="2">
      <x v="375"/>
    </i>
    <i r="2">
      <x v="143"/>
    </i>
    <i r="1">
      <x v="12"/>
    </i>
    <i r="2">
      <x v="283"/>
    </i>
    <i r="2">
      <x v="366"/>
    </i>
    <i r="1">
      <x v="11"/>
    </i>
    <i r="2">
      <x v="75"/>
    </i>
    <i r="2">
      <x v="450"/>
    </i>
    <i r="1">
      <x v="10"/>
    </i>
    <i r="2">
      <x v="94"/>
    </i>
    <i r="1">
      <x v="6"/>
    </i>
    <i r="2">
      <x v="53"/>
    </i>
    <i r="1">
      <x v="13"/>
    </i>
    <i r="2">
      <x v="263"/>
    </i>
    <i r="1">
      <x v="15"/>
    </i>
    <i r="2">
      <x v="198"/>
    </i>
    <i r="1">
      <x v="9"/>
    </i>
    <i r="2">
      <x v="68"/>
    </i>
    <i r="2">
      <x v="15"/>
    </i>
    <i r="2">
      <x v="403"/>
    </i>
    <i r="2">
      <x v="444"/>
    </i>
    <i r="2">
      <x v="139"/>
    </i>
    <i r="2">
      <x v="208"/>
    </i>
    <i r="2">
      <x v="293"/>
    </i>
    <i>
      <x v="1"/>
    </i>
    <i r="1">
      <x v="11"/>
    </i>
    <i r="2">
      <x v="502"/>
    </i>
    <i r="2">
      <x v="429"/>
    </i>
    <i r="2">
      <x v="511"/>
    </i>
    <i r="1">
      <x v="6"/>
    </i>
    <i r="2">
      <x v="226"/>
    </i>
    <i r="2">
      <x v="166"/>
    </i>
    <i r="2">
      <x v="250"/>
    </i>
    <i r="2">
      <x v="556"/>
    </i>
    <i r="2">
      <x v="111"/>
    </i>
    <i r="1">
      <x v="1"/>
    </i>
    <i r="2">
      <x v="541"/>
    </i>
    <i r="2">
      <x v="469"/>
    </i>
    <i r="2">
      <x v="295"/>
    </i>
    <i r="2">
      <x v="248"/>
    </i>
    <i r="2">
      <x v="154"/>
    </i>
    <i r="2">
      <x v="231"/>
    </i>
    <i r="2">
      <x v="620"/>
    </i>
    <i r="2">
      <x v="383"/>
    </i>
    <i r="1">
      <x v="8"/>
    </i>
    <i r="2">
      <x v="466"/>
    </i>
    <i r="2">
      <x v="335"/>
    </i>
    <i r="1">
      <x/>
    </i>
    <i r="2">
      <x v="97"/>
    </i>
    <i r="2">
      <x v="290"/>
    </i>
    <i r="2">
      <x v="146"/>
    </i>
    <i r="2">
      <x v="426"/>
    </i>
    <i r="2">
      <x v="462"/>
    </i>
    <i r="1">
      <x v="7"/>
    </i>
    <i r="2">
      <x v="428"/>
    </i>
    <i r="2">
      <x v="480"/>
    </i>
    <i r="2">
      <x v="561"/>
    </i>
    <i r="2">
      <x v="70"/>
    </i>
    <i r="1">
      <x v="12"/>
    </i>
    <i r="2">
      <x v="115"/>
    </i>
    <i r="2">
      <x v="147"/>
    </i>
    <i r="1">
      <x v="9"/>
    </i>
    <i r="2">
      <x v="468"/>
    </i>
    <i r="2">
      <x v="416"/>
    </i>
    <i r="1">
      <x v="3"/>
    </i>
    <i r="2">
      <x v="440"/>
    </i>
    <i r="2">
      <x v="195"/>
    </i>
    <i r="2">
      <x v="184"/>
    </i>
    <i r="1">
      <x v="2"/>
    </i>
    <i r="2">
      <x v="358"/>
    </i>
    <i r="2">
      <x v="507"/>
    </i>
    <i r="1">
      <x v="10"/>
    </i>
    <i r="2">
      <x v="552"/>
    </i>
    <i r="2">
      <x v="274"/>
    </i>
    <i r="1">
      <x v="5"/>
    </i>
    <i r="2">
      <x v="269"/>
    </i>
    <i r="2">
      <x v="127"/>
    </i>
    <i r="2">
      <x v="614"/>
    </i>
    <i r="2">
      <x v="532"/>
    </i>
    <i r="1">
      <x v="15"/>
    </i>
    <i r="2">
      <x v="270"/>
    </i>
    <i r="1">
      <x v="4"/>
    </i>
    <i r="2">
      <x v="246"/>
    </i>
    <i r="2">
      <x v="390"/>
    </i>
    <i r="2">
      <x v="539"/>
    </i>
    <i r="2">
      <x v="424"/>
    </i>
    <i r="1">
      <x v="14"/>
    </i>
    <i r="2">
      <x v="2"/>
    </i>
    <i r="2">
      <x v="415"/>
    </i>
    <i r="2">
      <x v="542"/>
    </i>
    <i r="2">
      <x v="170"/>
    </i>
    <i r="1">
      <x v="13"/>
    </i>
    <i r="2">
      <x v="324"/>
    </i>
    <i r="2">
      <x v="79"/>
    </i>
    <i>
      <x v="12"/>
    </i>
    <i r="1">
      <x v="10"/>
    </i>
    <i r="2">
      <x v="370"/>
    </i>
    <i r="2">
      <x v="26"/>
    </i>
    <i r="2">
      <x v="434"/>
    </i>
    <i r="2">
      <x v="244"/>
    </i>
    <i r="2">
      <x v="4"/>
    </i>
    <i r="1">
      <x v="5"/>
    </i>
    <i r="2">
      <x v="321"/>
    </i>
    <i r="2">
      <x v="114"/>
    </i>
    <i r="2">
      <x v="322"/>
    </i>
    <i r="1">
      <x v="3"/>
    </i>
    <i r="2">
      <x v="230"/>
    </i>
    <i r="2">
      <x v="442"/>
    </i>
    <i r="2">
      <x v="156"/>
    </i>
    <i r="2">
      <x v="454"/>
    </i>
    <i r="2">
      <x v="178"/>
    </i>
    <i r="1">
      <x/>
    </i>
    <i r="2">
      <x v="221"/>
    </i>
    <i r="2">
      <x v="144"/>
    </i>
    <i r="2">
      <x v="35"/>
    </i>
    <i r="1">
      <x v="4"/>
    </i>
    <i r="2">
      <x v="218"/>
    </i>
    <i r="2">
      <x v="284"/>
    </i>
    <i r="1">
      <x v="1"/>
    </i>
    <i r="2">
      <x v="234"/>
    </i>
    <i r="2">
      <x v="113"/>
    </i>
    <i r="2">
      <x v="422"/>
    </i>
    <i r="2">
      <x v="225"/>
    </i>
    <i r="1">
      <x v="9"/>
    </i>
    <i r="2">
      <x v="24"/>
    </i>
    <i r="2">
      <x v="413"/>
    </i>
    <i r="2">
      <x v="405"/>
    </i>
    <i r="1">
      <x v="13"/>
    </i>
    <i r="2">
      <x v="109"/>
    </i>
    <i r="2">
      <x v="28"/>
    </i>
    <i r="1">
      <x v="11"/>
    </i>
    <i r="2">
      <x v="168"/>
    </i>
    <i r="2">
      <x v="273"/>
    </i>
    <i r="2">
      <x v="172"/>
    </i>
    <i r="2">
      <x v="80"/>
    </i>
    <i r="2">
      <x v="19"/>
    </i>
    <i r="1">
      <x v="2"/>
    </i>
    <i r="2">
      <x v="265"/>
    </i>
    <i r="2">
      <x v="220"/>
    </i>
    <i r="1">
      <x v="6"/>
    </i>
    <i r="2">
      <x v="238"/>
    </i>
    <i r="1">
      <x v="14"/>
    </i>
    <i r="2">
      <x v="414"/>
    </i>
    <i r="2">
      <x v="31"/>
    </i>
    <i r="1">
      <x v="12"/>
    </i>
    <i r="2">
      <x v="302"/>
    </i>
    <i r="2">
      <x v="171"/>
    </i>
    <i r="2">
      <x v="233"/>
    </i>
    <i r="1">
      <x v="7"/>
    </i>
    <i r="2">
      <x v="299"/>
    </i>
    <i r="2">
      <x v="119"/>
    </i>
    <i>
      <x v="4"/>
    </i>
    <i r="1">
      <x v="10"/>
    </i>
    <i r="2">
      <x v="603"/>
    </i>
    <i r="2">
      <x v="277"/>
    </i>
    <i r="2">
      <x v="101"/>
    </i>
    <i r="2">
      <x v="356"/>
    </i>
    <i r="2">
      <x v="589"/>
    </i>
    <i r="2">
      <x v="587"/>
    </i>
    <i r="2">
      <x v="485"/>
    </i>
    <i r="1">
      <x v="4"/>
    </i>
    <i r="2">
      <x v="188"/>
    </i>
    <i r="2">
      <x v="73"/>
    </i>
    <i r="2">
      <x v="540"/>
    </i>
    <i r="2">
      <x v="282"/>
    </i>
    <i r="2">
      <x v="60"/>
    </i>
    <i r="2">
      <x v="212"/>
    </i>
    <i r="1">
      <x v="8"/>
    </i>
    <i r="2">
      <x v="191"/>
    </i>
    <i r="2">
      <x v="533"/>
    </i>
    <i r="2">
      <x v="605"/>
    </i>
    <i r="1">
      <x v="9"/>
    </i>
    <i r="2">
      <x v="148"/>
    </i>
    <i r="2">
      <x v="612"/>
    </i>
    <i r="1">
      <x v="1"/>
    </i>
    <i r="2">
      <x v="331"/>
    </i>
    <i r="2">
      <x v="124"/>
    </i>
    <i r="2">
      <x v="488"/>
    </i>
    <i r="1">
      <x v="2"/>
    </i>
    <i r="2">
      <x v="420"/>
    </i>
    <i r="2">
      <x v="584"/>
    </i>
    <i r="2">
      <x v="622"/>
    </i>
    <i r="1">
      <x/>
    </i>
    <i r="2">
      <x v="54"/>
    </i>
    <i r="2">
      <x v="169"/>
    </i>
    <i r="2">
      <x v="357"/>
    </i>
    <i r="2">
      <x v="186"/>
    </i>
    <i r="2">
      <x v="261"/>
    </i>
    <i r="2">
      <x/>
    </i>
    <i r="2">
      <x v="443"/>
    </i>
    <i r="1">
      <x v="13"/>
    </i>
    <i r="2">
      <x v="519"/>
    </i>
    <i r="2">
      <x v="411"/>
    </i>
    <i r="2">
      <x v="549"/>
    </i>
    <i r="2">
      <x v="254"/>
    </i>
    <i r="2">
      <x v="492"/>
    </i>
    <i r="2">
      <x v="93"/>
    </i>
    <i r="2">
      <x v="344"/>
    </i>
    <i r="1">
      <x v="3"/>
    </i>
    <i r="2">
      <x v="363"/>
    </i>
    <i r="2">
      <x v="294"/>
    </i>
    <i r="2">
      <x v="51"/>
    </i>
    <i r="2">
      <x v="527"/>
    </i>
    <i r="1">
      <x v="5"/>
    </i>
    <i r="2">
      <x v="516"/>
    </i>
    <i r="2">
      <x v="554"/>
    </i>
    <i r="2">
      <x v="547"/>
    </i>
    <i r="2">
      <x v="537"/>
    </i>
    <i r="1">
      <x v="14"/>
    </i>
    <i r="2">
      <x v="224"/>
    </i>
    <i r="2">
      <x v="251"/>
    </i>
    <i r="2">
      <x v="142"/>
    </i>
    <i r="1">
      <x v="11"/>
    </i>
    <i r="2">
      <x v="486"/>
    </i>
    <i r="1">
      <x v="7"/>
    </i>
    <i r="2">
      <x v="501"/>
    </i>
    <i r="2">
      <x v="467"/>
    </i>
    <i r="2">
      <x v="38"/>
    </i>
    <i r="2">
      <x v="11"/>
    </i>
    <i r="1">
      <x v="6"/>
    </i>
    <i r="2">
      <x v="473"/>
    </i>
    <i r="2">
      <x v="164"/>
    </i>
    <i r="2">
      <x v="498"/>
    </i>
    <i r="1">
      <x v="12"/>
    </i>
    <i r="2">
      <x v="162"/>
    </i>
    <i r="2">
      <x v="201"/>
    </i>
    <i r="2">
      <x v="525"/>
    </i>
    <i r="2">
      <x v="57"/>
    </i>
    <i r="2">
      <x v="155"/>
    </i>
    <i r="2">
      <x v="160"/>
    </i>
    <i>
      <x v="2"/>
    </i>
    <i r="1">
      <x v="11"/>
    </i>
    <i r="2">
      <x v="196"/>
    </i>
    <i r="2">
      <x v="129"/>
    </i>
    <i r="2">
      <x v="588"/>
    </i>
    <i r="2">
      <x v="506"/>
    </i>
    <i r="2">
      <x v="611"/>
    </i>
    <i r="2">
      <x v="183"/>
    </i>
    <i r="2">
      <x v="505"/>
    </i>
    <i r="2">
      <x v="562"/>
    </i>
    <i r="2">
      <x v="258"/>
    </i>
    <i r="1">
      <x v="10"/>
    </i>
    <i r="2">
      <x v="199"/>
    </i>
    <i r="2">
      <x v="241"/>
    </i>
    <i r="2">
      <x v="90"/>
    </i>
    <i r="2">
      <x v="495"/>
    </i>
    <i r="2">
      <x v="159"/>
    </i>
    <i r="2">
      <x v="369"/>
    </i>
    <i r="1">
      <x v="12"/>
    </i>
    <i r="2">
      <x v="12"/>
    </i>
    <i r="2">
      <x v="181"/>
    </i>
    <i r="2">
      <x v="47"/>
    </i>
    <i r="1">
      <x v="3"/>
    </i>
    <i r="2">
      <x v="627"/>
    </i>
    <i r="2">
      <x v="87"/>
    </i>
    <i r="2">
      <x v="106"/>
    </i>
    <i r="2">
      <x v="576"/>
    </i>
    <i r="2">
      <x v="338"/>
    </i>
    <i r="2">
      <x v="217"/>
    </i>
    <i r="1">
      <x v="1"/>
    </i>
    <i r="2">
      <x v="619"/>
    </i>
    <i r="2">
      <x v="558"/>
    </i>
    <i r="2">
      <x v="452"/>
    </i>
    <i r="1">
      <x v="14"/>
    </i>
    <i r="2">
      <x v="320"/>
    </i>
    <i r="2">
      <x v="522"/>
    </i>
    <i r="1">
      <x v="5"/>
    </i>
    <i r="2">
      <x v="615"/>
    </i>
    <i r="2">
      <x v="368"/>
    </i>
    <i r="2">
      <x v="457"/>
    </i>
    <i r="2">
      <x v="10"/>
    </i>
    <i r="1">
      <x/>
    </i>
    <i r="2">
      <x v="227"/>
    </i>
    <i r="2">
      <x v="393"/>
    </i>
    <i r="2">
      <x v="245"/>
    </i>
    <i r="1">
      <x v="2"/>
    </i>
    <i r="2">
      <x v="310"/>
    </i>
    <i r="2">
      <x v="158"/>
    </i>
    <i r="2">
      <x v="517"/>
    </i>
    <i r="1">
      <x v="7"/>
    </i>
    <i r="2">
      <x v="281"/>
    </i>
    <i r="2">
      <x v="77"/>
    </i>
    <i r="2">
      <x v="493"/>
    </i>
    <i r="2">
      <x v="392"/>
    </i>
    <i r="2">
      <x v="447"/>
    </i>
    <i r="1">
      <x v="13"/>
    </i>
    <i r="2">
      <x v="41"/>
    </i>
    <i r="2">
      <x v="579"/>
    </i>
    <i r="1">
      <x v="6"/>
    </i>
    <i r="2">
      <x v="332"/>
    </i>
    <i r="1">
      <x v="4"/>
    </i>
    <i r="2">
      <x v="407"/>
    </i>
    <i r="1">
      <x v="8"/>
    </i>
    <i r="2">
      <x v="240"/>
    </i>
    <i r="2">
      <x v="609"/>
    </i>
    <i r="2">
      <x v="65"/>
    </i>
    <i>
      <x v="8"/>
    </i>
    <i r="1">
      <x v="9"/>
    </i>
    <i r="2">
      <x v="197"/>
    </i>
    <i r="2">
      <x v="512"/>
    </i>
    <i r="2">
      <x v="271"/>
    </i>
    <i r="2">
      <x v="402"/>
    </i>
    <i r="2">
      <x v="56"/>
    </i>
    <i r="2">
      <x v="37"/>
    </i>
    <i r="1">
      <x/>
    </i>
    <i r="2">
      <x v="566"/>
    </i>
    <i r="2">
      <x v="616"/>
    </i>
    <i r="2">
      <x v="98"/>
    </i>
    <i r="2">
      <x v="515"/>
    </i>
    <i r="1">
      <x v="11"/>
    </i>
    <i r="2">
      <x v="289"/>
    </i>
    <i r="2">
      <x v="157"/>
    </i>
    <i r="2">
      <x v="388"/>
    </i>
    <i r="2">
      <x v="213"/>
    </i>
    <i r="1">
      <x v="8"/>
    </i>
    <i r="2">
      <x v="336"/>
    </i>
    <i r="2">
      <x v="514"/>
    </i>
    <i r="2">
      <x v="570"/>
    </i>
    <i r="2">
      <x v="58"/>
    </i>
    <i r="2">
      <x v="252"/>
    </i>
    <i r="1">
      <x v="1"/>
    </i>
    <i r="2">
      <x v="33"/>
    </i>
    <i r="2">
      <x v="341"/>
    </i>
    <i r="2">
      <x v="585"/>
    </i>
    <i r="2">
      <x v="560"/>
    </i>
    <i r="2">
      <x v="194"/>
    </i>
    <i r="1">
      <x v="5"/>
    </i>
    <i r="2">
      <x v="624"/>
    </i>
    <i r="2">
      <x v="151"/>
    </i>
    <i r="2">
      <x v="276"/>
    </i>
    <i r="2">
      <x v="122"/>
    </i>
    <i r="2">
      <x v="478"/>
    </i>
    <i r="1">
      <x v="13"/>
    </i>
    <i r="2">
      <x v="141"/>
    </i>
    <i r="2">
      <x v="555"/>
    </i>
    <i r="2">
      <x v="25"/>
    </i>
    <i r="2">
      <x v="551"/>
    </i>
    <i r="2">
      <x v="103"/>
    </i>
    <i r="2">
      <x v="150"/>
    </i>
    <i r="2">
      <x v="337"/>
    </i>
    <i r="2">
      <x v="43"/>
    </i>
    <i r="2">
      <x v="30"/>
    </i>
    <i r="1">
      <x v="12"/>
    </i>
    <i r="2">
      <x v="136"/>
    </i>
    <i r="2">
      <x v="352"/>
    </i>
    <i r="2">
      <x v="597"/>
    </i>
    <i r="2">
      <x v="626"/>
    </i>
    <i r="2">
      <x v="606"/>
    </i>
    <i r="1">
      <x v="4"/>
    </i>
    <i r="2">
      <x v="236"/>
    </i>
    <i r="2">
      <x v="595"/>
    </i>
    <i r="2">
      <x v="629"/>
    </i>
    <i r="2">
      <x v="536"/>
    </i>
    <i r="1">
      <x v="15"/>
    </i>
    <i r="2">
      <x v="315"/>
    </i>
    <i r="2">
      <x v="133"/>
    </i>
    <i r="1">
      <x v="3"/>
    </i>
    <i r="2">
      <x v="364"/>
    </i>
    <i r="2">
      <x v="309"/>
    </i>
    <i r="2">
      <x v="361"/>
    </i>
    <i r="2">
      <x v="161"/>
    </i>
    <i r="1">
      <x v="14"/>
    </i>
    <i r="2">
      <x v="223"/>
    </i>
    <i r="2">
      <x v="67"/>
    </i>
    <i r="2">
      <x v="496"/>
    </i>
    <i r="2">
      <x v="491"/>
    </i>
    <i r="1">
      <x v="10"/>
    </i>
    <i r="2">
      <x v="7"/>
    </i>
    <i r="2">
      <x v="497"/>
    </i>
    <i r="2">
      <x v="229"/>
    </i>
    <i r="1">
      <x v="7"/>
    </i>
    <i r="2">
      <x v="438"/>
    </i>
    <i r="2">
      <x v="378"/>
    </i>
    <i r="1">
      <x v="6"/>
    </i>
    <i r="2">
      <x v="187"/>
    </i>
    <i r="1">
      <x v="2"/>
    </i>
    <i r="2">
      <x v="459"/>
    </i>
    <i r="2">
      <x v="340"/>
    </i>
    <i>
      <x v="6"/>
    </i>
    <i r="1">
      <x v="12"/>
    </i>
    <i r="2">
      <x v="285"/>
    </i>
    <i r="2">
      <x v="351"/>
    </i>
    <i r="2">
      <x v="256"/>
    </i>
    <i r="2">
      <x v="594"/>
    </i>
    <i r="2">
      <x v="534"/>
    </i>
    <i r="2">
      <x v="200"/>
    </i>
    <i r="2">
      <x v="543"/>
    </i>
    <i r="2">
      <x v="399"/>
    </i>
    <i r="1">
      <x v="5"/>
    </i>
    <i r="2">
      <x v="347"/>
    </i>
    <i r="2">
      <x v="349"/>
    </i>
    <i r="2">
      <x v="78"/>
    </i>
    <i r="2">
      <x v="121"/>
    </i>
    <i r="2">
      <x v="39"/>
    </i>
    <i r="1">
      <x v="11"/>
    </i>
    <i r="2">
      <x v="477"/>
    </i>
    <i r="2">
      <x v="316"/>
    </i>
    <i r="2">
      <x v="381"/>
    </i>
    <i r="2">
      <x v="521"/>
    </i>
    <i r="2">
      <x v="300"/>
    </i>
    <i r="1">
      <x v="9"/>
    </i>
    <i r="2">
      <x v="500"/>
    </i>
    <i r="2">
      <x v="437"/>
    </i>
    <i r="2">
      <x v="228"/>
    </i>
    <i r="2">
      <x v="425"/>
    </i>
    <i r="2">
      <x v="5"/>
    </i>
    <i r="2">
      <x v="74"/>
    </i>
    <i r="2">
      <x v="125"/>
    </i>
    <i r="1">
      <x v="14"/>
    </i>
    <i r="2">
      <x v="409"/>
    </i>
    <i r="2">
      <x v="362"/>
    </i>
    <i r="2">
      <x v="152"/>
    </i>
    <i r="2">
      <x v="567"/>
    </i>
    <i r="2">
      <x v="118"/>
    </i>
    <i r="2">
      <x v="573"/>
    </i>
    <i r="1">
      <x v="7"/>
    </i>
    <i r="2">
      <x v="317"/>
    </i>
    <i r="2">
      <x v="490"/>
    </i>
    <i r="2">
      <x v="99"/>
    </i>
    <i r="2">
      <x v="308"/>
    </i>
    <i r="2">
      <x v="553"/>
    </i>
    <i r="1">
      <x v="6"/>
    </i>
    <i r="2">
      <x v="427"/>
    </i>
    <i r="2">
      <x v="482"/>
    </i>
    <i r="2">
      <x v="476"/>
    </i>
    <i r="1">
      <x v="2"/>
    </i>
    <i r="2">
      <x v="81"/>
    </i>
    <i r="2">
      <x v="604"/>
    </i>
    <i r="2">
      <x v="253"/>
    </i>
    <i r="2">
      <x v="165"/>
    </i>
    <i r="2">
      <x v="523"/>
    </i>
    <i r="1">
      <x/>
    </i>
    <i r="2">
      <x v="618"/>
    </i>
    <i r="2">
      <x v="34"/>
    </i>
    <i r="2">
      <x v="59"/>
    </i>
    <i r="2">
      <x v="510"/>
    </i>
    <i r="2">
      <x v="235"/>
    </i>
    <i r="2">
      <x v="494"/>
    </i>
    <i r="1">
      <x v="15"/>
    </i>
    <i r="2">
      <x v="475"/>
    </i>
    <i r="1">
      <x v="13"/>
    </i>
    <i r="2">
      <x v="207"/>
    </i>
    <i r="2">
      <x v="577"/>
    </i>
    <i r="2">
      <x v="613"/>
    </i>
    <i r="1">
      <x v="4"/>
    </i>
    <i r="2">
      <x v="509"/>
    </i>
    <i r="2">
      <x v="66"/>
    </i>
    <i r="2">
      <x v="190"/>
    </i>
    <i r="1">
      <x v="10"/>
    </i>
    <i r="2">
      <x v="312"/>
    </i>
    <i r="2">
      <x v="49"/>
    </i>
    <i r="2">
      <x v="72"/>
    </i>
    <i r="1">
      <x v="3"/>
    </i>
    <i r="2">
      <x v="382"/>
    </i>
    <i r="2">
      <x v="546"/>
    </i>
    <i r="1">
      <x v="1"/>
    </i>
    <i r="2">
      <x v="513"/>
    </i>
    <i r="2">
      <x v="439"/>
    </i>
    <i r="1">
      <x v="8"/>
    </i>
    <i r="2">
      <x v="17"/>
    </i>
    <i r="2">
      <x v="137"/>
    </i>
    <i r="2">
      <x v="499"/>
    </i>
    <i r="2">
      <x v="343"/>
    </i>
    <i>
      <x v="7"/>
    </i>
    <i r="1">
      <x v="9"/>
    </i>
    <i r="2">
      <x v="433"/>
    </i>
    <i r="2">
      <x v="108"/>
    </i>
    <i r="2">
      <x v="404"/>
    </i>
    <i r="2">
      <x v="430"/>
    </i>
    <i r="2">
      <x v="528"/>
    </i>
    <i r="2">
      <x v="408"/>
    </i>
    <i r="1">
      <x v="1"/>
    </i>
    <i r="2">
      <x v="568"/>
    </i>
    <i r="2">
      <x v="131"/>
    </i>
    <i r="2">
      <x v="55"/>
    </i>
    <i r="2">
      <x v="50"/>
    </i>
    <i r="2">
      <x v="206"/>
    </i>
    <i r="2">
      <x v="575"/>
    </i>
    <i r="1">
      <x v="7"/>
    </i>
    <i r="2">
      <x v="465"/>
    </i>
    <i r="2">
      <x v="374"/>
    </i>
    <i r="2">
      <x v="544"/>
    </i>
    <i r="1">
      <x v="15"/>
    </i>
    <i r="2">
      <x v="559"/>
    </i>
    <i r="2">
      <x v="173"/>
    </i>
    <i r="1">
      <x/>
    </i>
    <i r="2">
      <x v="13"/>
    </i>
    <i r="2">
      <x v="48"/>
    </i>
    <i r="2">
      <x v="419"/>
    </i>
    <i r="1">
      <x v="6"/>
    </i>
    <i r="2">
      <x v="602"/>
    </i>
    <i r="2">
      <x v="346"/>
    </i>
    <i r="2">
      <x v="83"/>
    </i>
    <i r="2">
      <x v="360"/>
    </i>
    <i r="1">
      <x v="12"/>
    </i>
    <i r="2">
      <x v="40"/>
    </i>
    <i r="2">
      <x v="592"/>
    </i>
    <i r="2">
      <x v="550"/>
    </i>
    <i r="2">
      <x v="204"/>
    </i>
    <i r="2">
      <x v="243"/>
    </i>
    <i r="2">
      <x v="538"/>
    </i>
    <i r="1">
      <x v="8"/>
    </i>
    <i r="2">
      <x v="275"/>
    </i>
    <i r="2">
      <x v="89"/>
    </i>
    <i r="2">
      <x v="593"/>
    </i>
    <i r="2">
      <x v="625"/>
    </i>
    <i r="2">
      <x v="140"/>
    </i>
    <i r="1">
      <x v="3"/>
    </i>
    <i r="2">
      <x v="46"/>
    </i>
    <i r="2">
      <x v="319"/>
    </i>
    <i r="2">
      <x v="520"/>
    </i>
    <i r="1">
      <x v="2"/>
    </i>
    <i r="2">
      <x v="175"/>
    </i>
    <i r="2">
      <x v="64"/>
    </i>
    <i r="2">
      <x v="471"/>
    </i>
    <i r="1">
      <x v="5"/>
    </i>
    <i r="2">
      <x v="117"/>
    </i>
    <i r="2">
      <x v="92"/>
    </i>
    <i r="2">
      <x v="431"/>
    </i>
    <i r="2">
      <x v="29"/>
    </i>
    <i r="2">
      <x v="445"/>
    </i>
    <i r="2">
      <x v="303"/>
    </i>
    <i r="1">
      <x v="13"/>
    </i>
    <i r="2">
      <x v="84"/>
    </i>
    <i r="2">
      <x v="100"/>
    </i>
    <i r="1">
      <x v="4"/>
    </i>
    <i r="2">
      <x v="1"/>
    </i>
    <i r="1">
      <x v="14"/>
    </i>
    <i r="2">
      <x v="557"/>
    </i>
    <i r="1">
      <x v="10"/>
    </i>
    <i r="2">
      <x v="470"/>
    </i>
    <i r="1">
      <x v="11"/>
    </i>
    <i r="2">
      <x v="63"/>
    </i>
    <i>
      <x v="5"/>
    </i>
    <i r="1">
      <x v="1"/>
    </i>
    <i r="2">
      <x v="339"/>
    </i>
    <i r="2">
      <x v="628"/>
    </i>
    <i r="2">
      <x v="304"/>
    </i>
    <i r="2">
      <x v="61"/>
    </i>
    <i r="1">
      <x v="12"/>
    </i>
    <i r="2">
      <x v="86"/>
    </i>
    <i r="2">
      <x v="581"/>
    </i>
    <i r="2">
      <x v="116"/>
    </i>
    <i r="2">
      <x v="21"/>
    </i>
    <i r="2">
      <x v="232"/>
    </i>
    <i r="1">
      <x v="5"/>
    </i>
    <i r="2">
      <x v="608"/>
    </i>
    <i r="2">
      <x v="365"/>
    </i>
    <i r="2">
      <x v="210"/>
    </i>
    <i r="2">
      <x v="530"/>
    </i>
    <i r="2">
      <x v="359"/>
    </i>
    <i r="2">
      <x v="453"/>
    </i>
    <i r="2">
      <x v="599"/>
    </i>
    <i r="2">
      <x v="3"/>
    </i>
    <i r="1">
      <x/>
    </i>
    <i r="2">
      <x v="630"/>
    </i>
    <i r="2">
      <x v="242"/>
    </i>
    <i r="2">
      <x v="134"/>
    </i>
    <i r="2">
      <x v="596"/>
    </i>
    <i r="2">
      <x v="71"/>
    </i>
    <i r="2">
      <x v="586"/>
    </i>
    <i r="1">
      <x v="10"/>
    </i>
    <i r="2">
      <x v="203"/>
    </i>
    <i r="2">
      <x v="209"/>
    </i>
    <i r="2">
      <x v="301"/>
    </i>
    <i r="2">
      <x v="463"/>
    </i>
    <i r="2">
      <x v="9"/>
    </i>
    <i r="2">
      <x v="456"/>
    </i>
    <i r="2">
      <x v="149"/>
    </i>
    <i r="1">
      <x v="9"/>
    </i>
    <i r="2">
      <x v="582"/>
    </i>
    <i r="2">
      <x v="565"/>
    </i>
    <i r="2">
      <x v="202"/>
    </i>
    <i r="2">
      <x v="18"/>
    </i>
    <i r="2">
      <x v="36"/>
    </i>
    <i r="2">
      <x v="193"/>
    </i>
    <i r="1">
      <x v="4"/>
    </i>
    <i r="2">
      <x v="410"/>
    </i>
    <i r="2">
      <x v="135"/>
    </i>
    <i r="2">
      <x v="189"/>
    </i>
    <i r="2">
      <x v="328"/>
    </i>
    <i r="2">
      <x v="123"/>
    </i>
    <i r="1">
      <x v="11"/>
    </i>
    <i r="2">
      <x v="417"/>
    </i>
    <i r="2">
      <x v="110"/>
    </i>
    <i r="2">
      <x v="590"/>
    </i>
    <i r="2">
      <x v="334"/>
    </i>
    <i r="2">
      <x v="69"/>
    </i>
    <i r="1">
      <x v="2"/>
    </i>
    <i r="2">
      <x v="379"/>
    </i>
    <i r="2">
      <x v="479"/>
    </i>
    <i r="2">
      <x v="287"/>
    </i>
    <i r="2">
      <x v="205"/>
    </i>
    <i r="1">
      <x v="14"/>
    </i>
    <i r="2">
      <x v="574"/>
    </i>
    <i r="2">
      <x v="96"/>
    </i>
    <i r="2">
      <x v="354"/>
    </i>
    <i r="1">
      <x v="3"/>
    </i>
    <i r="2">
      <x v="216"/>
    </i>
    <i r="2">
      <x v="297"/>
    </i>
    <i r="1">
      <x v="6"/>
    </i>
    <i r="2">
      <x v="16"/>
    </i>
    <i r="2">
      <x v="607"/>
    </i>
    <i r="2">
      <x v="367"/>
    </i>
    <i r="1">
      <x v="7"/>
    </i>
    <i r="2">
      <x v="325"/>
    </i>
    <i r="2">
      <x v="342"/>
    </i>
    <i r="2">
      <x v="489"/>
    </i>
    <i r="2">
      <x v="348"/>
    </i>
    <i r="2">
      <x v="524"/>
    </i>
    <i r="2">
      <x v="508"/>
    </i>
    <i r="2">
      <x v="145"/>
    </i>
    <i r="1">
      <x v="8"/>
    </i>
    <i r="2">
      <x v="305"/>
    </i>
    <i r="1">
      <x v="13"/>
    </i>
    <i r="2">
      <x v="279"/>
    </i>
    <i t="grand">
      <x/>
    </i>
  </rowItems>
  <colFields count="1">
    <field x="-2"/>
  </colFields>
  <colItems count="2">
    <i>
      <x/>
    </i>
    <i i="1">
      <x v="1"/>
    </i>
  </colItems>
  <dataFields count="2">
    <dataField name="Sum of GrossRevenue" fld="23" baseField="0" baseItem="0"/>
    <dataField name="Sum of GrossProfit" fld="25"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D78FD0-07BE-4A08-866C-2E8345A490BD}" name="PivotTable10"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21" firstHeaderRow="1" firstDataRow="2" firstDataCol="1"/>
  <pivotFields count="41">
    <pivotField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9" showAll="0"/>
    <pivotField showAll="0"/>
    <pivotField numFmtId="1" showAll="0"/>
    <pivotField dataField="1" numFmtId="43" showAll="0"/>
    <pivotField numFmtId="43" showAll="0"/>
    <pivotField numFmtId="43" showAll="0"/>
    <pivotField numFmtId="9"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showAll="0" defaultSubtotal="0">
      <items count="14">
        <item sd="0" x="0"/>
        <item x="1"/>
        <item x="2"/>
        <item x="3"/>
        <item x="4"/>
        <item x="5"/>
        <item x="6"/>
        <item x="7"/>
        <item x="8"/>
        <item x="9"/>
        <item x="10"/>
        <item x="11"/>
        <item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7"/>
    <field x="40"/>
  </rowFields>
  <rowItems count="17">
    <i>
      <x/>
    </i>
    <i r="1">
      <x v="1"/>
    </i>
    <i r="1">
      <x v="2"/>
    </i>
    <i r="1">
      <x v="3"/>
    </i>
    <i>
      <x v="1"/>
    </i>
    <i r="1">
      <x v="1"/>
    </i>
    <i r="1">
      <x v="2"/>
    </i>
    <i r="1">
      <x v="3"/>
    </i>
    <i>
      <x v="2"/>
    </i>
    <i r="1">
      <x v="1"/>
    </i>
    <i r="1">
      <x v="2"/>
    </i>
    <i r="1">
      <x v="3"/>
    </i>
    <i>
      <x v="3"/>
    </i>
    <i r="1">
      <x v="1"/>
    </i>
    <i r="1">
      <x v="2"/>
    </i>
    <i r="1">
      <x v="3"/>
    </i>
    <i t="grand">
      <x/>
    </i>
  </rowItems>
  <colFields count="1">
    <field x="11"/>
  </colFields>
  <colItems count="7">
    <i>
      <x/>
    </i>
    <i>
      <x v="1"/>
    </i>
    <i>
      <x v="2"/>
    </i>
    <i>
      <x v="3"/>
    </i>
    <i>
      <x v="4"/>
    </i>
    <i>
      <x v="5"/>
    </i>
    <i t="grand">
      <x/>
    </i>
  </colItems>
  <dataFields count="1">
    <dataField name="Sum of GrossRevenue" fld="23" showDataAs="percentOfRow" baseField="0" baseItem="0" numFmtId="10"/>
  </dataFields>
  <formats count="14">
    <format dxfId="1005">
      <pivotArea grandRow="1" outline="0" collapsedLevelsAreSubtotals="1" fieldPosition="0"/>
    </format>
    <format dxfId="1006">
      <pivotArea collapsedLevelsAreSubtotals="1" fieldPosition="0">
        <references count="1">
          <reference field="7" count="0"/>
        </references>
      </pivotArea>
    </format>
    <format dxfId="1007">
      <pivotArea outline="0" fieldPosition="0">
        <references count="1">
          <reference field="4294967294" count="1">
            <x v="0"/>
          </reference>
        </references>
      </pivotArea>
    </format>
    <format dxfId="1008">
      <pivotArea collapsedLevelsAreSubtotals="1" fieldPosition="0">
        <references count="3">
          <reference field="7" count="0"/>
          <reference field="11" count="1" selected="0">
            <x v="4"/>
          </reference>
          <reference field="40" count="1" selected="0">
            <x v="1"/>
          </reference>
        </references>
      </pivotArea>
    </format>
    <format dxfId="1009">
      <pivotArea collapsedLevelsAreSubtotals="1" fieldPosition="0">
        <references count="2">
          <reference field="11" count="1" selected="0">
            <x v="4"/>
          </reference>
          <reference field="40" count="1">
            <x v="2"/>
          </reference>
        </references>
      </pivotArea>
    </format>
    <format dxfId="1010">
      <pivotArea collapsedLevelsAreSubtotals="1" fieldPosition="0">
        <references count="3">
          <reference field="7" count="0"/>
          <reference field="11" count="1" selected="0">
            <x v="4"/>
          </reference>
          <reference field="40" count="1" selected="0">
            <x v="2"/>
          </reference>
        </references>
      </pivotArea>
    </format>
    <format dxfId="1011">
      <pivotArea collapsedLevelsAreSubtotals="1" fieldPosition="0">
        <references count="2">
          <reference field="11" count="1" selected="0">
            <x v="4"/>
          </reference>
          <reference field="40" count="1">
            <x v="3"/>
          </reference>
        </references>
      </pivotArea>
    </format>
    <format dxfId="1012">
      <pivotArea collapsedLevelsAreSubtotals="1" fieldPosition="0">
        <references count="3">
          <reference field="7" count="0"/>
          <reference field="11" count="1" selected="0">
            <x v="4"/>
          </reference>
          <reference field="40" count="1" selected="0">
            <x v="3"/>
          </reference>
        </references>
      </pivotArea>
    </format>
    <format dxfId="1013">
      <pivotArea collapsedLevelsAreSubtotals="1" fieldPosition="0">
        <references count="3">
          <reference field="7" count="0"/>
          <reference field="11" count="1" selected="0">
            <x v="3"/>
          </reference>
          <reference field="40" count="1" selected="0">
            <x v="1"/>
          </reference>
        </references>
      </pivotArea>
    </format>
    <format dxfId="1014">
      <pivotArea collapsedLevelsAreSubtotals="1" fieldPosition="0">
        <references count="2">
          <reference field="11" count="1" selected="0">
            <x v="3"/>
          </reference>
          <reference field="40" count="1">
            <x v="2"/>
          </reference>
        </references>
      </pivotArea>
    </format>
    <format dxfId="1015">
      <pivotArea collapsedLevelsAreSubtotals="1" fieldPosition="0">
        <references count="3">
          <reference field="7" count="0"/>
          <reference field="11" count="1" selected="0">
            <x v="3"/>
          </reference>
          <reference field="40" count="1" selected="0">
            <x v="2"/>
          </reference>
        </references>
      </pivotArea>
    </format>
    <format dxfId="1016">
      <pivotArea collapsedLevelsAreSubtotals="1" fieldPosition="0">
        <references count="2">
          <reference field="11" count="1" selected="0">
            <x v="3"/>
          </reference>
          <reference field="40" count="1">
            <x v="3"/>
          </reference>
        </references>
      </pivotArea>
    </format>
    <format dxfId="1017">
      <pivotArea collapsedLevelsAreSubtotals="1" fieldPosition="0">
        <references count="3">
          <reference field="7" count="3">
            <x v="0"/>
            <x v="2"/>
            <x v="3"/>
          </reference>
          <reference field="11" count="1" selected="0">
            <x v="3"/>
          </reference>
          <reference field="40" count="1" selected="0">
            <x v="3"/>
          </reference>
        </references>
      </pivotArea>
    </format>
    <format dxfId="1018">
      <pivotArea collapsedLevelsAreSubtotals="1" fieldPosition="0">
        <references count="3">
          <reference field="7" count="1">
            <x v="1"/>
          </reference>
          <reference field="11" count="1" selected="0">
            <x v="3"/>
          </reference>
          <reference field="40" count="1" selected="0">
            <x v="3"/>
          </reference>
        </references>
      </pivotArea>
    </format>
  </formats>
  <conditionalFormats count="2">
    <conditionalFormat priority="1">
      <pivotAreas count="1">
        <pivotArea type="data" collapsedLevelsAreSubtotals="1" fieldPosition="0">
          <references count="4">
            <reference field="4294967294" count="1" selected="0">
              <x v="0"/>
            </reference>
            <reference field="7" count="1" selected="0">
              <x v="2"/>
            </reference>
            <reference field="11" count="1" selected="0">
              <x v="3"/>
            </reference>
            <reference field="40" count="1">
              <x v="1"/>
            </reference>
          </references>
        </pivotArea>
      </pivotAreas>
    </conditionalFormat>
    <conditionalFormat priority="2">
      <pivotAreas count="1">
        <pivotArea type="data" collapsedLevelsAreSubtotals="1" fieldPosition="0">
          <references count="4">
            <reference field="4294967294" count="1" selected="0">
              <x v="0"/>
            </reference>
            <reference field="7" count="1" selected="0">
              <x v="2"/>
            </reference>
            <reference field="11" count="1" selected="0">
              <x v="3"/>
            </reference>
            <reference field="40" count="1">
              <x v="1"/>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A10648-DA97-4529-AEED-D4D603C99C56}" name="PivotTable13"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1" firstHeaderRow="1" firstDataRow="2" firstDataCol="1"/>
  <pivotFields count="41">
    <pivotField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axis="axisCol" dataField="1" showAll="0">
      <items count="3">
        <item x="0"/>
        <item x="1"/>
        <item t="default"/>
      </items>
    </pivotField>
    <pivotField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axis="axisRow"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9" showAll="0"/>
    <pivotField showAll="0"/>
    <pivotField numFmtId="1" showAll="0"/>
    <pivotField numFmtId="43" showAll="0"/>
    <pivotField numFmtId="43" showAll="0"/>
    <pivotField numFmtId="43" showAll="0"/>
    <pivotField numFmtId="9"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8"/>
    <field x="13"/>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6"/>
  </colFields>
  <colItems count="3">
    <i>
      <x/>
    </i>
    <i>
      <x v="1"/>
    </i>
    <i t="grand">
      <x/>
    </i>
  </colItems>
  <dataFields count="1">
    <dataField name="Count of Met7DayTarget" fld="6" subtotal="count" showDataAs="percentOfRow" baseField="0" baseItem="0" numFmtId="1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DB82CB-986A-4F2D-A100-5E943B691711}" name="PivotTable14" cacheId="24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B54" firstHeaderRow="1" firstDataRow="2" firstDataCol="1"/>
  <pivotFields count="41">
    <pivotField dataField="1"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axis="axisRow"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9" showAll="0"/>
    <pivotField axis="axisCol" showAll="0">
      <items count="3">
        <item x="1"/>
        <item h="1" x="0"/>
        <item t="default"/>
      </items>
    </pivotField>
    <pivotField numFmtId="1" showAll="0"/>
    <pivotField showAll="0"/>
    <pivotField numFmtId="43" showAll="0"/>
    <pivotField showAll="0"/>
    <pivotField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7"/>
    <field x="12"/>
  </rowFields>
  <rowItems count="50">
    <i>
      <x/>
    </i>
    <i r="1">
      <x/>
    </i>
    <i r="1">
      <x v="2"/>
    </i>
    <i r="1">
      <x v="3"/>
    </i>
    <i r="1">
      <x v="4"/>
    </i>
    <i r="1">
      <x v="8"/>
    </i>
    <i r="1">
      <x v="9"/>
    </i>
    <i r="1">
      <x v="11"/>
    </i>
    <i r="1">
      <x v="12"/>
    </i>
    <i r="1">
      <x v="15"/>
    </i>
    <i>
      <x v="1"/>
    </i>
    <i r="1">
      <x/>
    </i>
    <i r="1">
      <x v="1"/>
    </i>
    <i r="1">
      <x v="2"/>
    </i>
    <i r="1">
      <x v="3"/>
    </i>
    <i r="1">
      <x v="5"/>
    </i>
    <i r="1">
      <x v="6"/>
    </i>
    <i r="1">
      <x v="8"/>
    </i>
    <i r="1">
      <x v="10"/>
    </i>
    <i r="1">
      <x v="11"/>
    </i>
    <i r="1">
      <x v="12"/>
    </i>
    <i r="1">
      <x v="13"/>
    </i>
    <i r="1">
      <x v="15"/>
    </i>
    <i>
      <x v="2"/>
    </i>
    <i r="1">
      <x v="1"/>
    </i>
    <i r="1">
      <x v="2"/>
    </i>
    <i r="1">
      <x v="3"/>
    </i>
    <i r="1">
      <x v="5"/>
    </i>
    <i r="1">
      <x v="6"/>
    </i>
    <i r="1">
      <x v="7"/>
    </i>
    <i r="1">
      <x v="8"/>
    </i>
    <i r="1">
      <x v="9"/>
    </i>
    <i r="1">
      <x v="10"/>
    </i>
    <i r="1">
      <x v="11"/>
    </i>
    <i r="1">
      <x v="13"/>
    </i>
    <i r="1">
      <x v="14"/>
    </i>
    <i>
      <x v="3"/>
    </i>
    <i r="1">
      <x/>
    </i>
    <i r="1">
      <x v="1"/>
    </i>
    <i r="1">
      <x v="2"/>
    </i>
    <i r="1">
      <x v="3"/>
    </i>
    <i r="1">
      <x v="4"/>
    </i>
    <i r="1">
      <x v="6"/>
    </i>
    <i r="1">
      <x v="7"/>
    </i>
    <i r="1">
      <x v="8"/>
    </i>
    <i r="1">
      <x v="9"/>
    </i>
    <i r="1">
      <x v="10"/>
    </i>
    <i r="1">
      <x v="12"/>
    </i>
    <i r="1">
      <x v="13"/>
    </i>
    <i t="grand">
      <x/>
    </i>
  </rowItems>
  <colFields count="1">
    <field x="21"/>
  </colFields>
  <colItems count="1">
    <i>
      <x/>
    </i>
  </colItems>
  <dataFields count="1">
    <dataField name="Count of OrderID" fld="0" subtotal="count"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D57FA5-1A22-4526-B3BC-E72C1337CD7E}" name="PivotTable15"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G12" firstHeaderRow="0" firstDataRow="1" firstDataCol="1"/>
  <pivotFields count="41">
    <pivotField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2" showAll="0"/>
    <pivotField showAll="0"/>
    <pivotField numFmtId="1" showAll="0"/>
    <pivotField dataField="1" numFmtId="43" showAll="0"/>
    <pivotField numFmtId="43" showAll="0"/>
    <pivotField dataField="1" numFmtId="43" showAll="0"/>
    <pivotField numFmtId="2" showAll="0"/>
    <pivotField numFmtId="2" showAll="0"/>
    <pivotField numFmtId="43" showAll="0"/>
    <pivotField numFmtId="43" showAll="0"/>
    <pivotField numFmtId="1" showAll="0"/>
    <pivotField dataField="1" numFmtId="43" showAll="0"/>
    <pivotField numFmtId="43" showAll="0"/>
    <pivotField dataField="1" numFmtId="43" showAll="0"/>
    <pivotField numFmtId="4" showAll="0"/>
    <pivotField dataField="1" numFmtId="43" showAll="0"/>
    <pivotField dataField="1" numFmtId="43"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Fields count="1">
    <field x="-2"/>
  </colFields>
  <colItems count="6">
    <i>
      <x/>
    </i>
    <i i="1">
      <x v="1"/>
    </i>
    <i i="2">
      <x v="2"/>
    </i>
    <i i="3">
      <x v="3"/>
    </i>
    <i i="4">
      <x v="4"/>
    </i>
    <i i="5">
      <x v="5"/>
    </i>
  </colItems>
  <dataFields count="6">
    <dataField name="Sum of GrossRevenue" fld="23" baseField="0" baseItem="0"/>
    <dataField name="Sum of Adjusted GrossRevenue" fld="31" baseField="0" baseItem="0"/>
    <dataField name="Sum of GrossRevenue Diff" fld="35" baseField="0" baseItem="0"/>
    <dataField name="Sum of GrossProfit" fld="25" baseField="0" baseItem="0"/>
    <dataField name="Sum of Adjusted Gross Profit" fld="33" baseField="0" baseItem="0"/>
    <dataField name="Sum of GrossProfit Diff" fld="36"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48E708-B32B-4C5E-8D64-B42D8F09A9FA}" name="PivotTable16"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41">
    <pivotField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2" showAll="0"/>
    <pivotField showAll="0"/>
    <pivotField numFmtId="1" showAll="0"/>
    <pivotField dataField="1" numFmtId="43" showAll="0"/>
    <pivotField numFmtId="43" showAll="0"/>
    <pivotField numFmtId="43" showAll="0"/>
    <pivotField numFmtId="2"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8"/>
  </rowFields>
  <rowItems count="13">
    <i>
      <x v="1"/>
    </i>
    <i>
      <x v="2"/>
    </i>
    <i>
      <x v="3"/>
    </i>
    <i>
      <x v="4"/>
    </i>
    <i>
      <x v="5"/>
    </i>
    <i>
      <x v="6"/>
    </i>
    <i>
      <x v="7"/>
    </i>
    <i>
      <x v="8"/>
    </i>
    <i>
      <x v="9"/>
    </i>
    <i>
      <x v="10"/>
    </i>
    <i>
      <x v="11"/>
    </i>
    <i>
      <x v="12"/>
    </i>
    <i t="grand">
      <x/>
    </i>
  </rowItems>
  <colItems count="1">
    <i/>
  </colItems>
  <dataFields count="1">
    <dataField name="Sum of GrossRevenue" fld="23" baseField="0" baseItem="0" numFmtId="43"/>
  </dataFields>
  <formats count="1">
    <format dxfId="10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126BEB-3532-4C51-80A8-EBD2CB09FB61}" name="PivotTable17"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11" firstHeaderRow="1" firstDataRow="2" firstDataCol="1"/>
  <pivotFields count="41">
    <pivotField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axis="axisCol"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Row"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showAll="0"/>
    <pivotField numFmtId="43" showAll="0"/>
    <pivotField numFmtId="43" showAll="0"/>
    <pivotField numFmtId="43" showAll="0"/>
    <pivotField numFmtId="2" showAll="0"/>
    <pivotField numFmtId="2" showAll="0"/>
    <pivotField showAll="0"/>
    <pivotField numFmtId="1" showAll="0"/>
    <pivotField numFmtId="43" showAll="0"/>
    <pivotField numFmtId="43" showAll="0"/>
    <pivotField dataField="1" numFmtId="43" showAll="0"/>
    <pivotField numFmtId="2"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Fields count="1">
    <field x="7"/>
  </colFields>
  <colItems count="5">
    <i>
      <x/>
    </i>
    <i>
      <x v="1"/>
    </i>
    <i>
      <x v="2"/>
    </i>
    <i>
      <x v="3"/>
    </i>
    <i t="grand">
      <x/>
    </i>
  </colItems>
  <dataFields count="1">
    <dataField name="Sum of GrossProfit" fld="25" baseField="0" baseItem="0"/>
  </dataFields>
  <formats count="1">
    <format dxfId="1020">
      <pivotArea collapsedLevelsAreSubtotals="1" fieldPosition="0">
        <references count="1">
          <reference field="11" count="0"/>
        </references>
      </pivotArea>
    </format>
  </format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7" format="8" series="1">
      <pivotArea type="data" outline="0" fieldPosition="0">
        <references count="2">
          <reference field="4294967294" count="1" selected="0">
            <x v="0"/>
          </reference>
          <reference field="7" count="1" selected="0">
            <x v="0"/>
          </reference>
        </references>
      </pivotArea>
    </chartFormat>
    <chartFormat chart="7" format="9" series="1">
      <pivotArea type="data" outline="0" fieldPosition="0">
        <references count="2">
          <reference field="4294967294" count="1" selected="0">
            <x v="0"/>
          </reference>
          <reference field="7" count="1" selected="0">
            <x v="1"/>
          </reference>
        </references>
      </pivotArea>
    </chartFormat>
    <chartFormat chart="7" format="10" series="1">
      <pivotArea type="data" outline="0" fieldPosition="0">
        <references count="2">
          <reference field="4294967294" count="1" selected="0">
            <x v="0"/>
          </reference>
          <reference field="7" count="1" selected="0">
            <x v="2"/>
          </reference>
        </references>
      </pivotArea>
    </chartFormat>
    <chartFormat chart="7" format="11" series="1">
      <pivotArea type="data" outline="0" fieldPosition="0">
        <references count="2">
          <reference field="4294967294" count="1" selected="0">
            <x v="0"/>
          </reference>
          <reference field="7"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A61C7A-97AA-48EE-A06A-B5F1E7F593CA}" name="PivotTable18"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41">
    <pivotField showAll="0"/>
    <pivotField numFmtId="17"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numFmtId="14" showAll="0"/>
    <pivotField showAll="0"/>
    <pivotField numFmtId="14" showAll="0"/>
    <pivotField numFmtId="1"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axis="axisRow" showAll="0" measureFilter="1" sortType="descending">
      <items count="630">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t="default"/>
      </items>
      <autoSortScope>
        <pivotArea dataOnly="0" outline="0" fieldPosition="0">
          <references count="1">
            <reference field="4294967294" count="1" selected="0">
              <x v="0"/>
            </reference>
          </references>
        </pivotArea>
      </autoSortScope>
    </pivotField>
    <pivotField numFmtId="43" showAll="0"/>
    <pivotField numFmtId="43" showAll="0"/>
    <pivotField numFmtId="43" showAll="0"/>
    <pivotField numFmtId="2" showAll="0"/>
    <pivotField numFmtId="2" showAll="0"/>
    <pivotField showAll="0"/>
    <pivotField numFmtId="1" showAll="0"/>
    <pivotField dataField="1" numFmtId="43" showAll="0"/>
    <pivotField numFmtId="43" showAll="0"/>
    <pivotField numFmtId="43" showAll="0"/>
    <pivotField numFmtId="2" showAll="0"/>
    <pivotField numFmtId="2" showAll="0"/>
    <pivotField numFmtId="43" showAll="0"/>
    <pivotField numFmtId="43" showAll="0"/>
    <pivotField numFmtId="1" showAll="0"/>
    <pivotField numFmtId="43" showAll="0"/>
    <pivotField numFmtId="43" showAll="0"/>
    <pivotField numFmtId="43" showAll="0"/>
    <pivotField numFmtId="4" showAll="0"/>
    <pivotField numFmtId="43" showAll="0"/>
    <pivotField numFmtId="43"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5"/>
  </rowFields>
  <rowItems count="11">
    <i>
      <x v="170"/>
    </i>
    <i>
      <x v="367"/>
    </i>
    <i>
      <x v="247"/>
    </i>
    <i>
      <x v="322"/>
    </i>
    <i>
      <x v="269"/>
    </i>
    <i>
      <x v="318"/>
    </i>
    <i>
      <x v="116"/>
    </i>
    <i>
      <x v="206"/>
    </i>
    <i>
      <x v="404"/>
    </i>
    <i>
      <x v="402"/>
    </i>
    <i t="grand">
      <x/>
    </i>
  </rowItems>
  <colItems count="1">
    <i/>
  </colItems>
  <dataFields count="1">
    <dataField name="Sum of GrossRevenue" fld="23" baseField="0" baseItem="0" numFmtId="43"/>
  </dataFields>
  <formats count="1">
    <format dxfId="10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F8C193-41EA-4E96-A064-C23759C128DD}" sourceName="Region">
  <pivotTables>
    <pivotTable tabId="6" name="PivotTable4"/>
    <pivotTable tabId="17" name="PivotTable10"/>
    <pivotTable tabId="5" name="PivotTable3"/>
    <pivotTable tabId="21" name="PivotTable14"/>
    <pivotTable tabId="25" name="PivotTable17"/>
    <pivotTable tabId="4" name="PivotTable2"/>
    <pivotTable tabId="24" name="PivotTable16"/>
    <pivotTable tabId="15" name="PivotTable5"/>
    <pivotTable tabId="15" name="PivotTable9"/>
    <pivotTable tabId="19" name="PivotTable13"/>
    <pivotTable tabId="27" name="PivotTable18"/>
    <pivotTable tabId="22" name="PivotTable15"/>
  </pivotTables>
  <data>
    <tabular pivotCacheId="1604271872">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6D45D73-82D6-4F1B-8CCC-EF3B9A345531}" sourceName="Country">
  <pivotTables>
    <pivotTable tabId="6" name="PivotTable4"/>
    <pivotTable tabId="17" name="PivotTable10"/>
    <pivotTable tabId="5" name="PivotTable3"/>
    <pivotTable tabId="21" name="PivotTable14"/>
    <pivotTable tabId="25" name="PivotTable17"/>
    <pivotTable tabId="4" name="PivotTable2"/>
    <pivotTable tabId="24" name="PivotTable16"/>
    <pivotTable tabId="15" name="PivotTable5"/>
    <pivotTable tabId="15" name="PivotTable9"/>
    <pivotTable tabId="19" name="PivotTable13"/>
    <pivotTable tabId="27" name="PivotTable18"/>
    <pivotTable tabId="22" name="PivotTable15"/>
  </pivotTables>
  <data>
    <tabular pivotCacheId="1604271872">
      <items count="12">
        <i x="5" s="1"/>
        <i x="3" s="1"/>
        <i x="9" s="1"/>
        <i x="7" s="1"/>
        <i x="6" s="1"/>
        <i x="4" s="1"/>
        <i x="2" s="1"/>
        <i x="0" s="1"/>
        <i x="1" s="1"/>
        <i x="11" s="1"/>
        <i x="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9B564CC-7149-429D-B4F4-2E610403A10F}" sourceName="Channel">
  <pivotTables>
    <pivotTable tabId="6" name="PivotTable4"/>
    <pivotTable tabId="17" name="PivotTable10"/>
    <pivotTable tabId="5" name="PivotTable3"/>
    <pivotTable tabId="21" name="PivotTable14"/>
    <pivotTable tabId="25" name="PivotTable17"/>
    <pivotTable tabId="4" name="PivotTable2"/>
    <pivotTable tabId="24" name="PivotTable16"/>
    <pivotTable tabId="15" name="PivotTable5"/>
    <pivotTable tabId="15" name="PivotTable9"/>
    <pivotTable tabId="19" name="PivotTable13"/>
    <pivotTable tabId="27" name="PivotTable18"/>
    <pivotTable tabId="22" name="PivotTable15"/>
  </pivotTables>
  <data>
    <tabular pivotCacheId="1604271872">
      <items count="6">
        <i x="4" s="1"/>
        <i x="3" s="1"/>
        <i x="2" s="1"/>
        <i x="1"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DFB5B4B-4A23-408D-996E-55D1047F0F62}" sourceName="Salesperson">
  <pivotTables>
    <pivotTable tabId="6" name="PivotTable4"/>
    <pivotTable tabId="17" name="PivotTable10"/>
    <pivotTable tabId="5" name="PivotTable3"/>
    <pivotTable tabId="21" name="PivotTable14"/>
    <pivotTable tabId="25" name="PivotTable17"/>
    <pivotTable tabId="4" name="PivotTable2"/>
    <pivotTable tabId="24" name="PivotTable16"/>
    <pivotTable tabId="15" name="PivotTable5"/>
    <pivotTable tabId="15" name="PivotTable9"/>
    <pivotTable tabId="19" name="PivotTable13"/>
    <pivotTable tabId="27" name="PivotTable18"/>
    <pivotTable tabId="22" name="PivotTable15"/>
  </pivotTables>
  <data>
    <tabular pivotCacheId="1604271872">
      <items count="16">
        <i x="8" s="1"/>
        <i x="5" s="1"/>
        <i x="0" s="1"/>
        <i x="14" s="1"/>
        <i x="6" s="1"/>
        <i x="9" s="1"/>
        <i x="3" s="1"/>
        <i x="10" s="1"/>
        <i x="2" s="1"/>
        <i x="1" s="1"/>
        <i x="11" s="1"/>
        <i x="4" s="1"/>
        <i x="12" s="1"/>
        <i x="13" s="1"/>
        <i x="7"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CE46CBB8-8D5D-4A89-85AA-6880D5A8E537}" sourceName="ProductCategory">
  <pivotTables>
    <pivotTable tabId="6" name="PivotTable4"/>
    <pivotTable tabId="17" name="PivotTable10"/>
    <pivotTable tabId="5" name="PivotTable3"/>
    <pivotTable tabId="21" name="PivotTable14"/>
    <pivotTable tabId="25" name="PivotTable17"/>
    <pivotTable tabId="4" name="PivotTable2"/>
    <pivotTable tabId="24" name="PivotTable16"/>
    <pivotTable tabId="15" name="PivotTable5"/>
    <pivotTable tabId="15" name="PivotTable9"/>
    <pivotTable tabId="19" name="PivotTable13"/>
    <pivotTable tabId="27" name="PivotTable18"/>
    <pivotTable tabId="22" name="PivotTable15"/>
  </pivotTables>
  <data>
    <tabular pivotCacheId="1604271872">
      <items count="7">
        <i x="6" s="1"/>
        <i x="0" s="1"/>
        <i x="4" s="1"/>
        <i x="5"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925EEC77-5926-43EB-907B-D6033A24E6A4}" sourceName="Months (OrderDate)">
  <pivotTables>
    <pivotTable tabId="6" name="PivotTable4"/>
    <pivotTable tabId="17" name="PivotTable10"/>
    <pivotTable tabId="5" name="PivotTable3"/>
    <pivotTable tabId="21" name="PivotTable14"/>
    <pivotTable tabId="25" name="PivotTable17"/>
    <pivotTable tabId="4" name="PivotTable2"/>
    <pivotTable tabId="24" name="PivotTable16"/>
    <pivotTable tabId="15" name="PivotTable5"/>
    <pivotTable tabId="15" name="PivotTable9"/>
    <pivotTable tabId="19" name="PivotTable13"/>
    <pivotTable tabId="27" name="PivotTable18"/>
    <pivotTable tabId="22" name="PivotTable15"/>
  </pivotTables>
  <data>
    <tabular pivotCacheId="160427187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8E516F-7E03-4C3A-BA53-F622CF4ACBE7}" cache="Slicer_Region" caption="Region" style="SlicerStyleDark2" rowHeight="241300"/>
  <slicer name="Country" xr10:uid="{D2D23488-BE4D-4E61-9DC2-4E1B32C2D818}" cache="Slicer_Country" caption="Country" style="SlicerStyleDark2" rowHeight="241300"/>
  <slicer name="Channel" xr10:uid="{603842ED-3161-4AE2-8A65-8C0A7C46CA4A}" cache="Slicer_Channel" caption="Channel" style="SlicerStyleDark2" rowHeight="241300"/>
  <slicer name="Salesperson" xr10:uid="{7F22FBA9-0C53-440B-AFDE-9F43457C6F7E}" cache="Slicer_Salesperson" caption="Salesperson" style="SlicerStyleDark2" rowHeight="241300"/>
  <slicer name="ProductCategory" xr10:uid="{C5570549-E05C-442E-A420-7528C7C9CD89}" cache="Slicer_ProductCategory" caption="ProductCategory" style="SlicerStyleDark2" rowHeight="241300"/>
  <slicer name="Months (OrderDate)" xr10:uid="{1C089FAD-A4D3-4471-A3FD-E0DEE8530046}" cache="Slicer_Months__OrderDate" caption="Months (OrderDat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D0B6B7-6485-4822-B4BB-913151C50F4B}" cache="Slicer_Region" caption="Region" style="SlicerStyleDark2" rowHeight="241300"/>
  <slicer name="Country 1" xr10:uid="{059ED569-0B04-4D9A-BCB0-F32C84FCCC7D}" cache="Slicer_Country" caption="Country" style="SlicerStyleDark2" rowHeight="241300"/>
  <slicer name="Channel 1" xr10:uid="{73138009-F43D-44D2-9D4C-CF88F848F0BC}" cache="Slicer_Channel" caption="Channel" style="SlicerStyleDark2" rowHeight="241300"/>
  <slicer name="Salesperson 1" xr10:uid="{27472687-86D7-4A7B-AF72-FC875BB0D0D9}" cache="Slicer_Salesperson" caption="Salesperson" style="SlicerStyleDark2" rowHeight="241300"/>
  <slicer name="ProductCategory 1" xr10:uid="{8C2D0F4F-1637-4AEE-B7F6-1C243949D05C}" cache="Slicer_ProductCategory" caption="ProductCategory" style="SlicerStyleDark2" rowHeight="241300"/>
  <slicer name="Months (OrderDate) 1" xr10:uid="{14C7398D-7885-4EEC-A0DA-C4EAEF80123B}" cache="Slicer_Months__OrderDate" caption="Months (OrderDate)" startItem="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59D833-06DB-4A91-8342-45926624674F}" name="Table1" displayName="Table1" ref="A15:D18" totalsRowShown="0" headerRowDxfId="969">
  <autoFilter ref="A15:D18" xr:uid="{E759D833-06DB-4A91-8342-45926624674F}"/>
  <tableColumns count="4">
    <tableColumn id="1" xr3:uid="{49F9F9D1-9240-45D3-B894-39FE5B2A4953}" name="Column1" dataDxfId="970"/>
    <tableColumn id="2" xr3:uid="{17BCF2B7-5647-408D-8997-D4AB3D19C536}" name="Original(SUM)"/>
    <tableColumn id="3" xr3:uid="{1A639C24-BF9C-4A36-9CA0-53821591DAFD}" name="Adjusted(SUM)"/>
    <tableColumn id="4" xr3:uid="{890ECB8E-147D-442C-8B69-16AE4CB5B88F}" name="Difference(SUM)"/>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ivotTable" Target="../pivotTables/pivotTable9.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A3" sqref="A1:O633"/>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2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2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2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2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2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2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2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2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2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2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2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2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2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2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2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2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2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2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2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2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2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2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2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2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2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2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2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2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2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2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2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2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2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2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2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2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2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2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2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2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2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2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2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2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2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2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2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2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2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2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2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2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2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2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2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2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2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2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2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2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2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2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2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2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2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2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2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2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2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2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2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2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2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2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2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2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2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2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2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2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2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2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2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2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2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2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2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2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2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2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2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2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2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2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2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2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2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2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2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2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2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2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2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2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2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2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2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2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2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2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2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2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2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2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2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2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2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2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2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2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2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2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2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2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2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2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2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2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2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2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2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2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2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2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2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2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2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2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2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2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2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2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2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2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2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2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2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2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2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2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2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2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2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2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2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2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2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2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2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2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2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2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2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2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2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2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2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2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2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2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2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2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2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2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2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2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2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2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2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2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2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2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2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2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2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2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2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2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2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2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2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2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2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2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2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2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2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2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2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2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2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2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2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2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2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2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2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2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2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2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2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2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2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2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2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2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2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2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2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2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2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2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2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2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2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2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2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2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2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2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2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2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2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2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2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2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2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2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2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2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2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2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2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2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2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2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2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2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2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2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2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2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2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2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2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2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2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2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2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2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2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2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2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2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2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2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2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2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2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2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2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2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2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2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2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2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2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2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2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2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2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2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2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2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2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2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2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2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2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2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2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2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2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2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2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2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2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2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2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2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2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2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2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2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2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2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2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2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2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2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2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2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2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2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2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2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2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2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2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2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2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2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2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2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2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2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2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2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2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2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2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2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2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2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2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2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2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2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2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2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2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2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2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2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2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2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2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2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2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2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2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2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2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2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2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2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2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2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2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2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2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2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2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2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2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2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2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2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2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2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2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2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2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2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2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2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2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2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2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2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2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2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2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2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2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2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2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2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2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2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2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2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2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2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2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2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2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2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2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2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2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2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2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2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2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2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2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2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2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2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2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2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2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2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2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2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2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2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2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2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2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2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2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2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2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2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2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2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2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2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2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2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2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2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2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2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2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2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2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2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2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2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2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2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2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2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2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2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2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2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2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2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2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2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2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2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2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2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2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2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2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2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2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2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2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2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2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2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2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2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2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2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2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2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2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2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2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2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2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2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2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2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2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2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2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2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2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2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2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2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2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2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2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2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2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2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2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2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2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2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2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2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2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2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2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2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2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2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2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2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2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2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2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2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2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2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2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2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2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2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2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2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2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2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2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2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2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2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2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2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2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2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2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2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2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2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2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2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2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2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2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2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2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2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2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2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2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2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2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2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2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2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2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2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2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2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2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2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2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2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2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2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2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2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2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2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2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2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2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2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2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2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2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2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2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2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2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2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2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2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2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2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2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2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2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2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2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2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2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2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2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2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2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2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2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2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2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2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2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2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2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2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2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2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2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2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2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2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2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2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2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2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2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2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2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2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2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2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2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2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2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2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2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2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2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2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2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2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2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2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2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42" workbookViewId="0">
      <selection activeCell="A57" sqref="A57"/>
    </sheetView>
  </sheetViews>
  <sheetFormatPr defaultRowHeight="15" x14ac:dyDescent="0.25"/>
  <cols>
    <col min="1" max="1" width="155.140625" bestFit="1" customWidth="1"/>
  </cols>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1386</v>
      </c>
    </row>
    <row r="29" spans="1:1" x14ac:dyDescent="0.25">
      <c r="A29" t="s">
        <v>1387</v>
      </c>
    </row>
    <row r="30" spans="1:1" x14ac:dyDescent="0.25">
      <c r="A30" t="s">
        <v>1388</v>
      </c>
    </row>
    <row r="31" spans="1:1" x14ac:dyDescent="0.25">
      <c r="A31" t="s">
        <v>1389</v>
      </c>
    </row>
    <row r="32" spans="1:1" x14ac:dyDescent="0.25">
      <c r="A32" t="s">
        <v>1390</v>
      </c>
    </row>
    <row r="33" spans="1:1" x14ac:dyDescent="0.25">
      <c r="A33" t="s">
        <v>1391</v>
      </c>
    </row>
    <row r="34" spans="1:1" x14ac:dyDescent="0.25">
      <c r="A34" t="s">
        <v>1392</v>
      </c>
    </row>
    <row r="35" spans="1:1" x14ac:dyDescent="0.25">
      <c r="A35" t="s">
        <v>1393</v>
      </c>
    </row>
    <row r="36" spans="1:1" x14ac:dyDescent="0.25">
      <c r="A36" t="s">
        <v>1394</v>
      </c>
    </row>
    <row r="37" spans="1:1" x14ac:dyDescent="0.25">
      <c r="A37" t="s">
        <v>1395</v>
      </c>
    </row>
    <row r="38" spans="1:1" x14ac:dyDescent="0.25">
      <c r="A38" t="s">
        <v>1396</v>
      </c>
    </row>
    <row r="39" spans="1:1" x14ac:dyDescent="0.25">
      <c r="A39" t="s">
        <v>1397</v>
      </c>
    </row>
    <row r="40" spans="1:1" x14ac:dyDescent="0.25">
      <c r="A40" t="s">
        <v>1398</v>
      </c>
    </row>
    <row r="41" spans="1:1" x14ac:dyDescent="0.25">
      <c r="A41" t="s">
        <v>1399</v>
      </c>
    </row>
    <row r="43" spans="1:1" x14ac:dyDescent="0.25">
      <c r="A43" t="s">
        <v>1400</v>
      </c>
    </row>
    <row r="44" spans="1:1" x14ac:dyDescent="0.25">
      <c r="A44" t="s">
        <v>1401</v>
      </c>
    </row>
    <row r="45" spans="1:1" x14ac:dyDescent="0.25">
      <c r="A45" t="s">
        <v>1402</v>
      </c>
    </row>
    <row r="46" spans="1:1" x14ac:dyDescent="0.25">
      <c r="A46" t="s">
        <v>1403</v>
      </c>
    </row>
    <row r="47" spans="1:1" x14ac:dyDescent="0.25">
      <c r="A47" t="s">
        <v>1404</v>
      </c>
    </row>
    <row r="48" spans="1:1" x14ac:dyDescent="0.25">
      <c r="A48" t="s">
        <v>1405</v>
      </c>
    </row>
    <row r="50" spans="1:1" x14ac:dyDescent="0.25">
      <c r="A50" t="s">
        <v>1406</v>
      </c>
    </row>
    <row r="51" spans="1:1" x14ac:dyDescent="0.25">
      <c r="A51" t="s">
        <v>1407</v>
      </c>
    </row>
    <row r="52" spans="1:1" x14ac:dyDescent="0.25">
      <c r="A52" t="s">
        <v>1408</v>
      </c>
    </row>
    <row r="53" spans="1:1" x14ac:dyDescent="0.25">
      <c r="A53" t="s">
        <v>1409</v>
      </c>
    </row>
    <row r="54" spans="1:1" x14ac:dyDescent="0.25">
      <c r="A54" t="s">
        <v>1410</v>
      </c>
    </row>
    <row r="55" spans="1:1" x14ac:dyDescent="0.25">
      <c r="A55" t="s">
        <v>1411</v>
      </c>
    </row>
    <row r="56" spans="1:1" x14ac:dyDescent="0.25">
      <c r="A56" t="s">
        <v>1412</v>
      </c>
    </row>
    <row r="57" spans="1:1" x14ac:dyDescent="0.25">
      <c r="A57" t="s">
        <v>1413</v>
      </c>
    </row>
    <row r="58" spans="1:1" x14ac:dyDescent="0.25">
      <c r="A58" t="s">
        <v>1414</v>
      </c>
    </row>
    <row r="59" spans="1:1" x14ac:dyDescent="0.25">
      <c r="A59"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175CE-DC5F-4B42-AE55-C9F076DA8C20}">
  <dimension ref="A1:AO635"/>
  <sheetViews>
    <sheetView workbookViewId="0">
      <pane xSplit="1" ySplit="1" topLeftCell="E612" activePane="bottomRight" state="frozen"/>
      <selection pane="topRight" activeCell="B1" sqref="B1"/>
      <selection pane="bottomLeft" activeCell="A2" sqref="A2"/>
      <selection pane="bottomRight" activeCell="G2" sqref="G2:G632"/>
    </sheetView>
  </sheetViews>
  <sheetFormatPr defaultRowHeight="15" x14ac:dyDescent="0.25"/>
  <cols>
    <col min="1" max="1" width="16.42578125" bestFit="1" customWidth="1"/>
    <col min="2" max="2" width="14.85546875" style="20" bestFit="1" customWidth="1"/>
    <col min="3" max="3" width="18" style="4" bestFit="1" customWidth="1"/>
    <col min="4" max="4" width="18" style="4" customWidth="1"/>
    <col min="5" max="5" width="28.85546875" style="4" bestFit="1" customWidth="1"/>
    <col min="6" max="6" width="18" style="11" customWidth="1"/>
    <col min="7" max="7" width="25.7109375" style="11" bestFit="1" customWidth="1"/>
    <col min="8" max="8" width="11.7109375" bestFit="1" customWidth="1"/>
    <col min="9" max="9" width="15.42578125" bestFit="1" customWidth="1"/>
    <col min="10" max="10" width="13.5703125" bestFit="1" customWidth="1"/>
    <col min="11" max="11" width="22.28515625" bestFit="1" customWidth="1"/>
    <col min="12" max="12" width="12.85546875" bestFit="1" customWidth="1"/>
    <col min="13" max="13" width="16.28515625" bestFit="1" customWidth="1"/>
    <col min="14" max="14" width="20.42578125" bestFit="1" customWidth="1"/>
    <col min="15" max="15" width="20.42578125" customWidth="1"/>
    <col min="16" max="16" width="10.28515625" bestFit="1" customWidth="1"/>
    <col min="17" max="17" width="13.28515625" style="6" bestFit="1" customWidth="1"/>
    <col min="18" max="18" width="13.85546875" style="6" bestFit="1" customWidth="1"/>
    <col min="19" max="19" width="25.7109375" style="6" bestFit="1" customWidth="1"/>
    <col min="20" max="20" width="16" style="9" bestFit="1" customWidth="1"/>
    <col min="21" max="21" width="26.5703125" style="7" bestFit="1" customWidth="1"/>
    <col min="22" max="22" width="26.5703125" style="7" customWidth="1"/>
    <col min="23" max="23" width="13.28515625" style="11" bestFit="1" customWidth="1"/>
    <col min="24" max="24" width="18.5703125" style="6" bestFit="1" customWidth="1"/>
    <col min="25" max="26" width="13.28515625" style="6" customWidth="1"/>
    <col min="27" max="27" width="13.42578125" style="9" bestFit="1" customWidth="1"/>
    <col min="28" max="28" width="17.42578125" style="7" bestFit="1" customWidth="1"/>
    <col min="29" max="29" width="18.42578125" style="7" bestFit="1" customWidth="1"/>
    <col min="30" max="30" width="17.42578125" style="7" customWidth="1"/>
    <col min="31" max="31" width="22" style="7" bestFit="1" customWidth="1"/>
    <col min="32" max="32" width="27.28515625" style="7" bestFit="1" customWidth="1"/>
    <col min="33" max="33" width="25.140625" style="7" bestFit="1" customWidth="1"/>
    <col min="34" max="34" width="20.140625" style="7" bestFit="1" customWidth="1"/>
    <col min="35" max="35" width="20.140625" style="7" customWidth="1"/>
    <col min="36" max="36" width="22.42578125" style="7" bestFit="1" customWidth="1"/>
    <col min="37" max="37" width="19.42578125" style="7" bestFit="1" customWidth="1"/>
    <col min="38" max="38" width="15.5703125" style="7" bestFit="1" customWidth="1"/>
    <col min="39" max="39" width="20.140625" style="7" customWidth="1"/>
    <col min="40" max="40" width="16.85546875" bestFit="1" customWidth="1"/>
    <col min="41" max="41" width="9.5703125" bestFit="1" customWidth="1"/>
  </cols>
  <sheetData>
    <row r="1" spans="1:41" x14ac:dyDescent="0.25">
      <c r="A1" s="1" t="s">
        <v>0</v>
      </c>
      <c r="B1" s="19" t="s">
        <v>1</v>
      </c>
      <c r="C1" s="3" t="s">
        <v>2</v>
      </c>
      <c r="D1" s="15" t="s">
        <v>1433</v>
      </c>
      <c r="E1" s="15" t="s">
        <v>1427</v>
      </c>
      <c r="F1" s="14" t="s">
        <v>1428</v>
      </c>
      <c r="G1" s="14" t="s">
        <v>1488</v>
      </c>
      <c r="H1" s="1" t="s">
        <v>3</v>
      </c>
      <c r="I1" s="1" t="s">
        <v>4</v>
      </c>
      <c r="J1" s="1" t="s">
        <v>5</v>
      </c>
      <c r="K1" s="1" t="s">
        <v>6</v>
      </c>
      <c r="L1" s="1" t="s">
        <v>7</v>
      </c>
      <c r="M1" s="1" t="s">
        <v>8</v>
      </c>
      <c r="N1" s="1" t="s">
        <v>9</v>
      </c>
      <c r="O1" s="25" t="s">
        <v>1447</v>
      </c>
      <c r="P1" s="1" t="s">
        <v>10</v>
      </c>
      <c r="Q1" s="5" t="s">
        <v>11</v>
      </c>
      <c r="R1" s="5" t="s">
        <v>12</v>
      </c>
      <c r="S1" s="13" t="s">
        <v>1425</v>
      </c>
      <c r="T1" s="8" t="s">
        <v>13</v>
      </c>
      <c r="U1" s="18" t="s">
        <v>1424</v>
      </c>
      <c r="V1" s="18" t="s">
        <v>1491</v>
      </c>
      <c r="W1" s="10" t="s">
        <v>14</v>
      </c>
      <c r="X1" s="16" t="s">
        <v>1429</v>
      </c>
      <c r="Y1" s="16" t="s">
        <v>1430</v>
      </c>
      <c r="Z1" s="16" t="s">
        <v>1431</v>
      </c>
      <c r="AA1" s="45" t="s">
        <v>1432</v>
      </c>
      <c r="AB1" s="43" t="s">
        <v>1495</v>
      </c>
      <c r="AC1" s="43" t="s">
        <v>1496</v>
      </c>
      <c r="AD1" s="43" t="s">
        <v>1497</v>
      </c>
      <c r="AE1" s="43" t="s">
        <v>1498</v>
      </c>
      <c r="AF1" s="43" t="s">
        <v>1505</v>
      </c>
      <c r="AG1" s="43" t="s">
        <v>1499</v>
      </c>
      <c r="AH1" s="43" t="s">
        <v>1500</v>
      </c>
      <c r="AI1" s="43" t="s">
        <v>1501</v>
      </c>
      <c r="AJ1" s="46" t="s">
        <v>1503</v>
      </c>
      <c r="AK1" s="46" t="s">
        <v>1502</v>
      </c>
      <c r="AL1" s="46" t="s">
        <v>1504</v>
      </c>
      <c r="AM1" s="17"/>
    </row>
    <row r="2" spans="1:41" x14ac:dyDescent="0.25">
      <c r="A2" t="s">
        <v>15</v>
      </c>
      <c r="B2" s="20">
        <v>45362</v>
      </c>
      <c r="C2" s="4">
        <v>45388</v>
      </c>
      <c r="D2" s="4" t="s">
        <v>1434</v>
      </c>
      <c r="E2" s="4">
        <v>45388</v>
      </c>
      <c r="F2" s="11">
        <f t="shared" ref="F2:F65" si="0">E2-B2</f>
        <v>26</v>
      </c>
      <c r="G2" s="11" t="str">
        <f>IF(F2&lt;=7, "Meets Target", "Does not Meet Target")</f>
        <v>Does not Meet Target</v>
      </c>
      <c r="H2" t="s">
        <v>646</v>
      </c>
      <c r="I2" t="s">
        <v>650</v>
      </c>
      <c r="J2" t="s">
        <v>662</v>
      </c>
      <c r="K2" t="s">
        <v>701</v>
      </c>
      <c r="L2" t="s">
        <v>707</v>
      </c>
      <c r="M2" t="s">
        <v>712</v>
      </c>
      <c r="N2" t="s">
        <v>727</v>
      </c>
      <c r="O2" t="str" cm="1">
        <f t="array" ref="O2">_xlfn.IFS(S2&lt;=_xlfn.PERCENTILE.INC(IF(N2:N632=N2, S2:S632), 0.33), "Low", S2&lt;=_xlfn.PERCENTILE.INC(IF(N2:N632=N2, S2:S632), 0.66), "Medium", S2 &gt; _xlfn.PERCENTILE.INC(IF(N2:N632=N2, S2:S632), 0.66), "High")</f>
        <v>Low</v>
      </c>
      <c r="P2" t="s">
        <v>734</v>
      </c>
      <c r="Q2" s="6">
        <v>279.24</v>
      </c>
      <c r="R2" s="6">
        <v>608.9</v>
      </c>
      <c r="S2" s="6">
        <v>608.9</v>
      </c>
      <c r="T2" s="9">
        <v>0.112</v>
      </c>
      <c r="U2" s="9">
        <f>IF(T2&gt;0.3, $AO$4, T2)</f>
        <v>0.112</v>
      </c>
      <c r="V2" s="7" t="str">
        <f>IF(U2&gt;20%, "Greater than 20%", "Less than 20%")</f>
        <v>Less than 20%</v>
      </c>
      <c r="W2" s="11">
        <v>9</v>
      </c>
      <c r="X2" s="6">
        <f t="shared" ref="X2:X65" si="1">S2*W2*(1-U2)</f>
        <v>4866.3287999999993</v>
      </c>
      <c r="Y2" s="6">
        <f t="shared" ref="Y2:Y65" si="2">Q2*W2</f>
        <v>2513.16</v>
      </c>
      <c r="Z2" s="6">
        <f>X2-Y2</f>
        <v>2353.1687999999995</v>
      </c>
      <c r="AA2" s="9">
        <f>IF(X2=0, 0, Z2/X2)</f>
        <v>0.48356140670149533</v>
      </c>
      <c r="AB2" s="9">
        <f>IF(U2&gt;'What-If Analysis'!$F$16, 'What-If Analysis'!$F$16,T2)</f>
        <v>0.112</v>
      </c>
      <c r="AC2" s="42">
        <f>S2*(1-AB2)</f>
        <v>540.70320000000004</v>
      </c>
      <c r="AD2" s="42">
        <f>Q2*(1+'What-If Analysis'!F17)</f>
        <v>290.40960000000001</v>
      </c>
      <c r="AE2" s="41">
        <f>W2*(1+'What-If Analysis'!$F$18)</f>
        <v>10.53</v>
      </c>
      <c r="AF2" s="42">
        <f>AC2*AE2</f>
        <v>5693.6046960000003</v>
      </c>
      <c r="AG2" s="42">
        <f>AD2*AE2</f>
        <v>3058.0130880000002</v>
      </c>
      <c r="AH2" s="42">
        <f>AF2-AG2</f>
        <v>2635.5916080000002</v>
      </c>
      <c r="AI2" s="44">
        <f>IF(AF2=0, 0, AH2/AF2)</f>
        <v>0.46290386296955521</v>
      </c>
      <c r="AJ2" s="42">
        <f>AF2-X2</f>
        <v>827.27589600000101</v>
      </c>
      <c r="AK2" s="42">
        <f>Z2</f>
        <v>2353.1687999999995</v>
      </c>
      <c r="AL2" s="9">
        <f>AI2-AA2</f>
        <v>-2.065754373194012E-2</v>
      </c>
      <c r="AM2" s="42"/>
    </row>
    <row r="3" spans="1:41" x14ac:dyDescent="0.25">
      <c r="A3" t="s">
        <v>16</v>
      </c>
      <c r="B3" s="20">
        <v>45588</v>
      </c>
      <c r="C3" s="4">
        <v>45587</v>
      </c>
      <c r="D3" s="4" t="s">
        <v>1435</v>
      </c>
      <c r="E3" s="4">
        <v>45607</v>
      </c>
      <c r="F3" s="11">
        <f t="shared" si="0"/>
        <v>19</v>
      </c>
      <c r="G3" s="11" t="str">
        <f t="shared" ref="G3:G66" si="3">IF(F3&lt;=7, "Meets Target", "Does not Meet Target")</f>
        <v>Does not Meet Target</v>
      </c>
      <c r="H3" t="s">
        <v>646</v>
      </c>
      <c r="I3" t="s">
        <v>651</v>
      </c>
      <c r="J3" t="s">
        <v>663</v>
      </c>
      <c r="K3" t="s">
        <v>702</v>
      </c>
      <c r="L3" t="s">
        <v>708</v>
      </c>
      <c r="M3" t="s">
        <v>713</v>
      </c>
      <c r="N3" t="s">
        <v>728</v>
      </c>
      <c r="O3" t="str" cm="1">
        <f t="array" ref="O3">_xlfn.IFS(S3&lt;=_xlfn.PERCENTILE.INC(IF(N3:N633=N3, S3:S633), 0.33), "Low", S3&lt;=_xlfn.PERCENTILE.INC(IF(N3:N633=N3, S3:S633), 0.66), "Medium", S3 &gt; _xlfn.PERCENTILE.INC(IF(N3:N633=N3, S3:S633), 0.66), "High")</f>
        <v>Medium</v>
      </c>
      <c r="P3" t="s">
        <v>735</v>
      </c>
      <c r="Q3" s="6">
        <v>1084.3900000000001</v>
      </c>
      <c r="R3" s="6">
        <v>759.33</v>
      </c>
      <c r="S3" s="6">
        <v>759.33</v>
      </c>
      <c r="T3" s="9">
        <v>0.23699999999999999</v>
      </c>
      <c r="U3" s="9">
        <f>IF(T3&gt;0.3, $AO$4, T3)</f>
        <v>0.23699999999999999</v>
      </c>
      <c r="V3" s="7" t="str">
        <f t="shared" ref="V3:V66" si="4">IF(U3&gt;20%, "Greater than 20%", "Less than 20%")</f>
        <v>Greater than 20%</v>
      </c>
      <c r="W3" s="11">
        <v>31</v>
      </c>
      <c r="X3" s="6">
        <f t="shared" si="1"/>
        <v>17960.432489999999</v>
      </c>
      <c r="Y3" s="6">
        <f t="shared" si="2"/>
        <v>33616.090000000004</v>
      </c>
      <c r="Z3" s="6">
        <f t="shared" ref="Z3:Z66" si="5">X3-Y3</f>
        <v>-15655.657510000005</v>
      </c>
      <c r="AA3" s="9">
        <f t="shared" ref="AA3:AA66" si="6">IF(X3=0, 0, Z3/X3)</f>
        <v>-0.87167486187856302</v>
      </c>
      <c r="AB3" s="9">
        <f>IF(U3&gt;'What-If Analysis'!$F$16, 'What-If Analysis'!$F$16,T3)</f>
        <v>0.17</v>
      </c>
      <c r="AC3" s="42">
        <f>S3*(1-AB3)</f>
        <v>630.24390000000005</v>
      </c>
      <c r="AD3" s="42">
        <f>Q3*(1+'What-If Analysis'!F18)</f>
        <v>1268.7363</v>
      </c>
      <c r="AE3" s="41">
        <f>W3*(1+'What-If Analysis'!$F$18)</f>
        <v>36.269999999999996</v>
      </c>
      <c r="AF3" s="42">
        <f t="shared" ref="AF3:AF66" si="7">AC3*AE3</f>
        <v>22858.946252999998</v>
      </c>
      <c r="AG3" s="42">
        <f t="shared" ref="AG3:AG66" si="8">AD3*AE3</f>
        <v>46017.065600999995</v>
      </c>
      <c r="AH3" s="42">
        <f t="shared" ref="AH3:AH66" si="9">AF3-AG3</f>
        <v>-23158.119347999997</v>
      </c>
      <c r="AI3" s="44">
        <f t="shared" ref="AI3:AI66" si="10">IF(AF3=0, 0, AH3/AF3)</f>
        <v>-1.0130877902983273</v>
      </c>
      <c r="AJ3" s="42">
        <f t="shared" ref="AJ3:AJ66" si="11">AF3-X3</f>
        <v>4898.513762999999</v>
      </c>
      <c r="AK3" s="42">
        <f t="shared" ref="AK3:AK66" si="12">Z3</f>
        <v>-15655.657510000005</v>
      </c>
      <c r="AL3" s="9">
        <f t="shared" ref="AL3:AL66" si="13">AI3-AA3</f>
        <v>-0.14141292841976427</v>
      </c>
      <c r="AM3" s="42"/>
      <c r="AN3" t="s">
        <v>1423</v>
      </c>
      <c r="AO3" s="6">
        <f>MEDIAN(R2:R632)</f>
        <v>1186.26</v>
      </c>
    </row>
    <row r="4" spans="1:41" x14ac:dyDescent="0.25">
      <c r="A4" t="s">
        <v>17</v>
      </c>
      <c r="B4" s="20">
        <v>44985</v>
      </c>
      <c r="C4" s="4">
        <v>45010</v>
      </c>
      <c r="D4" s="4" t="s">
        <v>1436</v>
      </c>
      <c r="E4" s="4">
        <v>45010</v>
      </c>
      <c r="F4" s="11">
        <f t="shared" si="0"/>
        <v>25</v>
      </c>
      <c r="G4" s="11" t="str">
        <f t="shared" si="3"/>
        <v>Does not Meet Target</v>
      </c>
      <c r="H4" t="s">
        <v>646</v>
      </c>
      <c r="I4" t="s">
        <v>650</v>
      </c>
      <c r="J4" t="s">
        <v>664</v>
      </c>
      <c r="K4" t="s">
        <v>701</v>
      </c>
      <c r="L4" t="s">
        <v>707</v>
      </c>
      <c r="M4" t="s">
        <v>714</v>
      </c>
      <c r="N4" t="s">
        <v>729</v>
      </c>
      <c r="O4" t="str" cm="1">
        <f t="array" ref="O4">_xlfn.IFS(S4&lt;=_xlfn.PERCENTILE.INC(IF(N4:N634=N4, S4:S634), 0.33), "Low", S4&lt;=_xlfn.PERCENTILE.INC(IF(N4:N634=N4, S4:S634), 0.66), "Medium", S4 &gt; _xlfn.PERCENTILE.INC(IF(N4:N634=N4, S4:S634), 0.66), "High")</f>
        <v>Medium</v>
      </c>
      <c r="P4" t="s">
        <v>736</v>
      </c>
      <c r="Q4" s="6">
        <v>1460.76</v>
      </c>
      <c r="R4" s="6">
        <v>-30.66</v>
      </c>
      <c r="S4" s="6">
        <v>1186.26</v>
      </c>
      <c r="T4" s="9">
        <v>0.13100000000000001</v>
      </c>
      <c r="U4" s="9">
        <f>IF(T4&gt;0.3, $AO$4, T4)</f>
        <v>0.13100000000000001</v>
      </c>
      <c r="V4" s="7" t="str">
        <f t="shared" si="4"/>
        <v>Less than 20%</v>
      </c>
      <c r="W4" s="11">
        <v>12</v>
      </c>
      <c r="X4" s="6">
        <f t="shared" si="1"/>
        <v>12370.31928</v>
      </c>
      <c r="Y4" s="6">
        <f t="shared" si="2"/>
        <v>17529.12</v>
      </c>
      <c r="Z4" s="6">
        <f t="shared" si="5"/>
        <v>-5158.8007199999993</v>
      </c>
      <c r="AA4" s="9">
        <f t="shared" si="6"/>
        <v>-0.41703052307959504</v>
      </c>
      <c r="AB4" s="9">
        <f>IF(U4&gt;'What-If Analysis'!$F$16, 'What-If Analysis'!$F$16,T4)</f>
        <v>0.13100000000000001</v>
      </c>
      <c r="AC4" s="42">
        <f>S4*(1-AB4)</f>
        <v>1030.8599400000001</v>
      </c>
      <c r="AD4" s="42">
        <f>Q4*(1+'What-If Analysis'!F19)</f>
        <v>1460.76</v>
      </c>
      <c r="AE4" s="41">
        <f>W4*(1+'What-If Analysis'!$F$18)</f>
        <v>14.04</v>
      </c>
      <c r="AF4" s="42">
        <f t="shared" si="7"/>
        <v>14473.2735576</v>
      </c>
      <c r="AG4" s="42">
        <f t="shared" si="8"/>
        <v>20509.070399999997</v>
      </c>
      <c r="AH4" s="42">
        <f t="shared" si="9"/>
        <v>-6035.7968423999973</v>
      </c>
      <c r="AI4" s="44">
        <f t="shared" si="10"/>
        <v>-0.41703052307959493</v>
      </c>
      <c r="AJ4" s="42">
        <f t="shared" si="11"/>
        <v>2102.9542775999998</v>
      </c>
      <c r="AK4" s="42">
        <f t="shared" si="12"/>
        <v>-5158.8007199999993</v>
      </c>
      <c r="AL4" s="9">
        <f t="shared" si="13"/>
        <v>0</v>
      </c>
      <c r="AM4" s="42"/>
      <c r="AN4" t="s">
        <v>1426</v>
      </c>
      <c r="AO4" s="12">
        <f>MEDIAN(T2:T632)</f>
        <v>0.12</v>
      </c>
    </row>
    <row r="5" spans="1:41" x14ac:dyDescent="0.25">
      <c r="A5" t="s">
        <v>18</v>
      </c>
      <c r="B5" s="20">
        <v>45745</v>
      </c>
      <c r="C5" s="4">
        <v>45749</v>
      </c>
      <c r="D5" s="4" t="s">
        <v>1437</v>
      </c>
      <c r="E5" s="4">
        <v>45749</v>
      </c>
      <c r="F5" s="11">
        <f t="shared" si="0"/>
        <v>4</v>
      </c>
      <c r="G5" s="11" t="str">
        <f t="shared" si="3"/>
        <v>Meets Target</v>
      </c>
      <c r="H5" t="s">
        <v>646</v>
      </c>
      <c r="I5" t="s">
        <v>651</v>
      </c>
      <c r="J5" t="s">
        <v>665</v>
      </c>
      <c r="K5" t="s">
        <v>703</v>
      </c>
      <c r="L5" t="s">
        <v>709</v>
      </c>
      <c r="M5" t="s">
        <v>715</v>
      </c>
      <c r="N5" t="s">
        <v>730</v>
      </c>
      <c r="O5" t="str" cm="1">
        <f t="array" ref="O5">_xlfn.IFS(S5&lt;=_xlfn.PERCENTILE.INC(IF(N5:N635=N5, S5:S635), 0.33), "Low", S5&lt;=_xlfn.PERCENTILE.INC(IF(N5:N635=N5, S5:S635), 0.66), "Medium", S5 &gt; _xlfn.PERCENTILE.INC(IF(N5:N635=N5, S5:S635), 0.66), "High")</f>
        <v>Low</v>
      </c>
      <c r="P5" t="s">
        <v>737</v>
      </c>
      <c r="Q5" s="6">
        <v>259.93</v>
      </c>
      <c r="R5" s="6">
        <v>255.94</v>
      </c>
      <c r="S5" s="6">
        <v>255.94</v>
      </c>
      <c r="T5" s="9">
        <v>7.1999999999999995E-2</v>
      </c>
      <c r="U5" s="9">
        <f>IF(T5&gt;0.3, $AO$4, T5)</f>
        <v>7.1999999999999995E-2</v>
      </c>
      <c r="V5" s="7" t="str">
        <f t="shared" si="4"/>
        <v>Less than 20%</v>
      </c>
      <c r="W5" s="11">
        <v>22</v>
      </c>
      <c r="X5" s="6">
        <f t="shared" si="1"/>
        <v>5225.2710400000005</v>
      </c>
      <c r="Y5" s="6">
        <f t="shared" si="2"/>
        <v>5718.46</v>
      </c>
      <c r="Z5" s="6">
        <f t="shared" si="5"/>
        <v>-493.1889599999995</v>
      </c>
      <c r="AA5" s="9">
        <f t="shared" si="6"/>
        <v>-9.4385335463861311E-2</v>
      </c>
      <c r="AB5" s="9">
        <f>IF(U5&gt;'What-If Analysis'!$F$16, 'What-If Analysis'!$F$16,T5)</f>
        <v>7.1999999999999995E-2</v>
      </c>
      <c r="AC5" s="42">
        <f>S5*(1-AB5)</f>
        <v>237.51232000000002</v>
      </c>
      <c r="AD5" s="42">
        <f>Q5*(1+'What-If Analysis'!F20)</f>
        <v>259.93</v>
      </c>
      <c r="AE5" s="41">
        <f>W5*(1+'What-If Analysis'!$F$18)</f>
        <v>25.74</v>
      </c>
      <c r="AF5" s="42">
        <f t="shared" si="7"/>
        <v>6113.5671167999999</v>
      </c>
      <c r="AG5" s="42">
        <f t="shared" si="8"/>
        <v>6690.5981999999995</v>
      </c>
      <c r="AH5" s="42">
        <f t="shared" si="9"/>
        <v>-577.03108319999956</v>
      </c>
      <c r="AI5" s="44">
        <f t="shared" si="10"/>
        <v>-9.4385335463861339E-2</v>
      </c>
      <c r="AJ5" s="42">
        <f t="shared" si="11"/>
        <v>888.29607679999935</v>
      </c>
      <c r="AK5" s="42">
        <f t="shared" si="12"/>
        <v>-493.1889599999995</v>
      </c>
      <c r="AL5" s="9">
        <f t="shared" si="13"/>
        <v>0</v>
      </c>
      <c r="AM5" s="42"/>
    </row>
    <row r="6" spans="1:41" x14ac:dyDescent="0.25">
      <c r="A6" t="s">
        <v>19</v>
      </c>
      <c r="B6" s="20">
        <v>45266</v>
      </c>
      <c r="C6" s="4">
        <v>45291</v>
      </c>
      <c r="D6" s="4" t="s">
        <v>1438</v>
      </c>
      <c r="E6" s="4">
        <v>45291</v>
      </c>
      <c r="F6" s="11">
        <f t="shared" si="0"/>
        <v>25</v>
      </c>
      <c r="G6" s="11" t="str">
        <f t="shared" si="3"/>
        <v>Does not Meet Target</v>
      </c>
      <c r="H6" t="s">
        <v>647</v>
      </c>
      <c r="I6" t="s">
        <v>652</v>
      </c>
      <c r="J6" t="s">
        <v>666</v>
      </c>
      <c r="K6" t="s">
        <v>704</v>
      </c>
      <c r="L6" t="s">
        <v>707</v>
      </c>
      <c r="M6" t="s">
        <v>716</v>
      </c>
      <c r="N6" t="s">
        <v>728</v>
      </c>
      <c r="O6" t="str" cm="1">
        <f t="array" ref="O6">_xlfn.IFS(S6&lt;=_xlfn.PERCENTILE.INC(IF(N6:N636=N6, S6:S636), 0.33), "Low", S6&lt;=_xlfn.PERCENTILE.INC(IF(N6:N636=N6, S6:S636), 0.66), "Medium", S6 &gt; _xlfn.PERCENTILE.INC(IF(N6:N636=N6, S6:S636), 0.66), "High")</f>
        <v>Medium</v>
      </c>
      <c r="P6" t="s">
        <v>738</v>
      </c>
      <c r="Q6" s="6">
        <v>663.03</v>
      </c>
      <c r="R6" s="6">
        <v>813.51</v>
      </c>
      <c r="S6" s="6">
        <v>813.51</v>
      </c>
      <c r="T6" s="9">
        <v>0.10199999999999999</v>
      </c>
      <c r="U6" s="9">
        <f>IF(T6&gt;0.3, $AO$4, T6)</f>
        <v>0.10199999999999999</v>
      </c>
      <c r="V6" s="7" t="str">
        <f t="shared" si="4"/>
        <v>Less than 20%</v>
      </c>
      <c r="W6" s="11">
        <v>15</v>
      </c>
      <c r="X6" s="6">
        <f t="shared" si="1"/>
        <v>10957.9797</v>
      </c>
      <c r="Y6" s="6">
        <f t="shared" si="2"/>
        <v>9945.4499999999989</v>
      </c>
      <c r="Z6" s="6">
        <f t="shared" si="5"/>
        <v>1012.529700000001</v>
      </c>
      <c r="AA6" s="9">
        <f t="shared" si="6"/>
        <v>9.2401129379715952E-2</v>
      </c>
      <c r="AB6" s="9">
        <f>IF(U6&gt;'What-If Analysis'!$F$16, 'What-If Analysis'!$F$16,T6)</f>
        <v>0.10199999999999999</v>
      </c>
      <c r="AC6" s="42">
        <f>S6*(1-AB6)</f>
        <v>730.53197999999998</v>
      </c>
      <c r="AD6" s="42">
        <f>Q6*(1+'What-If Analysis'!F21)</f>
        <v>663.03</v>
      </c>
      <c r="AE6" s="41">
        <f>W6*(1+'What-If Analysis'!$F$18)</f>
        <v>17.549999999999997</v>
      </c>
      <c r="AF6" s="42">
        <f t="shared" si="7"/>
        <v>12820.836248999998</v>
      </c>
      <c r="AG6" s="42">
        <f t="shared" si="8"/>
        <v>11636.176499999998</v>
      </c>
      <c r="AH6" s="42">
        <f t="shared" si="9"/>
        <v>1184.6597490000004</v>
      </c>
      <c r="AI6" s="44">
        <f t="shared" si="10"/>
        <v>9.240112937971591E-2</v>
      </c>
      <c r="AJ6" s="42">
        <f t="shared" si="11"/>
        <v>1862.8565489999983</v>
      </c>
      <c r="AK6" s="42">
        <f t="shared" si="12"/>
        <v>1012.529700000001</v>
      </c>
      <c r="AL6" s="9">
        <f t="shared" si="13"/>
        <v>0</v>
      </c>
      <c r="AM6" s="42"/>
    </row>
    <row r="7" spans="1:41" x14ac:dyDescent="0.25">
      <c r="A7" t="s">
        <v>20</v>
      </c>
      <c r="B7" s="20">
        <v>44928</v>
      </c>
      <c r="C7" s="4">
        <v>44931</v>
      </c>
      <c r="D7" s="4" t="s">
        <v>1436</v>
      </c>
      <c r="E7" s="4">
        <v>44931</v>
      </c>
      <c r="F7" s="11">
        <f t="shared" si="0"/>
        <v>3</v>
      </c>
      <c r="G7" s="11" t="str">
        <f t="shared" si="3"/>
        <v>Meets Target</v>
      </c>
      <c r="H7" t="s">
        <v>648</v>
      </c>
      <c r="I7" t="s">
        <v>653</v>
      </c>
      <c r="J7" t="s">
        <v>667</v>
      </c>
      <c r="K7" t="s">
        <v>701</v>
      </c>
      <c r="L7" t="s">
        <v>710</v>
      </c>
      <c r="M7" t="s">
        <v>717</v>
      </c>
      <c r="N7" t="s">
        <v>731</v>
      </c>
      <c r="O7" t="str" cm="1">
        <f t="array" ref="O7">_xlfn.IFS(S7&lt;=_xlfn.PERCENTILE.INC(IF(N7:N637=N7, S7:S637), 0.33), "Low", S7&lt;=_xlfn.PERCENTILE.INC(IF(N7:N637=N7, S7:S637), 0.66), "Medium", S7 &gt; _xlfn.PERCENTILE.INC(IF(N7:N637=N7, S7:S637), 0.66), "High")</f>
        <v>Low</v>
      </c>
      <c r="P7" t="s">
        <v>739</v>
      </c>
      <c r="Q7" s="6">
        <v>315.87</v>
      </c>
      <c r="R7" s="6">
        <v>591.67999999999995</v>
      </c>
      <c r="S7" s="6">
        <v>591.67999999999995</v>
      </c>
      <c r="T7" s="9">
        <v>0</v>
      </c>
      <c r="U7" s="9">
        <f>IF(T7&gt;0.3, $AO$4, T7)</f>
        <v>0</v>
      </c>
      <c r="V7" s="7" t="str">
        <f t="shared" si="4"/>
        <v>Less than 20%</v>
      </c>
      <c r="W7" s="11">
        <v>7</v>
      </c>
      <c r="X7" s="6">
        <f t="shared" si="1"/>
        <v>4141.7599999999993</v>
      </c>
      <c r="Y7" s="6">
        <f t="shared" si="2"/>
        <v>2211.09</v>
      </c>
      <c r="Z7" s="6">
        <f t="shared" si="5"/>
        <v>1930.6699999999992</v>
      </c>
      <c r="AA7" s="9">
        <f t="shared" si="6"/>
        <v>0.46614724175229844</v>
      </c>
      <c r="AB7" s="9">
        <f>IF(U7&gt;'What-If Analysis'!$F$16, 'What-If Analysis'!$F$16,T7)</f>
        <v>0</v>
      </c>
      <c r="AC7" s="42">
        <f>S7*(1-AB7)</f>
        <v>591.67999999999995</v>
      </c>
      <c r="AD7" s="42">
        <f>Q7*(1+'What-If Analysis'!F22)</f>
        <v>315.87</v>
      </c>
      <c r="AE7" s="41">
        <f>W7*(1+'What-If Analysis'!$F$18)</f>
        <v>8.19</v>
      </c>
      <c r="AF7" s="42">
        <f t="shared" si="7"/>
        <v>4845.859199999999</v>
      </c>
      <c r="AG7" s="42">
        <f t="shared" si="8"/>
        <v>2586.9753000000001</v>
      </c>
      <c r="AH7" s="42">
        <f t="shared" si="9"/>
        <v>2258.8838999999989</v>
      </c>
      <c r="AI7" s="44">
        <f t="shared" si="10"/>
        <v>0.46614724175229844</v>
      </c>
      <c r="AJ7" s="42">
        <f t="shared" si="11"/>
        <v>704.09919999999966</v>
      </c>
      <c r="AK7" s="42">
        <f t="shared" si="12"/>
        <v>1930.6699999999992</v>
      </c>
      <c r="AL7" s="9">
        <f t="shared" si="13"/>
        <v>0</v>
      </c>
      <c r="AM7" s="42"/>
    </row>
    <row r="8" spans="1:41" x14ac:dyDescent="0.25">
      <c r="A8" t="s">
        <v>21</v>
      </c>
      <c r="B8" s="20">
        <v>45653</v>
      </c>
      <c r="C8" s="4">
        <v>45671</v>
      </c>
      <c r="D8" s="4" t="s">
        <v>1435</v>
      </c>
      <c r="E8" s="4">
        <v>45671</v>
      </c>
      <c r="F8" s="11">
        <f t="shared" si="0"/>
        <v>18</v>
      </c>
      <c r="G8" s="11" t="str">
        <f t="shared" si="3"/>
        <v>Does not Meet Target</v>
      </c>
      <c r="H8" t="s">
        <v>647</v>
      </c>
      <c r="I8" t="s">
        <v>654</v>
      </c>
      <c r="J8" t="s">
        <v>668</v>
      </c>
      <c r="K8" t="s">
        <v>705</v>
      </c>
      <c r="L8" t="s">
        <v>709</v>
      </c>
      <c r="M8" t="s">
        <v>718</v>
      </c>
      <c r="N8" t="s">
        <v>732</v>
      </c>
      <c r="O8" t="str" cm="1">
        <f t="array" ref="O8">_xlfn.IFS(S8&lt;=_xlfn.PERCENTILE.INC(IF(N8:N638=N8, S8:S638), 0.33), "Low", S8&lt;=_xlfn.PERCENTILE.INC(IF(N8:N638=N8, S8:S638), 0.66), "Medium", S8 &gt; _xlfn.PERCENTILE.INC(IF(N8:N638=N8, S8:S638), 0.66), "High")</f>
        <v>Medium</v>
      </c>
      <c r="P8" t="s">
        <v>740</v>
      </c>
      <c r="Q8" s="6">
        <v>586.07000000000005</v>
      </c>
      <c r="R8" s="6">
        <v>845.97</v>
      </c>
      <c r="S8" s="6">
        <v>845.97</v>
      </c>
      <c r="T8" s="9">
        <v>0.14699999999999999</v>
      </c>
      <c r="U8" s="9">
        <f>IF(T8&gt;0.3, $AO$4, T8)</f>
        <v>0.14699999999999999</v>
      </c>
      <c r="V8" s="7" t="str">
        <f t="shared" si="4"/>
        <v>Less than 20%</v>
      </c>
      <c r="W8" s="11">
        <v>4</v>
      </c>
      <c r="X8" s="6">
        <f t="shared" si="1"/>
        <v>2886.4496399999998</v>
      </c>
      <c r="Y8" s="6">
        <f t="shared" si="2"/>
        <v>2344.2800000000002</v>
      </c>
      <c r="Z8" s="6">
        <f t="shared" si="5"/>
        <v>542.16963999999962</v>
      </c>
      <c r="AA8" s="9">
        <f t="shared" si="6"/>
        <v>0.18783270370862928</v>
      </c>
      <c r="AB8" s="9">
        <f>IF(U8&gt;'What-If Analysis'!$F$16, 'What-If Analysis'!$F$16,T8)</f>
        <v>0.14699999999999999</v>
      </c>
      <c r="AC8" s="42">
        <f>S8*(1-AB8)</f>
        <v>721.61240999999995</v>
      </c>
      <c r="AD8" s="42">
        <f>Q8*(1+'What-If Analysis'!F23)</f>
        <v>586.07000000000005</v>
      </c>
      <c r="AE8" s="41">
        <f>W8*(1+'What-If Analysis'!$F$18)</f>
        <v>4.68</v>
      </c>
      <c r="AF8" s="42">
        <f t="shared" si="7"/>
        <v>3377.1460787999995</v>
      </c>
      <c r="AG8" s="42">
        <f t="shared" si="8"/>
        <v>2742.8076000000001</v>
      </c>
      <c r="AH8" s="42">
        <f t="shared" si="9"/>
        <v>634.33847879999939</v>
      </c>
      <c r="AI8" s="44">
        <f t="shared" si="10"/>
        <v>0.18783270370862926</v>
      </c>
      <c r="AJ8" s="42">
        <f t="shared" si="11"/>
        <v>490.69643879999967</v>
      </c>
      <c r="AK8" s="42">
        <f t="shared" si="12"/>
        <v>542.16963999999962</v>
      </c>
      <c r="AL8" s="9">
        <f t="shared" si="13"/>
        <v>0</v>
      </c>
      <c r="AM8" s="42"/>
    </row>
    <row r="9" spans="1:41" x14ac:dyDescent="0.25">
      <c r="A9" t="s">
        <v>22</v>
      </c>
      <c r="B9" s="20">
        <v>44941</v>
      </c>
      <c r="C9" s="4">
        <v>44939</v>
      </c>
      <c r="D9" s="4" t="s">
        <v>1436</v>
      </c>
      <c r="E9" s="4">
        <v>44959</v>
      </c>
      <c r="F9" s="11">
        <f t="shared" si="0"/>
        <v>18</v>
      </c>
      <c r="G9" s="11" t="str">
        <f t="shared" si="3"/>
        <v>Does not Meet Target</v>
      </c>
      <c r="H9" t="s">
        <v>646</v>
      </c>
      <c r="I9" t="s">
        <v>651</v>
      </c>
      <c r="J9" t="s">
        <v>669</v>
      </c>
      <c r="K9" t="s">
        <v>702</v>
      </c>
      <c r="L9" t="s">
        <v>708</v>
      </c>
      <c r="M9" t="s">
        <v>719</v>
      </c>
      <c r="N9" t="s">
        <v>728</v>
      </c>
      <c r="O9" t="str" cm="1">
        <f t="array" ref="O9">_xlfn.IFS(S9&lt;=_xlfn.PERCENTILE.INC(IF(N9:N639=N9, S9:S639), 0.33), "Low", S9&lt;=_xlfn.PERCENTILE.INC(IF(N9:N639=N9, S9:S639), 0.66), "Medium", S9 &gt; _xlfn.PERCENTILE.INC(IF(N9:N639=N9, S9:S639), 0.66), "High")</f>
        <v>Low</v>
      </c>
      <c r="P9" t="s">
        <v>741</v>
      </c>
      <c r="Q9" s="6">
        <v>28.38</v>
      </c>
      <c r="R9" s="6">
        <v>47.22</v>
      </c>
      <c r="S9" s="6">
        <v>47.22</v>
      </c>
      <c r="T9" s="9">
        <v>0.19400000000000001</v>
      </c>
      <c r="U9" s="9">
        <f>IF(T9&gt;0.3, $AO$4, T9)</f>
        <v>0.19400000000000001</v>
      </c>
      <c r="V9" s="7" t="str">
        <f t="shared" si="4"/>
        <v>Less than 20%</v>
      </c>
      <c r="W9" s="11">
        <v>18</v>
      </c>
      <c r="X9" s="6">
        <f t="shared" si="1"/>
        <v>685.06776000000002</v>
      </c>
      <c r="Y9" s="6">
        <f t="shared" si="2"/>
        <v>510.84</v>
      </c>
      <c r="Z9" s="6">
        <f t="shared" si="5"/>
        <v>174.22776000000005</v>
      </c>
      <c r="AA9" s="9">
        <f t="shared" si="6"/>
        <v>0.25432193743871417</v>
      </c>
      <c r="AB9" s="9">
        <f>IF(U9&gt;'What-If Analysis'!$F$16, 'What-If Analysis'!$F$16,T9)</f>
        <v>0.17</v>
      </c>
      <c r="AC9" s="42">
        <f>S9*(1-AB9)</f>
        <v>39.192599999999999</v>
      </c>
      <c r="AD9" s="42">
        <f>Q9*(1+'What-If Analysis'!F24)</f>
        <v>28.38</v>
      </c>
      <c r="AE9" s="41">
        <f>W9*(1+'What-If Analysis'!$F$18)</f>
        <v>21.06</v>
      </c>
      <c r="AF9" s="42">
        <f t="shared" si="7"/>
        <v>825.39615599999991</v>
      </c>
      <c r="AG9" s="42">
        <f t="shared" si="8"/>
        <v>597.68279999999993</v>
      </c>
      <c r="AH9" s="42">
        <f t="shared" si="9"/>
        <v>227.71335599999998</v>
      </c>
      <c r="AI9" s="44">
        <f t="shared" si="10"/>
        <v>0.27588371274169105</v>
      </c>
      <c r="AJ9" s="42">
        <f t="shared" si="11"/>
        <v>140.32839599999988</v>
      </c>
      <c r="AK9" s="42">
        <f t="shared" si="12"/>
        <v>174.22776000000005</v>
      </c>
      <c r="AL9" s="9">
        <f t="shared" si="13"/>
        <v>2.1561775302976871E-2</v>
      </c>
      <c r="AM9" s="42"/>
    </row>
    <row r="10" spans="1:41" x14ac:dyDescent="0.25">
      <c r="A10" t="s">
        <v>23</v>
      </c>
      <c r="B10" s="20">
        <v>45416</v>
      </c>
      <c r="C10" s="4">
        <v>45441</v>
      </c>
      <c r="D10" s="4" t="s">
        <v>1439</v>
      </c>
      <c r="E10" s="4">
        <v>45441</v>
      </c>
      <c r="F10" s="11">
        <f t="shared" si="0"/>
        <v>25</v>
      </c>
      <c r="G10" s="11" t="str">
        <f t="shared" si="3"/>
        <v>Does not Meet Target</v>
      </c>
      <c r="H10" t="s">
        <v>646</v>
      </c>
      <c r="I10" t="s">
        <v>651</v>
      </c>
      <c r="J10" t="s">
        <v>669</v>
      </c>
      <c r="K10" t="s">
        <v>703</v>
      </c>
      <c r="L10" t="s">
        <v>709</v>
      </c>
      <c r="M10" t="s">
        <v>719</v>
      </c>
      <c r="N10" t="s">
        <v>732</v>
      </c>
      <c r="O10" t="str" cm="1">
        <f t="array" ref="O10">_xlfn.IFS(S10&lt;=_xlfn.PERCENTILE.INC(IF(N10:N640=N10, S10:S640), 0.33), "Low", S10&lt;=_xlfn.PERCENTILE.INC(IF(N10:N640=N10, S10:S640), 0.66), "Medium", S10 &gt; _xlfn.PERCENTILE.INC(IF(N10:N640=N10, S10:S640), 0.66), "High")</f>
        <v>High</v>
      </c>
      <c r="P10" t="s">
        <v>742</v>
      </c>
      <c r="Q10" s="6">
        <v>1295.3399999999999</v>
      </c>
      <c r="R10" s="6">
        <v>2530.81</v>
      </c>
      <c r="S10" s="6">
        <v>2530.81</v>
      </c>
      <c r="T10" s="9">
        <v>3.1E-2</v>
      </c>
      <c r="U10" s="9">
        <f>IF(T10&gt;0.3, $AO$4, T10)</f>
        <v>3.1E-2</v>
      </c>
      <c r="V10" s="7" t="str">
        <f t="shared" si="4"/>
        <v>Less than 20%</v>
      </c>
      <c r="W10" s="11">
        <v>6</v>
      </c>
      <c r="X10" s="6">
        <f t="shared" si="1"/>
        <v>14714.12934</v>
      </c>
      <c r="Y10" s="6">
        <f t="shared" si="2"/>
        <v>7772.0399999999991</v>
      </c>
      <c r="Z10" s="6">
        <f t="shared" si="5"/>
        <v>6942.0893400000004</v>
      </c>
      <c r="AA10" s="9">
        <f t="shared" si="6"/>
        <v>0.4717974933880798</v>
      </c>
      <c r="AB10" s="9">
        <f>IF(U10&gt;'What-If Analysis'!$F$16, 'What-If Analysis'!$F$16,T10)</f>
        <v>3.1E-2</v>
      </c>
      <c r="AC10" s="42">
        <f>S10*(1-AB10)</f>
        <v>2452.3548900000001</v>
      </c>
      <c r="AD10" s="42">
        <f>Q10*(1+'What-If Analysis'!F25)</f>
        <v>1295.3399999999999</v>
      </c>
      <c r="AE10" s="41">
        <f>W10*(1+'What-If Analysis'!$F$18)</f>
        <v>7.02</v>
      </c>
      <c r="AF10" s="42">
        <f t="shared" si="7"/>
        <v>17215.531327799999</v>
      </c>
      <c r="AG10" s="42">
        <f t="shared" si="8"/>
        <v>9093.286799999998</v>
      </c>
      <c r="AH10" s="42">
        <f t="shared" si="9"/>
        <v>8122.2445278000014</v>
      </c>
      <c r="AI10" s="44">
        <f t="shared" si="10"/>
        <v>0.4717974933880798</v>
      </c>
      <c r="AJ10" s="42">
        <f t="shared" si="11"/>
        <v>2501.4019877999999</v>
      </c>
      <c r="AK10" s="42">
        <f t="shared" si="12"/>
        <v>6942.0893400000004</v>
      </c>
      <c r="AL10" s="9">
        <f t="shared" si="13"/>
        <v>0</v>
      </c>
      <c r="AM10" s="42"/>
    </row>
    <row r="11" spans="1:41" x14ac:dyDescent="0.25">
      <c r="A11" t="s">
        <v>24</v>
      </c>
      <c r="B11" s="20">
        <v>45798</v>
      </c>
      <c r="C11" s="4">
        <v>45817</v>
      </c>
      <c r="D11" s="4" t="s">
        <v>1440</v>
      </c>
      <c r="E11" s="4">
        <v>45817</v>
      </c>
      <c r="F11" s="11">
        <f t="shared" si="0"/>
        <v>19</v>
      </c>
      <c r="G11" s="11" t="str">
        <f t="shared" si="3"/>
        <v>Does not Meet Target</v>
      </c>
      <c r="H11" t="s">
        <v>648</v>
      </c>
      <c r="I11" t="s">
        <v>655</v>
      </c>
      <c r="J11" t="s">
        <v>670</v>
      </c>
      <c r="K11" t="s">
        <v>703</v>
      </c>
      <c r="L11" t="s">
        <v>708</v>
      </c>
      <c r="M11" t="s">
        <v>720</v>
      </c>
      <c r="N11" t="s">
        <v>727</v>
      </c>
      <c r="O11" t="str" cm="1">
        <f t="array" ref="O11">_xlfn.IFS(S11&lt;=_xlfn.PERCENTILE.INC(IF(N11:N641=N11, S11:S641), 0.33), "Low", S11&lt;=_xlfn.PERCENTILE.INC(IF(N11:N641=N11, S11:S641), 0.66), "Medium", S11 &gt; _xlfn.PERCENTILE.INC(IF(N11:N641=N11, S11:S641), 0.66), "High")</f>
        <v>High</v>
      </c>
      <c r="P11" t="s">
        <v>743</v>
      </c>
      <c r="Q11" s="6">
        <v>1331.38</v>
      </c>
      <c r="R11" s="6">
        <v>2309.56</v>
      </c>
      <c r="S11" s="6">
        <v>2309.56</v>
      </c>
      <c r="T11" s="9">
        <v>0.14899999999999999</v>
      </c>
      <c r="U11" s="9">
        <f>IF(T11&gt;0.3, $AO$4, T11)</f>
        <v>0.14899999999999999</v>
      </c>
      <c r="V11" s="7" t="str">
        <f t="shared" si="4"/>
        <v>Less than 20%</v>
      </c>
      <c r="W11" s="11">
        <v>31</v>
      </c>
      <c r="X11" s="6">
        <f t="shared" si="1"/>
        <v>60928.502359999999</v>
      </c>
      <c r="Y11" s="6">
        <f t="shared" si="2"/>
        <v>41272.780000000006</v>
      </c>
      <c r="Z11" s="6">
        <f t="shared" si="5"/>
        <v>19655.722359999992</v>
      </c>
      <c r="AA11" s="9">
        <f t="shared" si="6"/>
        <v>0.32260307735553528</v>
      </c>
      <c r="AB11" s="9">
        <f>IF(U11&gt;'What-If Analysis'!$F$16, 'What-If Analysis'!$F$16,T11)</f>
        <v>0.14899999999999999</v>
      </c>
      <c r="AC11" s="42">
        <f>S11*(1-AB11)</f>
        <v>1965.4355599999999</v>
      </c>
      <c r="AD11" s="42">
        <f>Q11*(1+'What-If Analysis'!F26)</f>
        <v>1331.38</v>
      </c>
      <c r="AE11" s="41">
        <f>W11*(1+'What-If Analysis'!$F$18)</f>
        <v>36.269999999999996</v>
      </c>
      <c r="AF11" s="42">
        <f t="shared" si="7"/>
        <v>71286.347761199984</v>
      </c>
      <c r="AG11" s="42">
        <f t="shared" si="8"/>
        <v>48289.152600000001</v>
      </c>
      <c r="AH11" s="42">
        <f t="shared" si="9"/>
        <v>22997.195161199983</v>
      </c>
      <c r="AI11" s="44">
        <f t="shared" si="10"/>
        <v>0.32260307735553523</v>
      </c>
      <c r="AJ11" s="42">
        <f t="shared" si="11"/>
        <v>10357.845401199986</v>
      </c>
      <c r="AK11" s="42">
        <f t="shared" si="12"/>
        <v>19655.722359999992</v>
      </c>
      <c r="AL11" s="9">
        <f t="shared" si="13"/>
        <v>0</v>
      </c>
      <c r="AM11" s="42"/>
    </row>
    <row r="12" spans="1:41" x14ac:dyDescent="0.25">
      <c r="A12" t="s">
        <v>25</v>
      </c>
      <c r="B12" s="20">
        <v>45319</v>
      </c>
      <c r="C12" s="4">
        <v>45331</v>
      </c>
      <c r="D12" s="4" t="s">
        <v>1434</v>
      </c>
      <c r="E12" s="4">
        <v>45331</v>
      </c>
      <c r="F12" s="11">
        <f t="shared" si="0"/>
        <v>12</v>
      </c>
      <c r="G12" s="11" t="str">
        <f t="shared" si="3"/>
        <v>Does not Meet Target</v>
      </c>
      <c r="H12" t="s">
        <v>649</v>
      </c>
      <c r="I12" t="s">
        <v>656</v>
      </c>
      <c r="J12" t="s">
        <v>671</v>
      </c>
      <c r="K12" t="s">
        <v>701</v>
      </c>
      <c r="L12" t="s">
        <v>708</v>
      </c>
      <c r="M12" t="s">
        <v>715</v>
      </c>
      <c r="N12" t="s">
        <v>733</v>
      </c>
      <c r="O12" t="str" cm="1">
        <f t="array" ref="O12">_xlfn.IFS(S12&lt;=_xlfn.PERCENTILE.INC(IF(N12:N642=N12, S12:S642), 0.33), "Low", S12&lt;=_xlfn.PERCENTILE.INC(IF(N12:N642=N12, S12:S642), 0.66), "Medium", S12 &gt; _xlfn.PERCENTILE.INC(IF(N12:N642=N12, S12:S642), 0.66), "High")</f>
        <v>Low</v>
      </c>
      <c r="P12" t="s">
        <v>744</v>
      </c>
      <c r="Q12" s="6">
        <v>644.16999999999996</v>
      </c>
      <c r="R12" s="6">
        <v>700.12</v>
      </c>
      <c r="S12" s="6">
        <v>700.12</v>
      </c>
      <c r="T12" s="9">
        <v>6.0000000000000001E-3</v>
      </c>
      <c r="U12" s="9">
        <f>IF(T12&gt;0.3, $AO$4, T12)</f>
        <v>6.0000000000000001E-3</v>
      </c>
      <c r="V12" s="7" t="str">
        <f t="shared" si="4"/>
        <v>Less than 20%</v>
      </c>
      <c r="W12" s="11">
        <v>23</v>
      </c>
      <c r="X12" s="6">
        <f t="shared" si="1"/>
        <v>16006.14344</v>
      </c>
      <c r="Y12" s="6">
        <f t="shared" si="2"/>
        <v>14815.91</v>
      </c>
      <c r="Z12" s="6">
        <f t="shared" si="5"/>
        <v>1190.23344</v>
      </c>
      <c r="AA12" s="9">
        <f t="shared" si="6"/>
        <v>7.436103796405813E-2</v>
      </c>
      <c r="AB12" s="9">
        <f>IF(U12&gt;'What-If Analysis'!$F$16, 'What-If Analysis'!$F$16,T12)</f>
        <v>6.0000000000000001E-3</v>
      </c>
      <c r="AC12" s="42">
        <f>S12*(1-AB12)</f>
        <v>695.91927999999996</v>
      </c>
      <c r="AD12" s="42">
        <f>Q12*(1+'What-If Analysis'!F27)</f>
        <v>644.16999999999996</v>
      </c>
      <c r="AE12" s="41">
        <f>W12*(1+'What-If Analysis'!$F$18)</f>
        <v>26.909999999999997</v>
      </c>
      <c r="AF12" s="42">
        <f t="shared" si="7"/>
        <v>18727.187824799996</v>
      </c>
      <c r="AG12" s="42">
        <f t="shared" si="8"/>
        <v>17334.614699999998</v>
      </c>
      <c r="AH12" s="42">
        <f t="shared" si="9"/>
        <v>1392.5731247999975</v>
      </c>
      <c r="AI12" s="44">
        <f t="shared" si="10"/>
        <v>7.4361037964058005E-2</v>
      </c>
      <c r="AJ12" s="42">
        <f t="shared" si="11"/>
        <v>2721.0443847999959</v>
      </c>
      <c r="AK12" s="42">
        <f t="shared" si="12"/>
        <v>1190.23344</v>
      </c>
      <c r="AL12" s="9">
        <f t="shared" si="13"/>
        <v>-1.2490009027033011E-16</v>
      </c>
      <c r="AM12" s="42"/>
    </row>
    <row r="13" spans="1:41" x14ac:dyDescent="0.25">
      <c r="A13" t="s">
        <v>26</v>
      </c>
      <c r="B13" s="20">
        <v>45660</v>
      </c>
      <c r="C13" s="4">
        <v>45680</v>
      </c>
      <c r="D13" s="4" t="s">
        <v>1437</v>
      </c>
      <c r="E13" s="4">
        <v>45680</v>
      </c>
      <c r="F13" s="11">
        <f t="shared" si="0"/>
        <v>20</v>
      </c>
      <c r="G13" s="11" t="str">
        <f t="shared" si="3"/>
        <v>Does not Meet Target</v>
      </c>
      <c r="H13" t="s">
        <v>647</v>
      </c>
      <c r="I13" t="s">
        <v>652</v>
      </c>
      <c r="J13" t="s">
        <v>666</v>
      </c>
      <c r="K13" t="s">
        <v>701</v>
      </c>
      <c r="L13" t="s">
        <v>710</v>
      </c>
      <c r="M13" t="s">
        <v>721</v>
      </c>
      <c r="N13" t="s">
        <v>730</v>
      </c>
      <c r="O13" t="str" cm="1">
        <f t="array" ref="O13">_xlfn.IFS(S13&lt;=_xlfn.PERCENTILE.INC(IF(N13:N643=N13, S13:S643), 0.33), "Low", S13&lt;=_xlfn.PERCENTILE.INC(IF(N13:N643=N13, S13:S643), 0.66), "Medium", S13 &gt; _xlfn.PERCENTILE.INC(IF(N13:N643=N13, S13:S643), 0.66), "High")</f>
        <v>Low</v>
      </c>
      <c r="P13" t="s">
        <v>745</v>
      </c>
      <c r="Q13" s="6">
        <v>908.6</v>
      </c>
      <c r="R13" s="6">
        <v>691.37</v>
      </c>
      <c r="S13" s="6">
        <v>691.37</v>
      </c>
      <c r="T13" s="9">
        <v>0.25</v>
      </c>
      <c r="U13" s="9">
        <f>IF(T13&gt;0.3, $AO$4, T13)</f>
        <v>0.25</v>
      </c>
      <c r="V13" s="7" t="str">
        <f t="shared" si="4"/>
        <v>Greater than 20%</v>
      </c>
      <c r="W13" s="11">
        <v>20</v>
      </c>
      <c r="X13" s="6">
        <f t="shared" si="1"/>
        <v>10370.549999999999</v>
      </c>
      <c r="Y13" s="6">
        <f t="shared" si="2"/>
        <v>18172</v>
      </c>
      <c r="Z13" s="6">
        <f t="shared" si="5"/>
        <v>-7801.4500000000007</v>
      </c>
      <c r="AA13" s="9">
        <f t="shared" si="6"/>
        <v>-0.75226964818645115</v>
      </c>
      <c r="AB13" s="9">
        <f>IF(U13&gt;'What-If Analysis'!$F$16, 'What-If Analysis'!$F$16,T13)</f>
        <v>0.17</v>
      </c>
      <c r="AC13" s="42">
        <f>S13*(1-AB13)</f>
        <v>573.83709999999996</v>
      </c>
      <c r="AD13" s="42">
        <f>Q13*(1+'What-If Analysis'!F28)</f>
        <v>908.6</v>
      </c>
      <c r="AE13" s="41">
        <f>W13*(1+'What-If Analysis'!$F$18)</f>
        <v>23.4</v>
      </c>
      <c r="AF13" s="42">
        <f t="shared" si="7"/>
        <v>13427.788139999999</v>
      </c>
      <c r="AG13" s="42">
        <f t="shared" si="8"/>
        <v>21261.239999999998</v>
      </c>
      <c r="AH13" s="42">
        <f t="shared" si="9"/>
        <v>-7833.4518599999992</v>
      </c>
      <c r="AI13" s="44">
        <f t="shared" si="10"/>
        <v>-0.58337618812028713</v>
      </c>
      <c r="AJ13" s="42">
        <f t="shared" si="11"/>
        <v>3057.2381399999995</v>
      </c>
      <c r="AK13" s="42">
        <f t="shared" si="12"/>
        <v>-7801.4500000000007</v>
      </c>
      <c r="AL13" s="9">
        <f t="shared" si="13"/>
        <v>0.16889346006616401</v>
      </c>
      <c r="AM13" s="42"/>
    </row>
    <row r="14" spans="1:41" x14ac:dyDescent="0.25">
      <c r="A14" t="s">
        <v>27</v>
      </c>
      <c r="B14" s="20">
        <v>45722</v>
      </c>
      <c r="C14" s="4">
        <v>45747</v>
      </c>
      <c r="D14" s="4" t="s">
        <v>1437</v>
      </c>
      <c r="E14" s="4">
        <v>45747</v>
      </c>
      <c r="F14" s="11">
        <f t="shared" si="0"/>
        <v>25</v>
      </c>
      <c r="G14" s="11" t="str">
        <f t="shared" si="3"/>
        <v>Does not Meet Target</v>
      </c>
      <c r="H14" t="s">
        <v>648</v>
      </c>
      <c r="I14" t="s">
        <v>655</v>
      </c>
      <c r="J14" t="s">
        <v>672</v>
      </c>
      <c r="K14" t="s">
        <v>703</v>
      </c>
      <c r="L14" t="s">
        <v>708</v>
      </c>
      <c r="M14" t="s">
        <v>713</v>
      </c>
      <c r="N14" t="s">
        <v>727</v>
      </c>
      <c r="O14" t="str" cm="1">
        <f t="array" ref="O14">_xlfn.IFS(S14&lt;=_xlfn.PERCENTILE.INC(IF(N14:N644=N14, S14:S644), 0.33), "Low", S14&lt;=_xlfn.PERCENTILE.INC(IF(N14:N644=N14, S14:S644), 0.66), "Medium", S14 &gt; _xlfn.PERCENTILE.INC(IF(N14:N644=N14, S14:S644), 0.66), "High")</f>
        <v>Low</v>
      </c>
      <c r="P14" t="s">
        <v>746</v>
      </c>
      <c r="Q14" s="6">
        <v>331.57</v>
      </c>
      <c r="R14" s="6">
        <v>548.4</v>
      </c>
      <c r="S14" s="6">
        <v>548.4</v>
      </c>
      <c r="T14" s="9">
        <v>9.4E-2</v>
      </c>
      <c r="U14" s="9">
        <f>IF(T14&gt;0.3, $AO$4, T14)</f>
        <v>9.4E-2</v>
      </c>
      <c r="V14" s="7" t="str">
        <f t="shared" si="4"/>
        <v>Less than 20%</v>
      </c>
      <c r="W14" s="11">
        <v>10</v>
      </c>
      <c r="X14" s="6">
        <f t="shared" si="1"/>
        <v>4968.5039999999999</v>
      </c>
      <c r="Y14" s="6">
        <f t="shared" si="2"/>
        <v>3315.7</v>
      </c>
      <c r="Z14" s="6">
        <f t="shared" si="5"/>
        <v>1652.8040000000001</v>
      </c>
      <c r="AA14" s="9">
        <f t="shared" si="6"/>
        <v>0.33265626836568918</v>
      </c>
      <c r="AB14" s="9">
        <f>IF(U14&gt;'What-If Analysis'!$F$16, 'What-If Analysis'!$F$16,T14)</f>
        <v>9.4E-2</v>
      </c>
      <c r="AC14" s="42">
        <f>S14*(1-AB14)</f>
        <v>496.85039999999998</v>
      </c>
      <c r="AD14" s="42">
        <f>Q14*(1+'What-If Analysis'!F29)</f>
        <v>331.57</v>
      </c>
      <c r="AE14" s="41">
        <f>W14*(1+'What-If Analysis'!$F$18)</f>
        <v>11.7</v>
      </c>
      <c r="AF14" s="42">
        <f t="shared" si="7"/>
        <v>5813.1496799999995</v>
      </c>
      <c r="AG14" s="42">
        <f t="shared" si="8"/>
        <v>3879.3689999999997</v>
      </c>
      <c r="AH14" s="42">
        <f t="shared" si="9"/>
        <v>1933.7806799999998</v>
      </c>
      <c r="AI14" s="44">
        <f t="shared" si="10"/>
        <v>0.33265626836568912</v>
      </c>
      <c r="AJ14" s="42">
        <f t="shared" si="11"/>
        <v>844.64567999999963</v>
      </c>
      <c r="AK14" s="42">
        <f t="shared" si="12"/>
        <v>1652.8040000000001</v>
      </c>
      <c r="AL14" s="9">
        <f t="shared" si="13"/>
        <v>0</v>
      </c>
      <c r="AM14" s="42"/>
    </row>
    <row r="15" spans="1:41" x14ac:dyDescent="0.25">
      <c r="A15" t="s">
        <v>28</v>
      </c>
      <c r="B15" s="20">
        <v>45311</v>
      </c>
      <c r="C15" s="4">
        <v>45335</v>
      </c>
      <c r="D15" s="4" t="s">
        <v>1434</v>
      </c>
      <c r="E15" s="4">
        <v>45335</v>
      </c>
      <c r="F15" s="11">
        <f t="shared" si="0"/>
        <v>24</v>
      </c>
      <c r="G15" s="11" t="str">
        <f t="shared" si="3"/>
        <v>Does not Meet Target</v>
      </c>
      <c r="H15" t="s">
        <v>649</v>
      </c>
      <c r="I15" t="s">
        <v>657</v>
      </c>
      <c r="J15" t="s">
        <v>673</v>
      </c>
      <c r="K15" t="s">
        <v>701</v>
      </c>
      <c r="L15" t="s">
        <v>707</v>
      </c>
      <c r="M15" t="s">
        <v>722</v>
      </c>
      <c r="N15" t="s">
        <v>728</v>
      </c>
      <c r="O15" t="str" cm="1">
        <f t="array" ref="O15">_xlfn.IFS(S15&lt;=_xlfn.PERCENTILE.INC(IF(N15:N645=N15, S15:S645), 0.33), "Low", S15&lt;=_xlfn.PERCENTILE.INC(IF(N15:N645=N15, S15:S645), 0.66), "Medium", S15 &gt; _xlfn.PERCENTILE.INC(IF(N15:N645=N15, S15:S645), 0.66), "High")</f>
        <v>High</v>
      </c>
      <c r="P15" t="s">
        <v>747</v>
      </c>
      <c r="Q15" s="6">
        <v>643.53</v>
      </c>
      <c r="R15" s="6">
        <v>1439.01</v>
      </c>
      <c r="S15" s="6">
        <v>1439.01</v>
      </c>
      <c r="T15" s="9">
        <v>0</v>
      </c>
      <c r="U15" s="9">
        <f>IF(T15&gt;0.3, $AO$4, T15)</f>
        <v>0</v>
      </c>
      <c r="V15" s="7" t="str">
        <f t="shared" si="4"/>
        <v>Less than 20%</v>
      </c>
      <c r="W15" s="11">
        <v>15</v>
      </c>
      <c r="X15" s="6">
        <f t="shared" si="1"/>
        <v>21585.15</v>
      </c>
      <c r="Y15" s="6">
        <f t="shared" si="2"/>
        <v>9652.9499999999989</v>
      </c>
      <c r="Z15" s="6">
        <f t="shared" si="5"/>
        <v>11932.200000000003</v>
      </c>
      <c r="AA15" s="9">
        <f t="shared" si="6"/>
        <v>0.55279671440782208</v>
      </c>
      <c r="AB15" s="9">
        <f>IF(U15&gt;'What-If Analysis'!$F$16, 'What-If Analysis'!$F$16,T15)</f>
        <v>0</v>
      </c>
      <c r="AC15" s="42">
        <f>S15*(1-AB15)</f>
        <v>1439.01</v>
      </c>
      <c r="AD15" s="42">
        <f>Q15*(1+'What-If Analysis'!F30)</f>
        <v>643.53</v>
      </c>
      <c r="AE15" s="41">
        <f>W15*(1+'What-If Analysis'!$F$18)</f>
        <v>17.549999999999997</v>
      </c>
      <c r="AF15" s="42">
        <f t="shared" si="7"/>
        <v>25254.625499999995</v>
      </c>
      <c r="AG15" s="42">
        <f t="shared" si="8"/>
        <v>11293.951499999997</v>
      </c>
      <c r="AH15" s="42">
        <f t="shared" si="9"/>
        <v>13960.673999999997</v>
      </c>
      <c r="AI15" s="44">
        <f t="shared" si="10"/>
        <v>0.55279671440782208</v>
      </c>
      <c r="AJ15" s="42">
        <f t="shared" si="11"/>
        <v>3669.4754999999932</v>
      </c>
      <c r="AK15" s="42">
        <f t="shared" si="12"/>
        <v>11932.200000000003</v>
      </c>
      <c r="AL15" s="9">
        <f t="shared" si="13"/>
        <v>0</v>
      </c>
      <c r="AM15" s="42"/>
    </row>
    <row r="16" spans="1:41" x14ac:dyDescent="0.25">
      <c r="A16" t="s">
        <v>29</v>
      </c>
      <c r="B16" s="20">
        <v>45901</v>
      </c>
      <c r="C16" s="4">
        <v>45930</v>
      </c>
      <c r="D16" s="4" t="s">
        <v>1441</v>
      </c>
      <c r="E16" s="4">
        <v>45930</v>
      </c>
      <c r="F16" s="11">
        <f t="shared" si="0"/>
        <v>29</v>
      </c>
      <c r="G16" s="11" t="str">
        <f t="shared" si="3"/>
        <v>Does not Meet Target</v>
      </c>
      <c r="H16" t="s">
        <v>648</v>
      </c>
      <c r="I16" t="s">
        <v>655</v>
      </c>
      <c r="J16" t="s">
        <v>672</v>
      </c>
      <c r="K16" t="s">
        <v>702</v>
      </c>
      <c r="L16" t="s">
        <v>707</v>
      </c>
      <c r="M16" t="s">
        <v>723</v>
      </c>
      <c r="N16" t="s">
        <v>733</v>
      </c>
      <c r="O16" t="str" cm="1">
        <f t="array" ref="O16">_xlfn.IFS(S16&lt;=_xlfn.PERCENTILE.INC(IF(N16:N646=N16, S16:S646), 0.33), "Low", S16&lt;=_xlfn.PERCENTILE.INC(IF(N16:N646=N16, S16:S646), 0.66), "Medium", S16 &gt; _xlfn.PERCENTILE.INC(IF(N16:N646=N16, S16:S646), 0.66), "High")</f>
        <v>Low</v>
      </c>
      <c r="P16" t="s">
        <v>748</v>
      </c>
      <c r="Q16" s="6">
        <v>780.59</v>
      </c>
      <c r="R16" s="6">
        <v>631.57000000000005</v>
      </c>
      <c r="S16" s="6">
        <v>631.57000000000005</v>
      </c>
      <c r="T16" s="9">
        <v>0</v>
      </c>
      <c r="U16" s="9">
        <f>IF(T16&gt;0.3, $AO$4, T16)</f>
        <v>0</v>
      </c>
      <c r="V16" s="7" t="str">
        <f t="shared" si="4"/>
        <v>Less than 20%</v>
      </c>
      <c r="W16" s="11">
        <v>12</v>
      </c>
      <c r="X16" s="6">
        <f t="shared" si="1"/>
        <v>7578.84</v>
      </c>
      <c r="Y16" s="6">
        <f t="shared" si="2"/>
        <v>9367.08</v>
      </c>
      <c r="Z16" s="6">
        <f t="shared" si="5"/>
        <v>-1788.2399999999998</v>
      </c>
      <c r="AA16" s="9">
        <f t="shared" si="6"/>
        <v>-0.23595167598207639</v>
      </c>
      <c r="AB16" s="9">
        <f>IF(U16&gt;'What-If Analysis'!$F$16, 'What-If Analysis'!$F$16,T16)</f>
        <v>0</v>
      </c>
      <c r="AC16" s="42">
        <f>S16*(1-AB16)</f>
        <v>631.57000000000005</v>
      </c>
      <c r="AD16" s="42">
        <f>Q16*(1+'What-If Analysis'!F31)</f>
        <v>780.59</v>
      </c>
      <c r="AE16" s="41">
        <f>W16*(1+'What-If Analysis'!$F$18)</f>
        <v>14.04</v>
      </c>
      <c r="AF16" s="42">
        <f t="shared" si="7"/>
        <v>8867.2428</v>
      </c>
      <c r="AG16" s="42">
        <f t="shared" si="8"/>
        <v>10959.4836</v>
      </c>
      <c r="AH16" s="42">
        <f t="shared" si="9"/>
        <v>-2092.2407999999996</v>
      </c>
      <c r="AI16" s="44">
        <f t="shared" si="10"/>
        <v>-0.23595167598207636</v>
      </c>
      <c r="AJ16" s="42">
        <f t="shared" si="11"/>
        <v>1288.4027999999998</v>
      </c>
      <c r="AK16" s="42">
        <f t="shared" si="12"/>
        <v>-1788.2399999999998</v>
      </c>
      <c r="AL16" s="9">
        <f t="shared" si="13"/>
        <v>0</v>
      </c>
      <c r="AM16" s="42"/>
    </row>
    <row r="17" spans="1:39" x14ac:dyDescent="0.25">
      <c r="A17" t="s">
        <v>30</v>
      </c>
      <c r="B17" s="20">
        <v>45039</v>
      </c>
      <c r="C17" s="4">
        <v>45038</v>
      </c>
      <c r="D17" s="4" t="s">
        <v>1442</v>
      </c>
      <c r="E17" s="4">
        <v>45058</v>
      </c>
      <c r="F17" s="11">
        <f t="shared" si="0"/>
        <v>19</v>
      </c>
      <c r="G17" s="11" t="str">
        <f t="shared" si="3"/>
        <v>Does not Meet Target</v>
      </c>
      <c r="H17" t="s">
        <v>646</v>
      </c>
      <c r="I17" t="s">
        <v>650</v>
      </c>
      <c r="J17" t="s">
        <v>664</v>
      </c>
      <c r="K17" t="s">
        <v>705</v>
      </c>
      <c r="L17" t="s">
        <v>711</v>
      </c>
      <c r="M17" t="s">
        <v>718</v>
      </c>
      <c r="N17" t="s">
        <v>731</v>
      </c>
      <c r="O17" t="str" cm="1">
        <f t="array" ref="O17">_xlfn.IFS(S17&lt;=_xlfn.PERCENTILE.INC(IF(N17:N647=N17, S17:S647), 0.33), "Low", S17&lt;=_xlfn.PERCENTILE.INC(IF(N17:N647=N17, S17:S647), 0.66), "Medium", S17 &gt; _xlfn.PERCENTILE.INC(IF(N17:N647=N17, S17:S647), 0.66), "High")</f>
        <v>Low</v>
      </c>
      <c r="P17" t="s">
        <v>749</v>
      </c>
      <c r="Q17" s="6">
        <v>756.51</v>
      </c>
      <c r="R17" s="6">
        <v>850.8</v>
      </c>
      <c r="S17" s="6">
        <v>850.8</v>
      </c>
      <c r="T17" s="9">
        <v>7.3999999999999996E-2</v>
      </c>
      <c r="U17" s="9">
        <f>IF(T17&gt;0.3, $AO$4, T17)</f>
        <v>7.3999999999999996E-2</v>
      </c>
      <c r="V17" s="7" t="str">
        <f t="shared" si="4"/>
        <v>Less than 20%</v>
      </c>
      <c r="W17" s="11">
        <v>9</v>
      </c>
      <c r="X17" s="6">
        <f t="shared" si="1"/>
        <v>7090.5672000000004</v>
      </c>
      <c r="Y17" s="6">
        <f t="shared" si="2"/>
        <v>6808.59</v>
      </c>
      <c r="Z17" s="6">
        <f t="shared" si="5"/>
        <v>281.97720000000027</v>
      </c>
      <c r="AA17" s="9">
        <f t="shared" si="6"/>
        <v>3.9767932810791252E-2</v>
      </c>
      <c r="AB17" s="9">
        <f>IF(U17&gt;'What-If Analysis'!$F$16, 'What-If Analysis'!$F$16,T17)</f>
        <v>7.3999999999999996E-2</v>
      </c>
      <c r="AC17" s="42">
        <f>S17*(1-AB17)</f>
        <v>787.84079999999994</v>
      </c>
      <c r="AD17" s="42">
        <f>Q17*(1+'What-If Analysis'!F32)</f>
        <v>756.51</v>
      </c>
      <c r="AE17" s="41">
        <f>W17*(1+'What-If Analysis'!$F$18)</f>
        <v>10.53</v>
      </c>
      <c r="AF17" s="42">
        <f t="shared" si="7"/>
        <v>8295.9636239999982</v>
      </c>
      <c r="AG17" s="42">
        <f t="shared" si="8"/>
        <v>7966.050299999999</v>
      </c>
      <c r="AH17" s="42">
        <f t="shared" si="9"/>
        <v>329.91332399999919</v>
      </c>
      <c r="AI17" s="44">
        <f t="shared" si="10"/>
        <v>3.9767932810791128E-2</v>
      </c>
      <c r="AJ17" s="42">
        <f t="shared" si="11"/>
        <v>1205.3964239999978</v>
      </c>
      <c r="AK17" s="42">
        <f t="shared" si="12"/>
        <v>281.97720000000027</v>
      </c>
      <c r="AL17" s="9">
        <f t="shared" si="13"/>
        <v>-1.2490009027033011E-16</v>
      </c>
      <c r="AM17" s="42"/>
    </row>
    <row r="18" spans="1:39" x14ac:dyDescent="0.25">
      <c r="A18" t="s">
        <v>31</v>
      </c>
      <c r="B18" s="20">
        <v>45636</v>
      </c>
      <c r="C18" s="4">
        <v>45665</v>
      </c>
      <c r="D18" s="4" t="s">
        <v>1435</v>
      </c>
      <c r="E18" s="4">
        <v>45665</v>
      </c>
      <c r="F18" s="11">
        <f t="shared" si="0"/>
        <v>29</v>
      </c>
      <c r="G18" s="11" t="str">
        <f t="shared" si="3"/>
        <v>Does not Meet Target</v>
      </c>
      <c r="H18" t="s">
        <v>649</v>
      </c>
      <c r="I18" t="s">
        <v>657</v>
      </c>
      <c r="J18" t="s">
        <v>673</v>
      </c>
      <c r="K18" t="s">
        <v>705</v>
      </c>
      <c r="L18" t="s">
        <v>707</v>
      </c>
      <c r="M18" t="s">
        <v>723</v>
      </c>
      <c r="N18" t="s">
        <v>728</v>
      </c>
      <c r="O18" t="str" cm="1">
        <f t="array" ref="O18">_xlfn.IFS(S18&lt;=_xlfn.PERCENTILE.INC(IF(N18:N648=N18, S18:S648), 0.33), "Low", S18&lt;=_xlfn.PERCENTILE.INC(IF(N18:N648=N18, S18:S648), 0.66), "Medium", S18 &gt; _xlfn.PERCENTILE.INC(IF(N18:N648=N18, S18:S648), 0.66), "High")</f>
        <v>Medium</v>
      </c>
      <c r="P18" t="s">
        <v>750</v>
      </c>
      <c r="Q18" s="6">
        <v>891.08</v>
      </c>
      <c r="R18" s="6">
        <v>1040.0999999999999</v>
      </c>
      <c r="S18" s="6">
        <v>1040.0999999999999</v>
      </c>
      <c r="T18" s="9">
        <v>0.109</v>
      </c>
      <c r="U18" s="9">
        <f>IF(T18&gt;0.3, $AO$4, T18)</f>
        <v>0.109</v>
      </c>
      <c r="V18" s="7" t="str">
        <f t="shared" si="4"/>
        <v>Less than 20%</v>
      </c>
      <c r="W18" s="11">
        <v>28</v>
      </c>
      <c r="X18" s="6">
        <f t="shared" si="1"/>
        <v>25948.414799999995</v>
      </c>
      <c r="Y18" s="6">
        <f t="shared" si="2"/>
        <v>24950.240000000002</v>
      </c>
      <c r="Z18" s="6">
        <f t="shared" si="5"/>
        <v>998.17479999999341</v>
      </c>
      <c r="AA18" s="9">
        <f t="shared" si="6"/>
        <v>3.8467660074556598E-2</v>
      </c>
      <c r="AB18" s="9">
        <f>IF(U18&gt;'What-If Analysis'!$F$16, 'What-If Analysis'!$F$16,T18)</f>
        <v>0.109</v>
      </c>
      <c r="AC18" s="42">
        <f>S18*(1-AB18)</f>
        <v>926.7290999999999</v>
      </c>
      <c r="AD18" s="42">
        <f>Q18*(1+'What-If Analysis'!F33)</f>
        <v>891.08</v>
      </c>
      <c r="AE18" s="41">
        <f>W18*(1+'What-If Analysis'!$F$18)</f>
        <v>32.76</v>
      </c>
      <c r="AF18" s="42">
        <f t="shared" si="7"/>
        <v>30359.645315999995</v>
      </c>
      <c r="AG18" s="42">
        <f t="shared" si="8"/>
        <v>29191.7808</v>
      </c>
      <c r="AH18" s="42">
        <f t="shared" si="9"/>
        <v>1167.8645159999942</v>
      </c>
      <c r="AI18" s="44">
        <f t="shared" si="10"/>
        <v>3.846766007455666E-2</v>
      </c>
      <c r="AJ18" s="42">
        <f t="shared" si="11"/>
        <v>4411.2305159999996</v>
      </c>
      <c r="AK18" s="42">
        <f t="shared" si="12"/>
        <v>998.17479999999341</v>
      </c>
      <c r="AL18" s="9">
        <f t="shared" si="13"/>
        <v>6.2450045135165055E-17</v>
      </c>
      <c r="AM18" s="42"/>
    </row>
    <row r="19" spans="1:39" x14ac:dyDescent="0.25">
      <c r="A19" t="s">
        <v>32</v>
      </c>
      <c r="B19" s="20">
        <v>45908</v>
      </c>
      <c r="C19" s="4">
        <v>45916</v>
      </c>
      <c r="D19" s="4" t="s">
        <v>1441</v>
      </c>
      <c r="E19" s="4">
        <v>45916</v>
      </c>
      <c r="F19" s="11">
        <f t="shared" si="0"/>
        <v>8</v>
      </c>
      <c r="G19" s="11" t="str">
        <f t="shared" si="3"/>
        <v>Does not Meet Target</v>
      </c>
      <c r="H19" t="s">
        <v>647</v>
      </c>
      <c r="I19" t="s">
        <v>652</v>
      </c>
      <c r="J19" t="s">
        <v>666</v>
      </c>
      <c r="K19" t="s">
        <v>701</v>
      </c>
      <c r="L19" t="s">
        <v>710</v>
      </c>
      <c r="M19" t="s">
        <v>712</v>
      </c>
      <c r="N19" t="s">
        <v>730</v>
      </c>
      <c r="O19" t="str" cm="1">
        <f t="array" ref="O19">_xlfn.IFS(S19&lt;=_xlfn.PERCENTILE.INC(IF(N19:N649=N19, S19:S649), 0.33), "Low", S19&lt;=_xlfn.PERCENTILE.INC(IF(N19:N649=N19, S19:S649), 0.66), "Medium", S19 &gt; _xlfn.PERCENTILE.INC(IF(N19:N649=N19, S19:S649), 0.66), "High")</f>
        <v>High</v>
      </c>
      <c r="P19" t="s">
        <v>751</v>
      </c>
      <c r="Q19" s="6">
        <v>1225.57</v>
      </c>
      <c r="R19" s="6">
        <v>2705.57</v>
      </c>
      <c r="S19" s="6">
        <v>2705.57</v>
      </c>
      <c r="T19" s="9">
        <v>0.183</v>
      </c>
      <c r="U19" s="9">
        <f>IF(T19&gt;0.3, $AO$4, T19)</f>
        <v>0.183</v>
      </c>
      <c r="V19" s="7" t="str">
        <f t="shared" si="4"/>
        <v>Less than 20%</v>
      </c>
      <c r="W19" s="11">
        <v>16</v>
      </c>
      <c r="X19" s="6">
        <f t="shared" si="1"/>
        <v>35367.211040000002</v>
      </c>
      <c r="Y19" s="6">
        <f t="shared" si="2"/>
        <v>19609.12</v>
      </c>
      <c r="Z19" s="6">
        <f t="shared" si="5"/>
        <v>15758.091040000003</v>
      </c>
      <c r="AA19" s="9">
        <f t="shared" si="6"/>
        <v>0.44555650775453404</v>
      </c>
      <c r="AB19" s="9">
        <f>IF(U19&gt;'What-If Analysis'!$F$16, 'What-If Analysis'!$F$16,T19)</f>
        <v>0.17</v>
      </c>
      <c r="AC19" s="42">
        <f>S19*(1-AB19)</f>
        <v>2245.6231000000002</v>
      </c>
      <c r="AD19" s="42">
        <f>Q19*(1+'What-If Analysis'!F34)</f>
        <v>1225.57</v>
      </c>
      <c r="AE19" s="41">
        <f>W19*(1+'What-If Analysis'!$F$18)</f>
        <v>18.72</v>
      </c>
      <c r="AF19" s="42">
        <f t="shared" si="7"/>
        <v>42038.064431999999</v>
      </c>
      <c r="AG19" s="42">
        <f t="shared" si="8"/>
        <v>22942.670399999999</v>
      </c>
      <c r="AH19" s="42">
        <f t="shared" si="9"/>
        <v>19095.394032</v>
      </c>
      <c r="AI19" s="44">
        <f t="shared" si="10"/>
        <v>0.45424056245235456</v>
      </c>
      <c r="AJ19" s="42">
        <f t="shared" si="11"/>
        <v>6670.8533919999973</v>
      </c>
      <c r="AK19" s="42">
        <f t="shared" si="12"/>
        <v>15758.091040000003</v>
      </c>
      <c r="AL19" s="9">
        <f t="shared" si="13"/>
        <v>8.6840546978205202E-3</v>
      </c>
      <c r="AM19" s="42"/>
    </row>
    <row r="20" spans="1:39" x14ac:dyDescent="0.25">
      <c r="A20" t="s">
        <v>33</v>
      </c>
      <c r="B20" s="20">
        <v>45858</v>
      </c>
      <c r="C20" s="4">
        <v>45874</v>
      </c>
      <c r="D20" s="4" t="s">
        <v>1441</v>
      </c>
      <c r="E20" s="4">
        <v>45874</v>
      </c>
      <c r="F20" s="11">
        <f t="shared" si="0"/>
        <v>16</v>
      </c>
      <c r="G20" s="11" t="str">
        <f t="shared" si="3"/>
        <v>Does not Meet Target</v>
      </c>
      <c r="H20" t="s">
        <v>648</v>
      </c>
      <c r="I20" t="s">
        <v>655</v>
      </c>
      <c r="J20" t="s">
        <v>672</v>
      </c>
      <c r="K20" t="s">
        <v>706</v>
      </c>
      <c r="L20" t="s">
        <v>709</v>
      </c>
      <c r="M20" t="s">
        <v>715</v>
      </c>
      <c r="N20" t="s">
        <v>733</v>
      </c>
      <c r="O20" t="str" cm="1">
        <f t="array" ref="O20">_xlfn.IFS(S20&lt;=_xlfn.PERCENTILE.INC(IF(N20:N650=N20, S20:S650), 0.33), "Low", S20&lt;=_xlfn.PERCENTILE.INC(IF(N20:N650=N20, S20:S650), 0.66), "Medium", S20 &gt; _xlfn.PERCENTILE.INC(IF(N20:N650=N20, S20:S650), 0.66), "High")</f>
        <v>High</v>
      </c>
      <c r="P20" t="s">
        <v>752</v>
      </c>
      <c r="Q20" s="6">
        <v>1068.17</v>
      </c>
      <c r="R20" s="6">
        <v>2375.37</v>
      </c>
      <c r="S20" s="6">
        <v>2375.37</v>
      </c>
      <c r="T20" s="9">
        <v>0.109</v>
      </c>
      <c r="U20" s="9">
        <f>IF(T20&gt;0.3, $AO$4, T20)</f>
        <v>0.109</v>
      </c>
      <c r="V20" s="7" t="str">
        <f t="shared" si="4"/>
        <v>Less than 20%</v>
      </c>
      <c r="W20" s="11">
        <v>18</v>
      </c>
      <c r="X20" s="6">
        <f t="shared" si="1"/>
        <v>38096.18406</v>
      </c>
      <c r="Y20" s="6">
        <f t="shared" si="2"/>
        <v>19227.060000000001</v>
      </c>
      <c r="Z20" s="6">
        <f t="shared" si="5"/>
        <v>18869.124059999998</v>
      </c>
      <c r="AA20" s="9">
        <f t="shared" si="6"/>
        <v>0.49530220744108822</v>
      </c>
      <c r="AB20" s="9">
        <f>IF(U20&gt;'What-If Analysis'!$F$16, 'What-If Analysis'!$F$16,T20)</f>
        <v>0.109</v>
      </c>
      <c r="AC20" s="42">
        <f>S20*(1-AB20)</f>
        <v>2116.4546700000001</v>
      </c>
      <c r="AD20" s="42">
        <f>Q20*(1+'What-If Analysis'!F35)</f>
        <v>1068.17</v>
      </c>
      <c r="AE20" s="41">
        <f>W20*(1+'What-If Analysis'!$F$18)</f>
        <v>21.06</v>
      </c>
      <c r="AF20" s="42">
        <f t="shared" si="7"/>
        <v>44572.5353502</v>
      </c>
      <c r="AG20" s="42">
        <f t="shared" si="8"/>
        <v>22495.660199999998</v>
      </c>
      <c r="AH20" s="42">
        <f t="shared" si="9"/>
        <v>22076.875150200001</v>
      </c>
      <c r="AI20" s="44">
        <f t="shared" si="10"/>
        <v>0.49530220744108827</v>
      </c>
      <c r="AJ20" s="42">
        <f t="shared" si="11"/>
        <v>6476.3512902000002</v>
      </c>
      <c r="AK20" s="42">
        <f t="shared" si="12"/>
        <v>18869.124059999998</v>
      </c>
      <c r="AL20" s="9">
        <f t="shared" si="13"/>
        <v>0</v>
      </c>
      <c r="AM20" s="42"/>
    </row>
    <row r="21" spans="1:39" x14ac:dyDescent="0.25">
      <c r="A21" t="s">
        <v>34</v>
      </c>
      <c r="B21" s="20">
        <v>45798</v>
      </c>
      <c r="C21" s="4">
        <v>45796</v>
      </c>
      <c r="D21" s="4" t="s">
        <v>1440</v>
      </c>
      <c r="E21" s="4">
        <v>45816</v>
      </c>
      <c r="F21" s="11">
        <f t="shared" si="0"/>
        <v>18</v>
      </c>
      <c r="G21" s="11" t="str">
        <f t="shared" si="3"/>
        <v>Does not Meet Target</v>
      </c>
      <c r="H21" t="s">
        <v>649</v>
      </c>
      <c r="I21" t="s">
        <v>658</v>
      </c>
      <c r="J21" t="s">
        <v>674</v>
      </c>
      <c r="K21" t="s">
        <v>706</v>
      </c>
      <c r="L21" t="s">
        <v>708</v>
      </c>
      <c r="M21" t="s">
        <v>724</v>
      </c>
      <c r="N21" t="s">
        <v>731</v>
      </c>
      <c r="O21" t="str" cm="1">
        <f t="array" ref="O21">_xlfn.IFS(S21&lt;=_xlfn.PERCENTILE.INC(IF(N21:N651=N21, S21:S651), 0.33), "Low", S21&lt;=_xlfn.PERCENTILE.INC(IF(N21:N651=N21, S21:S651), 0.66), "Medium", S21 &gt; _xlfn.PERCENTILE.INC(IF(N21:N651=N21, S21:S651), 0.66), "High")</f>
        <v>High</v>
      </c>
      <c r="P21" t="s">
        <v>753</v>
      </c>
      <c r="Q21" s="6">
        <v>1015.16</v>
      </c>
      <c r="R21" s="6">
        <v>2148.14</v>
      </c>
      <c r="S21" s="6">
        <v>2148.14</v>
      </c>
      <c r="T21" s="9">
        <v>3.7999999999999999E-2</v>
      </c>
      <c r="U21" s="9">
        <f>IF(T21&gt;0.3, $AO$4, T21)</f>
        <v>3.7999999999999999E-2</v>
      </c>
      <c r="V21" s="7" t="str">
        <f t="shared" si="4"/>
        <v>Less than 20%</v>
      </c>
      <c r="W21" s="11">
        <v>19</v>
      </c>
      <c r="X21" s="6">
        <f t="shared" si="1"/>
        <v>39263.702919999996</v>
      </c>
      <c r="Y21" s="6">
        <f t="shared" si="2"/>
        <v>19288.04</v>
      </c>
      <c r="Z21" s="6">
        <f t="shared" si="5"/>
        <v>19975.662919999995</v>
      </c>
      <c r="AA21" s="9">
        <f t="shared" si="6"/>
        <v>0.50875647059322227</v>
      </c>
      <c r="AB21" s="9">
        <f>IF(U21&gt;'What-If Analysis'!$F$16, 'What-If Analysis'!$F$16,T21)</f>
        <v>3.7999999999999999E-2</v>
      </c>
      <c r="AC21" s="42">
        <f>S21*(1-AB21)</f>
        <v>2066.5106799999999</v>
      </c>
      <c r="AD21" s="42">
        <f>Q21*(1+'What-If Analysis'!F36)</f>
        <v>1015.16</v>
      </c>
      <c r="AE21" s="41">
        <f>W21*(1+'What-If Analysis'!$F$18)</f>
        <v>22.229999999999997</v>
      </c>
      <c r="AF21" s="42">
        <f t="shared" si="7"/>
        <v>45938.53241639999</v>
      </c>
      <c r="AG21" s="42">
        <f t="shared" si="8"/>
        <v>22567.006799999996</v>
      </c>
      <c r="AH21" s="42">
        <f t="shared" si="9"/>
        <v>23371.525616399995</v>
      </c>
      <c r="AI21" s="44">
        <f t="shared" si="10"/>
        <v>0.50875647059322238</v>
      </c>
      <c r="AJ21" s="42">
        <f t="shared" si="11"/>
        <v>6674.8294963999942</v>
      </c>
      <c r="AK21" s="42">
        <f t="shared" si="12"/>
        <v>19975.662919999995</v>
      </c>
      <c r="AL21" s="9">
        <f t="shared" si="13"/>
        <v>0</v>
      </c>
      <c r="AM21" s="42"/>
    </row>
    <row r="22" spans="1:39" x14ac:dyDescent="0.25">
      <c r="A22" t="s">
        <v>35</v>
      </c>
      <c r="B22" s="20">
        <v>45498</v>
      </c>
      <c r="C22" s="4">
        <v>45497</v>
      </c>
      <c r="D22" s="4" t="s">
        <v>1443</v>
      </c>
      <c r="E22" s="4">
        <v>45517</v>
      </c>
      <c r="F22" s="11">
        <f t="shared" si="0"/>
        <v>19</v>
      </c>
      <c r="G22" s="11" t="str">
        <f t="shared" si="3"/>
        <v>Does not Meet Target</v>
      </c>
      <c r="H22" t="s">
        <v>646</v>
      </c>
      <c r="I22" t="s">
        <v>650</v>
      </c>
      <c r="J22" t="s">
        <v>675</v>
      </c>
      <c r="K22" t="s">
        <v>703</v>
      </c>
      <c r="L22" t="s">
        <v>711</v>
      </c>
      <c r="M22" t="s">
        <v>713</v>
      </c>
      <c r="N22" t="s">
        <v>731</v>
      </c>
      <c r="O22" t="str" cm="1">
        <f t="array" ref="O22">_xlfn.IFS(S22&lt;=_xlfn.PERCENTILE.INC(IF(N22:N652=N22, S22:S652), 0.33), "Low", S22&lt;=_xlfn.PERCENTILE.INC(IF(N22:N652=N22, S22:S652), 0.66), "Medium", S22 &gt; _xlfn.PERCENTILE.INC(IF(N22:N652=N22, S22:S652), 0.66), "High")</f>
        <v>High</v>
      </c>
      <c r="P22" t="s">
        <v>754</v>
      </c>
      <c r="Q22" s="6">
        <v>1494.4</v>
      </c>
      <c r="R22" s="6">
        <v>3661.07</v>
      </c>
      <c r="S22" s="6">
        <v>3661.07</v>
      </c>
      <c r="T22" s="9">
        <v>7.1999999999999995E-2</v>
      </c>
      <c r="U22" s="9">
        <f>IF(T22&gt;0.3, $AO$4, T22)</f>
        <v>7.1999999999999995E-2</v>
      </c>
      <c r="V22" s="7" t="str">
        <f t="shared" si="4"/>
        <v>Less than 20%</v>
      </c>
      <c r="W22" s="11">
        <v>7</v>
      </c>
      <c r="X22" s="6">
        <f t="shared" si="1"/>
        <v>23782.310720000001</v>
      </c>
      <c r="Y22" s="6">
        <f t="shared" si="2"/>
        <v>10460.800000000001</v>
      </c>
      <c r="Z22" s="6">
        <f t="shared" si="5"/>
        <v>13321.51072</v>
      </c>
      <c r="AA22" s="9">
        <f t="shared" si="6"/>
        <v>0.56014366630897339</v>
      </c>
      <c r="AB22" s="9">
        <f>IF(U22&gt;'What-If Analysis'!$F$16, 'What-If Analysis'!$F$16,T22)</f>
        <v>7.1999999999999995E-2</v>
      </c>
      <c r="AC22" s="42">
        <f>S22*(1-AB22)</f>
        <v>3397.4729600000005</v>
      </c>
      <c r="AD22" s="42">
        <f>Q22*(1+'What-If Analysis'!F37)</f>
        <v>1494.4</v>
      </c>
      <c r="AE22" s="41">
        <f>W22*(1+'What-If Analysis'!$F$18)</f>
        <v>8.19</v>
      </c>
      <c r="AF22" s="42">
        <f t="shared" si="7"/>
        <v>27825.303542400001</v>
      </c>
      <c r="AG22" s="42">
        <f t="shared" si="8"/>
        <v>12239.136</v>
      </c>
      <c r="AH22" s="42">
        <f t="shared" si="9"/>
        <v>15586.1675424</v>
      </c>
      <c r="AI22" s="44">
        <f t="shared" si="10"/>
        <v>0.56014366630897339</v>
      </c>
      <c r="AJ22" s="42">
        <f t="shared" si="11"/>
        <v>4042.9928223999996</v>
      </c>
      <c r="AK22" s="42">
        <f t="shared" si="12"/>
        <v>13321.51072</v>
      </c>
      <c r="AL22" s="9">
        <f t="shared" si="13"/>
        <v>0</v>
      </c>
      <c r="AM22" s="42"/>
    </row>
    <row r="23" spans="1:39" x14ac:dyDescent="0.25">
      <c r="A23" t="s">
        <v>36</v>
      </c>
      <c r="B23" s="20">
        <v>45057</v>
      </c>
      <c r="C23" s="4">
        <v>45074</v>
      </c>
      <c r="D23" s="4" t="s">
        <v>1442</v>
      </c>
      <c r="E23" s="4">
        <v>45074</v>
      </c>
      <c r="F23" s="11">
        <f t="shared" si="0"/>
        <v>17</v>
      </c>
      <c r="G23" s="11" t="str">
        <f t="shared" si="3"/>
        <v>Does not Meet Target</v>
      </c>
      <c r="H23" t="s">
        <v>647</v>
      </c>
      <c r="I23" t="s">
        <v>659</v>
      </c>
      <c r="J23" t="s">
        <v>676</v>
      </c>
      <c r="K23" t="s">
        <v>706</v>
      </c>
      <c r="L23" t="s">
        <v>709</v>
      </c>
      <c r="M23" t="s">
        <v>718</v>
      </c>
      <c r="N23" t="s">
        <v>729</v>
      </c>
      <c r="O23" t="str" cm="1">
        <f t="array" ref="O23">_xlfn.IFS(S23&lt;=_xlfn.PERCENTILE.INC(IF(N23:N653=N23, S23:S653), 0.33), "Low", S23&lt;=_xlfn.PERCENTILE.INC(IF(N23:N653=N23, S23:S653), 0.66), "Medium", S23 &gt; _xlfn.PERCENTILE.INC(IF(N23:N653=N23, S23:S653), 0.66), "High")</f>
        <v>High</v>
      </c>
      <c r="P23" t="s">
        <v>755</v>
      </c>
      <c r="Q23" s="6">
        <v>1331.19</v>
      </c>
      <c r="R23" s="6">
        <v>2903.09</v>
      </c>
      <c r="S23" s="6">
        <v>2903.09</v>
      </c>
      <c r="T23" s="9">
        <v>0.14299999999999999</v>
      </c>
      <c r="U23" s="9">
        <f>IF(T23&gt;0.3, $AO$4, T23)</f>
        <v>0.14299999999999999</v>
      </c>
      <c r="V23" s="7" t="str">
        <f t="shared" si="4"/>
        <v>Less than 20%</v>
      </c>
      <c r="W23" s="11">
        <v>8</v>
      </c>
      <c r="X23" s="6">
        <f t="shared" si="1"/>
        <v>19903.585040000002</v>
      </c>
      <c r="Y23" s="6">
        <f t="shared" si="2"/>
        <v>10649.52</v>
      </c>
      <c r="Z23" s="6">
        <f t="shared" si="5"/>
        <v>9254.0650400000013</v>
      </c>
      <c r="AA23" s="9">
        <f t="shared" si="6"/>
        <v>0.46494463290920784</v>
      </c>
      <c r="AB23" s="9">
        <f>IF(U23&gt;'What-If Analysis'!$F$16, 'What-If Analysis'!$F$16,T23)</f>
        <v>0.14299999999999999</v>
      </c>
      <c r="AC23" s="42">
        <f>S23*(1-AB23)</f>
        <v>2487.9481300000002</v>
      </c>
      <c r="AD23" s="42">
        <f>Q23*(1+'What-If Analysis'!F38)</f>
        <v>1331.19</v>
      </c>
      <c r="AE23" s="41">
        <f>W23*(1+'What-If Analysis'!$F$18)</f>
        <v>9.36</v>
      </c>
      <c r="AF23" s="42">
        <f t="shared" si="7"/>
        <v>23287.194496799999</v>
      </c>
      <c r="AG23" s="42">
        <f t="shared" si="8"/>
        <v>12459.938399999999</v>
      </c>
      <c r="AH23" s="42">
        <f t="shared" si="9"/>
        <v>10827.2560968</v>
      </c>
      <c r="AI23" s="44">
        <f t="shared" si="10"/>
        <v>0.46494463290920779</v>
      </c>
      <c r="AJ23" s="42">
        <f t="shared" si="11"/>
        <v>3383.6094567999971</v>
      </c>
      <c r="AK23" s="42">
        <f t="shared" si="12"/>
        <v>9254.0650400000013</v>
      </c>
      <c r="AL23" s="9">
        <f t="shared" si="13"/>
        <v>0</v>
      </c>
      <c r="AM23" s="42"/>
    </row>
    <row r="24" spans="1:39" x14ac:dyDescent="0.25">
      <c r="A24" t="s">
        <v>37</v>
      </c>
      <c r="B24" s="20">
        <v>45822</v>
      </c>
      <c r="C24" s="4">
        <v>45837</v>
      </c>
      <c r="D24" s="4" t="s">
        <v>1440</v>
      </c>
      <c r="E24" s="4">
        <v>45837</v>
      </c>
      <c r="F24" s="11">
        <f t="shared" si="0"/>
        <v>15</v>
      </c>
      <c r="G24" s="11" t="str">
        <f t="shared" si="3"/>
        <v>Does not Meet Target</v>
      </c>
      <c r="H24" t="s">
        <v>646</v>
      </c>
      <c r="I24" t="s">
        <v>651</v>
      </c>
      <c r="J24" t="s">
        <v>663</v>
      </c>
      <c r="K24" t="s">
        <v>704</v>
      </c>
      <c r="L24" t="s">
        <v>709</v>
      </c>
      <c r="M24" t="s">
        <v>724</v>
      </c>
      <c r="N24" t="s">
        <v>733</v>
      </c>
      <c r="O24" t="str" cm="1">
        <f t="array" ref="O24">_xlfn.IFS(S24&lt;=_xlfn.PERCENTILE.INC(IF(N24:N654=N24, S24:S654), 0.33), "Low", S24&lt;=_xlfn.PERCENTILE.INC(IF(N24:N654=N24, S24:S654), 0.66), "Medium", S24 &gt; _xlfn.PERCENTILE.INC(IF(N24:N654=N24, S24:S654), 0.66), "High")</f>
        <v>Medium</v>
      </c>
      <c r="P24" t="s">
        <v>756</v>
      </c>
      <c r="Q24" s="6">
        <v>730.99</v>
      </c>
      <c r="R24" s="6">
        <v>1242.8399999999999</v>
      </c>
      <c r="S24" s="6">
        <v>1242.8399999999999</v>
      </c>
      <c r="T24" s="9">
        <v>0.12</v>
      </c>
      <c r="U24" s="9">
        <f>IF(T24&gt;0.3, $AO$4, T24)</f>
        <v>0.12</v>
      </c>
      <c r="V24" s="7" t="str">
        <f t="shared" si="4"/>
        <v>Less than 20%</v>
      </c>
      <c r="W24" s="11">
        <v>10</v>
      </c>
      <c r="X24" s="6">
        <f t="shared" si="1"/>
        <v>10936.992</v>
      </c>
      <c r="Y24" s="6">
        <f t="shared" si="2"/>
        <v>7309.9</v>
      </c>
      <c r="Z24" s="6">
        <f t="shared" si="5"/>
        <v>3627.0920000000006</v>
      </c>
      <c r="AA24" s="9">
        <f t="shared" si="6"/>
        <v>0.33163524303574515</v>
      </c>
      <c r="AB24" s="9">
        <f>IF(U24&gt;'What-If Analysis'!$F$16, 'What-If Analysis'!$F$16,T24)</f>
        <v>0.12</v>
      </c>
      <c r="AC24" s="42">
        <f>S24*(1-AB24)</f>
        <v>1093.6992</v>
      </c>
      <c r="AD24" s="42">
        <f>Q24*(1+'What-If Analysis'!F39)</f>
        <v>730.99</v>
      </c>
      <c r="AE24" s="41">
        <f>W24*(1+'What-If Analysis'!$F$18)</f>
        <v>11.7</v>
      </c>
      <c r="AF24" s="42">
        <f t="shared" si="7"/>
        <v>12796.280639999999</v>
      </c>
      <c r="AG24" s="42">
        <f t="shared" si="8"/>
        <v>8552.5829999999987</v>
      </c>
      <c r="AH24" s="42">
        <f t="shared" si="9"/>
        <v>4243.6976400000003</v>
      </c>
      <c r="AI24" s="44">
        <f t="shared" si="10"/>
        <v>0.33163524303574515</v>
      </c>
      <c r="AJ24" s="42">
        <f t="shared" si="11"/>
        <v>1859.2886399999988</v>
      </c>
      <c r="AK24" s="42">
        <f t="shared" si="12"/>
        <v>3627.0920000000006</v>
      </c>
      <c r="AL24" s="9">
        <f t="shared" si="13"/>
        <v>0</v>
      </c>
      <c r="AM24" s="42"/>
    </row>
    <row r="25" spans="1:39" x14ac:dyDescent="0.25">
      <c r="A25" t="s">
        <v>38</v>
      </c>
      <c r="B25" s="20">
        <v>45430</v>
      </c>
      <c r="C25" s="4">
        <v>45435</v>
      </c>
      <c r="D25" s="4" t="s">
        <v>1439</v>
      </c>
      <c r="E25" s="4">
        <v>45435</v>
      </c>
      <c r="F25" s="11">
        <f t="shared" si="0"/>
        <v>5</v>
      </c>
      <c r="G25" s="11" t="str">
        <f t="shared" si="3"/>
        <v>Meets Target</v>
      </c>
      <c r="H25" t="s">
        <v>648</v>
      </c>
      <c r="I25" t="s">
        <v>660</v>
      </c>
      <c r="J25" t="s">
        <v>677</v>
      </c>
      <c r="K25" t="s">
        <v>706</v>
      </c>
      <c r="L25" t="s">
        <v>707</v>
      </c>
      <c r="M25" t="s">
        <v>722</v>
      </c>
      <c r="N25" t="s">
        <v>731</v>
      </c>
      <c r="O25" t="str" cm="1">
        <f t="array" ref="O25">_xlfn.IFS(S25&lt;=_xlfn.PERCENTILE.INC(IF(N25:N655=N25, S25:S655), 0.33), "Low", S25&lt;=_xlfn.PERCENTILE.INC(IF(N25:N655=N25, S25:S655), 0.66), "Medium", S25 &gt; _xlfn.PERCENTILE.INC(IF(N25:N655=N25, S25:S655), 0.66), "High")</f>
        <v>High</v>
      </c>
      <c r="P25" t="s">
        <v>757</v>
      </c>
      <c r="Q25" s="6">
        <v>1274.5899999999999</v>
      </c>
      <c r="R25" s="6">
        <v>2553.69</v>
      </c>
      <c r="S25" s="6">
        <v>2553.69</v>
      </c>
      <c r="T25" s="9">
        <v>0.01</v>
      </c>
      <c r="U25" s="9">
        <f>IF(T25&gt;0.3, $AO$4, T25)</f>
        <v>0.01</v>
      </c>
      <c r="V25" s="7" t="str">
        <f t="shared" si="4"/>
        <v>Less than 20%</v>
      </c>
      <c r="W25" s="11">
        <v>8</v>
      </c>
      <c r="X25" s="6">
        <f t="shared" si="1"/>
        <v>20225.2248</v>
      </c>
      <c r="Y25" s="6">
        <f t="shared" si="2"/>
        <v>10196.719999999999</v>
      </c>
      <c r="Z25" s="6">
        <f t="shared" si="5"/>
        <v>10028.504800000001</v>
      </c>
      <c r="AA25" s="9">
        <f t="shared" si="6"/>
        <v>0.49584145042481803</v>
      </c>
      <c r="AB25" s="9">
        <f>IF(U25&gt;'What-If Analysis'!$F$16, 'What-If Analysis'!$F$16,T25)</f>
        <v>0.01</v>
      </c>
      <c r="AC25" s="42">
        <f>S25*(1-AB25)</f>
        <v>2528.1531</v>
      </c>
      <c r="AD25" s="42">
        <f>Q25*(1+'What-If Analysis'!F40)</f>
        <v>1274.5899999999999</v>
      </c>
      <c r="AE25" s="41">
        <f>W25*(1+'What-If Analysis'!$F$18)</f>
        <v>9.36</v>
      </c>
      <c r="AF25" s="42">
        <f t="shared" si="7"/>
        <v>23663.513015999997</v>
      </c>
      <c r="AG25" s="42">
        <f t="shared" si="8"/>
        <v>11930.162399999999</v>
      </c>
      <c r="AH25" s="42">
        <f t="shared" si="9"/>
        <v>11733.350615999998</v>
      </c>
      <c r="AI25" s="44">
        <f t="shared" si="10"/>
        <v>0.49584145042481798</v>
      </c>
      <c r="AJ25" s="42">
        <f t="shared" si="11"/>
        <v>3438.2882159999972</v>
      </c>
      <c r="AK25" s="42">
        <f t="shared" si="12"/>
        <v>10028.504800000001</v>
      </c>
      <c r="AL25" s="9">
        <f t="shared" si="13"/>
        <v>0</v>
      </c>
      <c r="AM25" s="42"/>
    </row>
    <row r="26" spans="1:39" x14ac:dyDescent="0.25">
      <c r="A26" t="s">
        <v>39</v>
      </c>
      <c r="B26" s="20">
        <v>44964</v>
      </c>
      <c r="C26" s="4">
        <v>44969</v>
      </c>
      <c r="D26" s="4" t="s">
        <v>1436</v>
      </c>
      <c r="E26" s="4">
        <v>44969</v>
      </c>
      <c r="F26" s="11">
        <f t="shared" si="0"/>
        <v>5</v>
      </c>
      <c r="G26" s="11" t="str">
        <f t="shared" si="3"/>
        <v>Meets Target</v>
      </c>
      <c r="H26" t="s">
        <v>648</v>
      </c>
      <c r="I26" t="s">
        <v>655</v>
      </c>
      <c r="J26" t="s">
        <v>670</v>
      </c>
      <c r="K26" t="s">
        <v>702</v>
      </c>
      <c r="L26" t="s">
        <v>708</v>
      </c>
      <c r="M26" t="s">
        <v>725</v>
      </c>
      <c r="N26" t="s">
        <v>727</v>
      </c>
      <c r="O26" t="str" cm="1">
        <f t="array" ref="O26">_xlfn.IFS(S26&lt;=_xlfn.PERCENTILE.INC(IF(N26:N656=N26, S26:S656), 0.33), "Low", S26&lt;=_xlfn.PERCENTILE.INC(IF(N26:N656=N26, S26:S656), 0.66), "Medium", S26 &gt; _xlfn.PERCENTILE.INC(IF(N26:N656=N26, S26:S656), 0.66), "High")</f>
        <v>High</v>
      </c>
      <c r="P26" t="s">
        <v>758</v>
      </c>
      <c r="Q26" s="6">
        <v>948.55</v>
      </c>
      <c r="R26" s="6">
        <v>2089.16</v>
      </c>
      <c r="S26" s="6">
        <v>2089.16</v>
      </c>
      <c r="T26" s="9">
        <v>7.0000000000000001E-3</v>
      </c>
      <c r="U26" s="9">
        <f>IF(T26&gt;0.3, $AO$4, T26)</f>
        <v>7.0000000000000001E-3</v>
      </c>
      <c r="V26" s="7" t="str">
        <f t="shared" si="4"/>
        <v>Less than 20%</v>
      </c>
      <c r="W26" s="11">
        <v>12</v>
      </c>
      <c r="X26" s="6">
        <f t="shared" si="1"/>
        <v>24894.430559999997</v>
      </c>
      <c r="Y26" s="6">
        <f t="shared" si="2"/>
        <v>11382.599999999999</v>
      </c>
      <c r="Z26" s="6">
        <f t="shared" si="5"/>
        <v>13511.830559999999</v>
      </c>
      <c r="AA26" s="9">
        <f t="shared" si="6"/>
        <v>0.54276519912492427</v>
      </c>
      <c r="AB26" s="9">
        <f>IF(U26&gt;'What-If Analysis'!$F$16, 'What-If Analysis'!$F$16,T26)</f>
        <v>7.0000000000000001E-3</v>
      </c>
      <c r="AC26" s="42">
        <f>S26*(1-AB26)</f>
        <v>2074.5358799999999</v>
      </c>
      <c r="AD26" s="42">
        <f>Q26*(1+'What-If Analysis'!F41)</f>
        <v>948.55</v>
      </c>
      <c r="AE26" s="41">
        <f>W26*(1+'What-If Analysis'!$F$18)</f>
        <v>14.04</v>
      </c>
      <c r="AF26" s="42">
        <f t="shared" si="7"/>
        <v>29126.483755199995</v>
      </c>
      <c r="AG26" s="42">
        <f t="shared" si="8"/>
        <v>13317.641999999998</v>
      </c>
      <c r="AH26" s="42">
        <f t="shared" si="9"/>
        <v>15808.841755199997</v>
      </c>
      <c r="AI26" s="44">
        <f t="shared" si="10"/>
        <v>0.54276519912492427</v>
      </c>
      <c r="AJ26" s="42">
        <f t="shared" si="11"/>
        <v>4232.0531951999983</v>
      </c>
      <c r="AK26" s="42">
        <f t="shared" si="12"/>
        <v>13511.830559999999</v>
      </c>
      <c r="AL26" s="9">
        <f t="shared" si="13"/>
        <v>0</v>
      </c>
      <c r="AM26" s="42"/>
    </row>
    <row r="27" spans="1:39" x14ac:dyDescent="0.25">
      <c r="A27" t="s">
        <v>40</v>
      </c>
      <c r="B27" s="20">
        <v>45473</v>
      </c>
      <c r="C27" s="4">
        <v>45487</v>
      </c>
      <c r="D27" s="4" t="s">
        <v>1439</v>
      </c>
      <c r="E27" s="4">
        <v>45487</v>
      </c>
      <c r="F27" s="11">
        <f t="shared" si="0"/>
        <v>14</v>
      </c>
      <c r="G27" s="11" t="str">
        <f t="shared" si="3"/>
        <v>Does not Meet Target</v>
      </c>
      <c r="H27" t="s">
        <v>648</v>
      </c>
      <c r="I27" t="s">
        <v>655</v>
      </c>
      <c r="J27" t="s">
        <v>672</v>
      </c>
      <c r="K27" t="s">
        <v>702</v>
      </c>
      <c r="L27" t="s">
        <v>707</v>
      </c>
      <c r="M27" t="s">
        <v>712</v>
      </c>
      <c r="N27" t="s">
        <v>733</v>
      </c>
      <c r="O27" t="str" cm="1">
        <f t="array" ref="O27">_xlfn.IFS(S27&lt;=_xlfn.PERCENTILE.INC(IF(N27:N657=N27, S27:S657), 0.33), "Low", S27&lt;=_xlfn.PERCENTILE.INC(IF(N27:N657=N27, S27:S657), 0.66), "Medium", S27 &gt; _xlfn.PERCENTILE.INC(IF(N27:N657=N27, S27:S657), 0.66), "High")</f>
        <v>High</v>
      </c>
      <c r="P27" t="s">
        <v>759</v>
      </c>
      <c r="Q27" s="6">
        <v>1491.85</v>
      </c>
      <c r="R27" s="6">
        <v>2583.02</v>
      </c>
      <c r="S27" s="6">
        <v>2583.02</v>
      </c>
      <c r="T27" s="9">
        <v>0.16800000000000001</v>
      </c>
      <c r="U27" s="9">
        <f>IF(T27&gt;0.3, $AO$4, T27)</f>
        <v>0.16800000000000001</v>
      </c>
      <c r="V27" s="7" t="str">
        <f t="shared" si="4"/>
        <v>Less than 20%</v>
      </c>
      <c r="W27" s="11">
        <v>4</v>
      </c>
      <c r="X27" s="6">
        <f t="shared" si="1"/>
        <v>8596.2905599999995</v>
      </c>
      <c r="Y27" s="6">
        <f t="shared" si="2"/>
        <v>5967.4</v>
      </c>
      <c r="Z27" s="6">
        <f t="shared" si="5"/>
        <v>2628.8905599999998</v>
      </c>
      <c r="AA27" s="9">
        <f t="shared" si="6"/>
        <v>0.30581685689321325</v>
      </c>
      <c r="AB27" s="9">
        <f>IF(U27&gt;'What-If Analysis'!$F$16, 'What-If Analysis'!$F$16,T27)</f>
        <v>0.16800000000000001</v>
      </c>
      <c r="AC27" s="42">
        <f>S27*(1-AB27)</f>
        <v>2149.0726399999999</v>
      </c>
      <c r="AD27" s="42">
        <f>Q27*(1+'What-If Analysis'!F42)</f>
        <v>1491.85</v>
      </c>
      <c r="AE27" s="41">
        <f>W27*(1+'What-If Analysis'!$F$18)</f>
        <v>4.68</v>
      </c>
      <c r="AF27" s="42">
        <f t="shared" si="7"/>
        <v>10057.659955199999</v>
      </c>
      <c r="AG27" s="42">
        <f t="shared" si="8"/>
        <v>6981.8579999999993</v>
      </c>
      <c r="AH27" s="42">
        <f t="shared" si="9"/>
        <v>3075.8019551999996</v>
      </c>
      <c r="AI27" s="44">
        <f t="shared" si="10"/>
        <v>0.30581685689321325</v>
      </c>
      <c r="AJ27" s="42">
        <f t="shared" si="11"/>
        <v>1461.3693951999994</v>
      </c>
      <c r="AK27" s="42">
        <f t="shared" si="12"/>
        <v>2628.8905599999998</v>
      </c>
      <c r="AL27" s="9">
        <f t="shared" si="13"/>
        <v>0</v>
      </c>
      <c r="AM27" s="42"/>
    </row>
    <row r="28" spans="1:39" x14ac:dyDescent="0.25">
      <c r="A28" t="s">
        <v>41</v>
      </c>
      <c r="B28" s="20">
        <v>45626</v>
      </c>
      <c r="C28" s="4">
        <v>45656</v>
      </c>
      <c r="D28" s="4" t="s">
        <v>1435</v>
      </c>
      <c r="E28" s="4">
        <v>45656</v>
      </c>
      <c r="F28" s="11">
        <f t="shared" si="0"/>
        <v>30</v>
      </c>
      <c r="G28" s="11" t="str">
        <f t="shared" si="3"/>
        <v>Does not Meet Target</v>
      </c>
      <c r="H28" t="s">
        <v>649</v>
      </c>
      <c r="I28" t="s">
        <v>657</v>
      </c>
      <c r="J28" t="s">
        <v>673</v>
      </c>
      <c r="K28" t="s">
        <v>704</v>
      </c>
      <c r="L28" t="s">
        <v>709</v>
      </c>
      <c r="M28" t="s">
        <v>721</v>
      </c>
      <c r="N28" t="s">
        <v>728</v>
      </c>
      <c r="O28" t="str" cm="1">
        <f t="array" ref="O28">_xlfn.IFS(S28&lt;=_xlfn.PERCENTILE.INC(IF(N28:N658=N28, S28:S658), 0.33), "Low", S28&lt;=_xlfn.PERCENTILE.INC(IF(N28:N658=N28, S28:S658), 0.66), "Medium", S28 &gt; _xlfn.PERCENTILE.INC(IF(N28:N658=N28, S28:S658), 0.66), "High")</f>
        <v>Low</v>
      </c>
      <c r="P28" t="s">
        <v>760</v>
      </c>
      <c r="Q28" s="6">
        <v>117.64</v>
      </c>
      <c r="R28" s="6">
        <v>175.67</v>
      </c>
      <c r="S28" s="6">
        <v>175.67</v>
      </c>
      <c r="T28" s="9">
        <v>0</v>
      </c>
      <c r="U28" s="9">
        <f>IF(T28&gt;0.3, $AO$4, T28)</f>
        <v>0</v>
      </c>
      <c r="V28" s="7" t="str">
        <f t="shared" si="4"/>
        <v>Less than 20%</v>
      </c>
      <c r="W28" s="11">
        <v>10</v>
      </c>
      <c r="X28" s="6">
        <f t="shared" si="1"/>
        <v>1756.6999999999998</v>
      </c>
      <c r="Y28" s="6">
        <f t="shared" si="2"/>
        <v>1176.4000000000001</v>
      </c>
      <c r="Z28" s="6">
        <f t="shared" si="5"/>
        <v>580.29999999999973</v>
      </c>
      <c r="AA28" s="9">
        <f t="shared" si="6"/>
        <v>0.33033528775545046</v>
      </c>
      <c r="AB28" s="9">
        <f>IF(U28&gt;'What-If Analysis'!$F$16, 'What-If Analysis'!$F$16,T28)</f>
        <v>0</v>
      </c>
      <c r="AC28" s="42">
        <f>S28*(1-AB28)</f>
        <v>175.67</v>
      </c>
      <c r="AD28" s="42">
        <f>Q28*(1+'What-If Analysis'!F43)</f>
        <v>117.64</v>
      </c>
      <c r="AE28" s="41">
        <f>W28*(1+'What-If Analysis'!$F$18)</f>
        <v>11.7</v>
      </c>
      <c r="AF28" s="42">
        <f t="shared" si="7"/>
        <v>2055.3389999999999</v>
      </c>
      <c r="AG28" s="42">
        <f t="shared" si="8"/>
        <v>1376.3879999999999</v>
      </c>
      <c r="AH28" s="42">
        <f t="shared" si="9"/>
        <v>678.95100000000002</v>
      </c>
      <c r="AI28" s="44">
        <f t="shared" si="10"/>
        <v>0.33033528775545057</v>
      </c>
      <c r="AJ28" s="42">
        <f t="shared" si="11"/>
        <v>298.63900000000012</v>
      </c>
      <c r="AK28" s="42">
        <f t="shared" si="12"/>
        <v>580.29999999999973</v>
      </c>
      <c r="AL28" s="9">
        <f t="shared" si="13"/>
        <v>0</v>
      </c>
      <c r="AM28" s="42"/>
    </row>
    <row r="29" spans="1:39" x14ac:dyDescent="0.25">
      <c r="A29" t="s">
        <v>42</v>
      </c>
      <c r="B29" s="20">
        <v>45492</v>
      </c>
      <c r="C29" s="4">
        <v>45492</v>
      </c>
      <c r="D29" s="4" t="s">
        <v>1443</v>
      </c>
      <c r="E29" s="4">
        <v>45492</v>
      </c>
      <c r="F29" s="11">
        <f t="shared" si="0"/>
        <v>0</v>
      </c>
      <c r="G29" s="11" t="str">
        <f t="shared" si="3"/>
        <v>Meets Target</v>
      </c>
      <c r="H29" t="s">
        <v>646</v>
      </c>
      <c r="I29" t="s">
        <v>650</v>
      </c>
      <c r="J29" t="s">
        <v>662</v>
      </c>
      <c r="K29" t="s">
        <v>705</v>
      </c>
      <c r="L29" t="s">
        <v>707</v>
      </c>
      <c r="M29" t="s">
        <v>720</v>
      </c>
      <c r="N29" t="s">
        <v>730</v>
      </c>
      <c r="O29" t="str" cm="1">
        <f t="array" ref="O29">_xlfn.IFS(S29&lt;=_xlfn.PERCENTILE.INC(IF(N29:N659=N29, S29:S659), 0.33), "Low", S29&lt;=_xlfn.PERCENTILE.INC(IF(N29:N659=N29, S29:S659), 0.66), "Medium", S29 &gt; _xlfn.PERCENTILE.INC(IF(N29:N659=N29, S29:S659), 0.66), "High")</f>
        <v>Low</v>
      </c>
      <c r="P29" t="s">
        <v>761</v>
      </c>
      <c r="Q29" s="6">
        <v>857.24</v>
      </c>
      <c r="R29" s="6">
        <v>758.23</v>
      </c>
      <c r="S29" s="6">
        <v>758.23</v>
      </c>
      <c r="T29" s="9">
        <v>0.125</v>
      </c>
      <c r="U29" s="9">
        <f>IF(T29&gt;0.3, $AO$4, T29)</f>
        <v>0.125</v>
      </c>
      <c r="V29" s="7" t="str">
        <f t="shared" si="4"/>
        <v>Less than 20%</v>
      </c>
      <c r="W29" s="11">
        <v>6</v>
      </c>
      <c r="X29" s="6">
        <f t="shared" si="1"/>
        <v>3980.7075</v>
      </c>
      <c r="Y29" s="6">
        <f t="shared" si="2"/>
        <v>5143.4400000000005</v>
      </c>
      <c r="Z29" s="6">
        <f t="shared" si="5"/>
        <v>-1162.7325000000005</v>
      </c>
      <c r="AA29" s="9">
        <f t="shared" si="6"/>
        <v>-0.29209192084572921</v>
      </c>
      <c r="AB29" s="9">
        <f>IF(U29&gt;'What-If Analysis'!$F$16, 'What-If Analysis'!$F$16,T29)</f>
        <v>0.125</v>
      </c>
      <c r="AC29" s="42">
        <f>S29*(1-AB29)</f>
        <v>663.45125000000007</v>
      </c>
      <c r="AD29" s="42">
        <f>Q29*(1+'What-If Analysis'!F44)</f>
        <v>857.24</v>
      </c>
      <c r="AE29" s="41">
        <f>W29*(1+'What-If Analysis'!$F$18)</f>
        <v>7.02</v>
      </c>
      <c r="AF29" s="42">
        <f t="shared" si="7"/>
        <v>4657.4277750000001</v>
      </c>
      <c r="AG29" s="42">
        <f t="shared" si="8"/>
        <v>6017.8247999999994</v>
      </c>
      <c r="AH29" s="42">
        <f t="shared" si="9"/>
        <v>-1360.3970249999993</v>
      </c>
      <c r="AI29" s="44">
        <f t="shared" si="10"/>
        <v>-0.29209192084572888</v>
      </c>
      <c r="AJ29" s="42">
        <f t="shared" si="11"/>
        <v>676.72027500000013</v>
      </c>
      <c r="AK29" s="42">
        <f t="shared" si="12"/>
        <v>-1162.7325000000005</v>
      </c>
      <c r="AL29" s="9">
        <f t="shared" si="13"/>
        <v>0</v>
      </c>
      <c r="AM29" s="42"/>
    </row>
    <row r="30" spans="1:39" x14ac:dyDescent="0.25">
      <c r="A30" t="s">
        <v>43</v>
      </c>
      <c r="B30" s="20">
        <v>45030</v>
      </c>
      <c r="C30" s="4">
        <v>45060</v>
      </c>
      <c r="D30" s="4" t="s">
        <v>1442</v>
      </c>
      <c r="E30" s="4">
        <v>45060</v>
      </c>
      <c r="F30" s="11">
        <f t="shared" si="0"/>
        <v>30</v>
      </c>
      <c r="G30" s="11" t="str">
        <f t="shared" si="3"/>
        <v>Does not Meet Target</v>
      </c>
      <c r="H30" t="s">
        <v>646</v>
      </c>
      <c r="I30" t="s">
        <v>650</v>
      </c>
      <c r="J30" t="s">
        <v>678</v>
      </c>
      <c r="K30" t="s">
        <v>704</v>
      </c>
      <c r="L30" t="s">
        <v>709</v>
      </c>
      <c r="M30" t="s">
        <v>724</v>
      </c>
      <c r="N30" t="s">
        <v>730</v>
      </c>
      <c r="O30" t="str" cm="1">
        <f t="array" ref="O30">_xlfn.IFS(S30&lt;=_xlfn.PERCENTILE.INC(IF(N30:N660=N30, S30:S660), 0.33), "Low", S30&lt;=_xlfn.PERCENTILE.INC(IF(N30:N660=N30, S30:S660), 0.66), "Medium", S30 &gt; _xlfn.PERCENTILE.INC(IF(N30:N660=N30, S30:S660), 0.66), "High")</f>
        <v>Low</v>
      </c>
      <c r="P30" t="s">
        <v>762</v>
      </c>
      <c r="Q30" s="6">
        <v>209.25</v>
      </c>
      <c r="R30" s="6">
        <v>434.8</v>
      </c>
      <c r="S30" s="6">
        <v>434.8</v>
      </c>
      <c r="T30" s="9">
        <v>0</v>
      </c>
      <c r="U30" s="9">
        <f>IF(T30&gt;0.3, $AO$4, T30)</f>
        <v>0</v>
      </c>
      <c r="V30" s="7" t="str">
        <f t="shared" si="4"/>
        <v>Less than 20%</v>
      </c>
      <c r="W30" s="11">
        <v>9</v>
      </c>
      <c r="X30" s="6">
        <f t="shared" si="1"/>
        <v>3913.2000000000003</v>
      </c>
      <c r="Y30" s="6">
        <f t="shared" si="2"/>
        <v>1883.25</v>
      </c>
      <c r="Z30" s="6">
        <f t="shared" si="5"/>
        <v>2029.9500000000003</v>
      </c>
      <c r="AA30" s="9">
        <f t="shared" si="6"/>
        <v>0.51874425022999082</v>
      </c>
      <c r="AB30" s="9">
        <f>IF(U30&gt;'What-If Analysis'!$F$16, 'What-If Analysis'!$F$16,T30)</f>
        <v>0</v>
      </c>
      <c r="AC30" s="42">
        <f>S30*(1-AB30)</f>
        <v>434.8</v>
      </c>
      <c r="AD30" s="42">
        <f>Q30*(1+'What-If Analysis'!F45)</f>
        <v>209.25</v>
      </c>
      <c r="AE30" s="41">
        <f>W30*(1+'What-If Analysis'!$F$18)</f>
        <v>10.53</v>
      </c>
      <c r="AF30" s="42">
        <f t="shared" si="7"/>
        <v>4578.4439999999995</v>
      </c>
      <c r="AG30" s="42">
        <f t="shared" si="8"/>
        <v>2203.4024999999997</v>
      </c>
      <c r="AH30" s="42">
        <f t="shared" si="9"/>
        <v>2375.0414999999998</v>
      </c>
      <c r="AI30" s="44">
        <f t="shared" si="10"/>
        <v>0.51874425022999082</v>
      </c>
      <c r="AJ30" s="42">
        <f t="shared" si="11"/>
        <v>665.24399999999923</v>
      </c>
      <c r="AK30" s="42">
        <f t="shared" si="12"/>
        <v>2029.9500000000003</v>
      </c>
      <c r="AL30" s="9">
        <f t="shared" si="13"/>
        <v>0</v>
      </c>
      <c r="AM30" s="42"/>
    </row>
    <row r="31" spans="1:39" x14ac:dyDescent="0.25">
      <c r="A31" t="s">
        <v>44</v>
      </c>
      <c r="B31" s="20">
        <v>45754</v>
      </c>
      <c r="C31" s="4">
        <v>45758</v>
      </c>
      <c r="D31" s="4" t="s">
        <v>1440</v>
      </c>
      <c r="E31" s="4">
        <v>45758</v>
      </c>
      <c r="F31" s="11">
        <f t="shared" si="0"/>
        <v>4</v>
      </c>
      <c r="G31" s="11" t="str">
        <f t="shared" si="3"/>
        <v>Meets Target</v>
      </c>
      <c r="H31" t="s">
        <v>649</v>
      </c>
      <c r="I31" t="s">
        <v>657</v>
      </c>
      <c r="J31" t="s">
        <v>679</v>
      </c>
      <c r="K31" t="s">
        <v>702</v>
      </c>
      <c r="L31" t="s">
        <v>707</v>
      </c>
      <c r="M31" t="s">
        <v>718</v>
      </c>
      <c r="N31" t="s">
        <v>729</v>
      </c>
      <c r="O31" t="str" cm="1">
        <f t="array" ref="O31">_xlfn.IFS(S31&lt;=_xlfn.PERCENTILE.INC(IF(N31:N661=N31, S31:S661), 0.33), "Low", S31&lt;=_xlfn.PERCENTILE.INC(IF(N31:N661=N31, S31:S661), 0.66), "Medium", S31 &gt; _xlfn.PERCENTILE.INC(IF(N31:N661=N31, S31:S661), 0.66), "High")</f>
        <v>Medium</v>
      </c>
      <c r="P31" t="s">
        <v>763</v>
      </c>
      <c r="Q31" s="6">
        <v>754.77</v>
      </c>
      <c r="R31" s="6">
        <v>1666.18</v>
      </c>
      <c r="S31" s="6">
        <v>1666.18</v>
      </c>
      <c r="T31" s="9">
        <v>0.13900000000000001</v>
      </c>
      <c r="U31" s="9">
        <f>IF(T31&gt;0.3, $AO$4, T31)</f>
        <v>0.13900000000000001</v>
      </c>
      <c r="V31" s="7" t="str">
        <f t="shared" si="4"/>
        <v>Less than 20%</v>
      </c>
      <c r="W31" s="11">
        <v>14</v>
      </c>
      <c r="X31" s="6">
        <f t="shared" si="1"/>
        <v>20084.133720000002</v>
      </c>
      <c r="Y31" s="6">
        <f t="shared" si="2"/>
        <v>10566.779999999999</v>
      </c>
      <c r="Z31" s="6">
        <f t="shared" si="5"/>
        <v>9517.3537200000028</v>
      </c>
      <c r="AA31" s="9">
        <f t="shared" si="6"/>
        <v>0.47387424584424653</v>
      </c>
      <c r="AB31" s="9">
        <f>IF(U31&gt;'What-If Analysis'!$F$16, 'What-If Analysis'!$F$16,T31)</f>
        <v>0.13900000000000001</v>
      </c>
      <c r="AC31" s="42">
        <f>S31*(1-AB31)</f>
        <v>1434.58098</v>
      </c>
      <c r="AD31" s="42">
        <f>Q31*(1+'What-If Analysis'!F46)</f>
        <v>754.77</v>
      </c>
      <c r="AE31" s="41">
        <f>W31*(1+'What-If Analysis'!$F$18)</f>
        <v>16.38</v>
      </c>
      <c r="AF31" s="42">
        <f t="shared" si="7"/>
        <v>23498.436452399998</v>
      </c>
      <c r="AG31" s="42">
        <f t="shared" si="8"/>
        <v>12363.132599999999</v>
      </c>
      <c r="AH31" s="42">
        <f t="shared" si="9"/>
        <v>11135.303852399999</v>
      </c>
      <c r="AI31" s="44">
        <f t="shared" si="10"/>
        <v>0.47387424584424642</v>
      </c>
      <c r="AJ31" s="42">
        <f t="shared" si="11"/>
        <v>3414.3027323999959</v>
      </c>
      <c r="AK31" s="42">
        <f t="shared" si="12"/>
        <v>9517.3537200000028</v>
      </c>
      <c r="AL31" s="9">
        <f t="shared" si="13"/>
        <v>0</v>
      </c>
      <c r="AM31" s="42"/>
    </row>
    <row r="32" spans="1:39" x14ac:dyDescent="0.25">
      <c r="A32" t="s">
        <v>45</v>
      </c>
      <c r="B32" s="20">
        <v>45653</v>
      </c>
      <c r="C32" s="4">
        <v>45672</v>
      </c>
      <c r="D32" s="4" t="s">
        <v>1435</v>
      </c>
      <c r="E32" s="4">
        <v>45672</v>
      </c>
      <c r="F32" s="11">
        <f t="shared" si="0"/>
        <v>19</v>
      </c>
      <c r="G32" s="11" t="str">
        <f t="shared" si="3"/>
        <v>Does not Meet Target</v>
      </c>
      <c r="H32" t="s">
        <v>647</v>
      </c>
      <c r="I32" t="s">
        <v>654</v>
      </c>
      <c r="J32" t="s">
        <v>680</v>
      </c>
      <c r="K32" t="s">
        <v>703</v>
      </c>
      <c r="L32" t="s">
        <v>710</v>
      </c>
      <c r="M32" t="s">
        <v>715</v>
      </c>
      <c r="N32" t="s">
        <v>727</v>
      </c>
      <c r="O32" t="str" cm="1">
        <f t="array" ref="O32">_xlfn.IFS(S32&lt;=_xlfn.PERCENTILE.INC(IF(N32:N662=N32, S32:S662), 0.33), "Low", S32&lt;=_xlfn.PERCENTILE.INC(IF(N32:N662=N32, S32:S662), 0.66), "Medium", S32 &gt; _xlfn.PERCENTILE.INC(IF(N32:N662=N32, S32:S662), 0.66), "High")</f>
        <v>Low</v>
      </c>
      <c r="P32" t="s">
        <v>764</v>
      </c>
      <c r="Q32" s="6">
        <v>495.59</v>
      </c>
      <c r="R32" s="6">
        <v>631.78</v>
      </c>
      <c r="S32" s="6">
        <v>631.78</v>
      </c>
      <c r="T32" s="9">
        <v>8.6999999999999994E-2</v>
      </c>
      <c r="U32" s="9">
        <f>IF(T32&gt;0.3, $AO$4, T32)</f>
        <v>8.6999999999999994E-2</v>
      </c>
      <c r="V32" s="7" t="str">
        <f t="shared" si="4"/>
        <v>Less than 20%</v>
      </c>
      <c r="W32" s="11">
        <v>17</v>
      </c>
      <c r="X32" s="6">
        <f t="shared" si="1"/>
        <v>9805.8573800000013</v>
      </c>
      <c r="Y32" s="6">
        <f t="shared" si="2"/>
        <v>8425.0299999999988</v>
      </c>
      <c r="Z32" s="6">
        <f t="shared" si="5"/>
        <v>1380.8273800000024</v>
      </c>
      <c r="AA32" s="9">
        <f t="shared" si="6"/>
        <v>0.14081658813601899</v>
      </c>
      <c r="AB32" s="9">
        <f>IF(U32&gt;'What-If Analysis'!$F$16, 'What-If Analysis'!$F$16,T32)</f>
        <v>8.6999999999999994E-2</v>
      </c>
      <c r="AC32" s="42">
        <f>S32*(1-AB32)</f>
        <v>576.81514000000004</v>
      </c>
      <c r="AD32" s="42">
        <f>Q32*(1+'What-If Analysis'!F47)</f>
        <v>495.59</v>
      </c>
      <c r="AE32" s="41">
        <f>W32*(1+'What-If Analysis'!$F$18)</f>
        <v>19.89</v>
      </c>
      <c r="AF32" s="42">
        <f t="shared" si="7"/>
        <v>11472.853134600002</v>
      </c>
      <c r="AG32" s="42">
        <f t="shared" si="8"/>
        <v>9857.2850999999991</v>
      </c>
      <c r="AH32" s="42">
        <f t="shared" si="9"/>
        <v>1615.5680346000026</v>
      </c>
      <c r="AI32" s="44">
        <f t="shared" si="10"/>
        <v>0.14081658813601897</v>
      </c>
      <c r="AJ32" s="42">
        <f t="shared" si="11"/>
        <v>1666.9957546000005</v>
      </c>
      <c r="AK32" s="42">
        <f t="shared" si="12"/>
        <v>1380.8273800000024</v>
      </c>
      <c r="AL32" s="9">
        <f t="shared" si="13"/>
        <v>0</v>
      </c>
      <c r="AM32" s="42"/>
    </row>
    <row r="33" spans="1:39" x14ac:dyDescent="0.25">
      <c r="A33" t="s">
        <v>46</v>
      </c>
      <c r="B33" s="20">
        <v>44980</v>
      </c>
      <c r="C33" s="4">
        <v>45010</v>
      </c>
      <c r="D33" s="4" t="s">
        <v>1436</v>
      </c>
      <c r="E33" s="4">
        <v>45010</v>
      </c>
      <c r="F33" s="11">
        <f t="shared" si="0"/>
        <v>30</v>
      </c>
      <c r="G33" s="11" t="str">
        <f t="shared" si="3"/>
        <v>Does not Meet Target</v>
      </c>
      <c r="H33" t="s">
        <v>648</v>
      </c>
      <c r="I33" t="s">
        <v>653</v>
      </c>
      <c r="J33" t="s">
        <v>681</v>
      </c>
      <c r="K33" t="s">
        <v>706</v>
      </c>
      <c r="L33" t="s">
        <v>708</v>
      </c>
      <c r="M33" t="s">
        <v>726</v>
      </c>
      <c r="N33" t="s">
        <v>730</v>
      </c>
      <c r="O33" t="str" cm="1">
        <f t="array" ref="O33">_xlfn.IFS(S33&lt;=_xlfn.PERCENTILE.INC(IF(N33:N663=N33, S33:S663), 0.33), "Low", S33&lt;=_xlfn.PERCENTILE.INC(IF(N33:N663=N33, S33:S663), 0.66), "Medium", S33 &gt; _xlfn.PERCENTILE.INC(IF(N33:N663=N33, S33:S663), 0.66), "High")</f>
        <v>High</v>
      </c>
      <c r="P33" t="s">
        <v>765</v>
      </c>
      <c r="Q33" s="6">
        <v>1242.6600000000001</v>
      </c>
      <c r="R33" s="6">
        <v>1794.07</v>
      </c>
      <c r="S33" s="6">
        <v>1794.07</v>
      </c>
      <c r="T33" s="9">
        <v>8.8999999999999996E-2</v>
      </c>
      <c r="U33" s="9">
        <f>IF(T33&gt;0.3, $AO$4, T33)</f>
        <v>8.8999999999999996E-2</v>
      </c>
      <c r="V33" s="7" t="str">
        <f t="shared" si="4"/>
        <v>Less than 20%</v>
      </c>
      <c r="W33" s="11">
        <v>16</v>
      </c>
      <c r="X33" s="6">
        <f t="shared" si="1"/>
        <v>26150.364320000001</v>
      </c>
      <c r="Y33" s="6">
        <f t="shared" si="2"/>
        <v>19882.560000000001</v>
      </c>
      <c r="Z33" s="6">
        <f t="shared" si="5"/>
        <v>6267.8043199999993</v>
      </c>
      <c r="AA33" s="9">
        <f t="shared" si="6"/>
        <v>0.23968325042440553</v>
      </c>
      <c r="AB33" s="9">
        <f>IF(U33&gt;'What-If Analysis'!$F$16, 'What-If Analysis'!$F$16,T33)</f>
        <v>8.8999999999999996E-2</v>
      </c>
      <c r="AC33" s="42">
        <f>S33*(1-AB33)</f>
        <v>1634.39777</v>
      </c>
      <c r="AD33" s="42">
        <f>Q33*(1+'What-If Analysis'!F48)</f>
        <v>1242.6600000000001</v>
      </c>
      <c r="AE33" s="41">
        <f>W33*(1+'What-If Analysis'!$F$18)</f>
        <v>18.72</v>
      </c>
      <c r="AF33" s="42">
        <f t="shared" si="7"/>
        <v>30595.926254399998</v>
      </c>
      <c r="AG33" s="42">
        <f t="shared" si="8"/>
        <v>23262.5952</v>
      </c>
      <c r="AH33" s="42">
        <f t="shared" si="9"/>
        <v>7333.3310543999978</v>
      </c>
      <c r="AI33" s="44">
        <f t="shared" si="10"/>
        <v>0.2396832504244055</v>
      </c>
      <c r="AJ33" s="42">
        <f t="shared" si="11"/>
        <v>4445.561934399997</v>
      </c>
      <c r="AK33" s="42">
        <f t="shared" si="12"/>
        <v>6267.8043199999993</v>
      </c>
      <c r="AL33" s="9">
        <f t="shared" si="13"/>
        <v>0</v>
      </c>
      <c r="AM33" s="42"/>
    </row>
    <row r="34" spans="1:39" x14ac:dyDescent="0.25">
      <c r="A34" t="s">
        <v>47</v>
      </c>
      <c r="B34" s="20">
        <v>45862</v>
      </c>
      <c r="C34" s="4">
        <v>45875</v>
      </c>
      <c r="D34" s="4" t="s">
        <v>1441</v>
      </c>
      <c r="E34" s="4">
        <v>45875</v>
      </c>
      <c r="F34" s="11">
        <f t="shared" si="0"/>
        <v>13</v>
      </c>
      <c r="G34" s="11" t="str">
        <f t="shared" si="3"/>
        <v>Does not Meet Target</v>
      </c>
      <c r="H34" t="s">
        <v>646</v>
      </c>
      <c r="I34" t="s">
        <v>661</v>
      </c>
      <c r="J34" t="s">
        <v>682</v>
      </c>
      <c r="K34" t="s">
        <v>702</v>
      </c>
      <c r="L34" t="s">
        <v>709</v>
      </c>
      <c r="M34" t="s">
        <v>726</v>
      </c>
      <c r="N34" t="s">
        <v>729</v>
      </c>
      <c r="O34" t="str" cm="1">
        <f t="array" ref="O34">_xlfn.IFS(S34&lt;=_xlfn.PERCENTILE.INC(IF(N34:N664=N34, S34:S664), 0.33), "Low", S34&lt;=_xlfn.PERCENTILE.INC(IF(N34:N664=N34, S34:S664), 0.66), "Medium", S34 &gt; _xlfn.PERCENTILE.INC(IF(N34:N664=N34, S34:S664), 0.66), "High")</f>
        <v>High</v>
      </c>
      <c r="P34" t="s">
        <v>766</v>
      </c>
      <c r="Q34" s="6">
        <v>1463.9</v>
      </c>
      <c r="R34" s="6">
        <v>2633.02</v>
      </c>
      <c r="S34" s="6">
        <v>2633.02</v>
      </c>
      <c r="T34" s="9">
        <v>8.4000000000000005E-2</v>
      </c>
      <c r="U34" s="9">
        <f>IF(T34&gt;0.3, $AO$4, T34)</f>
        <v>8.4000000000000005E-2</v>
      </c>
      <c r="V34" s="7" t="str">
        <f t="shared" si="4"/>
        <v>Less than 20%</v>
      </c>
      <c r="W34" s="11">
        <v>4</v>
      </c>
      <c r="X34" s="6">
        <f t="shared" si="1"/>
        <v>9647.3852800000004</v>
      </c>
      <c r="Y34" s="6">
        <f t="shared" si="2"/>
        <v>5855.6</v>
      </c>
      <c r="Z34" s="6">
        <f t="shared" si="5"/>
        <v>3791.7852800000001</v>
      </c>
      <c r="AA34" s="9">
        <f t="shared" si="6"/>
        <v>0.39303761277791527</v>
      </c>
      <c r="AB34" s="9">
        <f>IF(U34&gt;'What-If Analysis'!$F$16, 'What-If Analysis'!$F$16,T34)</f>
        <v>8.4000000000000005E-2</v>
      </c>
      <c r="AC34" s="42">
        <f>S34*(1-AB34)</f>
        <v>2411.8463200000001</v>
      </c>
      <c r="AD34" s="42">
        <f>Q34*(1+'What-If Analysis'!F49)</f>
        <v>1463.9</v>
      </c>
      <c r="AE34" s="41">
        <f>W34*(1+'What-If Analysis'!$F$18)</f>
        <v>4.68</v>
      </c>
      <c r="AF34" s="42">
        <f t="shared" si="7"/>
        <v>11287.440777599999</v>
      </c>
      <c r="AG34" s="42">
        <f t="shared" si="8"/>
        <v>6851.0519999999997</v>
      </c>
      <c r="AH34" s="42">
        <f t="shared" si="9"/>
        <v>4436.3887775999992</v>
      </c>
      <c r="AI34" s="44">
        <f t="shared" si="10"/>
        <v>0.39303761277791527</v>
      </c>
      <c r="AJ34" s="42">
        <f t="shared" si="11"/>
        <v>1640.0554975999985</v>
      </c>
      <c r="AK34" s="42">
        <f t="shared" si="12"/>
        <v>3791.7852800000001</v>
      </c>
      <c r="AL34" s="9">
        <f t="shared" si="13"/>
        <v>0</v>
      </c>
      <c r="AM34" s="42"/>
    </row>
    <row r="35" spans="1:39" x14ac:dyDescent="0.25">
      <c r="A35" t="s">
        <v>48</v>
      </c>
      <c r="B35" s="20">
        <v>45400</v>
      </c>
      <c r="C35" s="4">
        <v>45420</v>
      </c>
      <c r="D35" s="4" t="s">
        <v>1439</v>
      </c>
      <c r="E35" s="4">
        <v>45420</v>
      </c>
      <c r="F35" s="11">
        <f t="shared" si="0"/>
        <v>20</v>
      </c>
      <c r="G35" s="11" t="str">
        <f t="shared" si="3"/>
        <v>Does not Meet Target</v>
      </c>
      <c r="H35" t="s">
        <v>649</v>
      </c>
      <c r="I35" t="s">
        <v>658</v>
      </c>
      <c r="J35" t="s">
        <v>683</v>
      </c>
      <c r="K35" t="s">
        <v>703</v>
      </c>
      <c r="L35" t="s">
        <v>1422</v>
      </c>
      <c r="M35" t="s">
        <v>726</v>
      </c>
      <c r="N35" t="s">
        <v>731</v>
      </c>
      <c r="O35" t="str" cm="1">
        <f t="array" ref="O35">_xlfn.IFS(S35&lt;=_xlfn.PERCENTILE.INC(IF(N35:N665=N35, S35:S665), 0.33), "Low", S35&lt;=_xlfn.PERCENTILE.INC(IF(N35:N665=N35, S35:S665), 0.66), "Medium", S35 &gt; _xlfn.PERCENTILE.INC(IF(N35:N665=N35, S35:S665), 0.66), "High")</f>
        <v>Medium</v>
      </c>
      <c r="P35" t="s">
        <v>767</v>
      </c>
      <c r="Q35" s="6">
        <v>645.33000000000004</v>
      </c>
      <c r="R35" s="6">
        <v>1321.85</v>
      </c>
      <c r="S35" s="6">
        <v>1321.85</v>
      </c>
      <c r="T35" s="9">
        <v>0</v>
      </c>
      <c r="U35" s="9">
        <f>IF(T35&gt;0.3, $AO$4, T35)</f>
        <v>0</v>
      </c>
      <c r="V35" s="7" t="str">
        <f t="shared" si="4"/>
        <v>Less than 20%</v>
      </c>
      <c r="W35" s="11">
        <v>10</v>
      </c>
      <c r="X35" s="6">
        <f t="shared" si="1"/>
        <v>13218.5</v>
      </c>
      <c r="Y35" s="6">
        <f t="shared" si="2"/>
        <v>6453.3</v>
      </c>
      <c r="Z35" s="6">
        <f t="shared" si="5"/>
        <v>6765.2</v>
      </c>
      <c r="AA35" s="9">
        <f t="shared" si="6"/>
        <v>0.51179785906116426</v>
      </c>
      <c r="AB35" s="9">
        <f>IF(U35&gt;'What-If Analysis'!$F$16, 'What-If Analysis'!$F$16,T35)</f>
        <v>0</v>
      </c>
      <c r="AC35" s="42">
        <f>S35*(1-AB35)</f>
        <v>1321.85</v>
      </c>
      <c r="AD35" s="42">
        <f>Q35*(1+'What-If Analysis'!F50)</f>
        <v>645.33000000000004</v>
      </c>
      <c r="AE35" s="41">
        <f>W35*(1+'What-If Analysis'!$F$18)</f>
        <v>11.7</v>
      </c>
      <c r="AF35" s="42">
        <f t="shared" si="7"/>
        <v>15465.644999999999</v>
      </c>
      <c r="AG35" s="42">
        <f t="shared" si="8"/>
        <v>7550.3609999999999</v>
      </c>
      <c r="AH35" s="42">
        <f t="shared" si="9"/>
        <v>7915.2839999999987</v>
      </c>
      <c r="AI35" s="44">
        <f t="shared" si="10"/>
        <v>0.51179785906116426</v>
      </c>
      <c r="AJ35" s="42">
        <f t="shared" si="11"/>
        <v>2247.1449999999986</v>
      </c>
      <c r="AK35" s="42">
        <f t="shared" si="12"/>
        <v>6765.2</v>
      </c>
      <c r="AL35" s="9">
        <f t="shared" si="13"/>
        <v>0</v>
      </c>
      <c r="AM35" s="42"/>
    </row>
    <row r="36" spans="1:39" x14ac:dyDescent="0.25">
      <c r="A36" t="s">
        <v>49</v>
      </c>
      <c r="B36" s="20">
        <v>45527</v>
      </c>
      <c r="C36" s="4">
        <v>45525</v>
      </c>
      <c r="D36" s="4" t="s">
        <v>1443</v>
      </c>
      <c r="E36" s="4">
        <v>45545</v>
      </c>
      <c r="F36" s="11">
        <f t="shared" si="0"/>
        <v>18</v>
      </c>
      <c r="G36" s="11" t="str">
        <f t="shared" si="3"/>
        <v>Does not Meet Target</v>
      </c>
      <c r="H36" t="s">
        <v>646</v>
      </c>
      <c r="I36" t="s">
        <v>661</v>
      </c>
      <c r="J36" t="s">
        <v>682</v>
      </c>
      <c r="K36" t="s">
        <v>702</v>
      </c>
      <c r="L36" t="s">
        <v>707</v>
      </c>
      <c r="M36" t="s">
        <v>718</v>
      </c>
      <c r="N36" t="s">
        <v>727</v>
      </c>
      <c r="O36" t="str" cm="1">
        <f t="array" ref="O36">_xlfn.IFS(S36&lt;=_xlfn.PERCENTILE.INC(IF(N36:N666=N36, S36:S666), 0.33), "Low", S36&lt;=_xlfn.PERCENTILE.INC(IF(N36:N666=N36, S36:S666), 0.66), "Medium", S36 &gt; _xlfn.PERCENTILE.INC(IF(N36:N666=N36, S36:S666), 0.66), "High")</f>
        <v>High</v>
      </c>
      <c r="P36" t="s">
        <v>768</v>
      </c>
      <c r="Q36" s="6">
        <v>1432.52</v>
      </c>
      <c r="R36" s="6">
        <v>3036.87</v>
      </c>
      <c r="S36" s="6">
        <v>3036.87</v>
      </c>
      <c r="T36" s="9">
        <v>0</v>
      </c>
      <c r="U36" s="9">
        <f>IF(T36&gt;0.3, $AO$4, T36)</f>
        <v>0</v>
      </c>
      <c r="V36" s="7" t="str">
        <f t="shared" si="4"/>
        <v>Less than 20%</v>
      </c>
      <c r="W36" s="11">
        <v>9</v>
      </c>
      <c r="X36" s="6">
        <f t="shared" si="1"/>
        <v>27331.829999999998</v>
      </c>
      <c r="Y36" s="6">
        <f t="shared" si="2"/>
        <v>12892.68</v>
      </c>
      <c r="Z36" s="6">
        <f t="shared" si="5"/>
        <v>14439.149999999998</v>
      </c>
      <c r="AA36" s="9">
        <f t="shared" si="6"/>
        <v>0.52829064135112791</v>
      </c>
      <c r="AB36" s="9">
        <f>IF(U36&gt;'What-If Analysis'!$F$16, 'What-If Analysis'!$F$16,T36)</f>
        <v>0</v>
      </c>
      <c r="AC36" s="42">
        <f>S36*(1-AB36)</f>
        <v>3036.87</v>
      </c>
      <c r="AD36" s="42">
        <f>Q36*(1+'What-If Analysis'!F51)</f>
        <v>1432.52</v>
      </c>
      <c r="AE36" s="41">
        <f>W36*(1+'What-If Analysis'!$F$18)</f>
        <v>10.53</v>
      </c>
      <c r="AF36" s="42">
        <f t="shared" si="7"/>
        <v>31978.241099999996</v>
      </c>
      <c r="AG36" s="42">
        <f t="shared" si="8"/>
        <v>15084.435599999999</v>
      </c>
      <c r="AH36" s="42">
        <f t="shared" si="9"/>
        <v>16893.805499999995</v>
      </c>
      <c r="AI36" s="44">
        <f t="shared" si="10"/>
        <v>0.52829064135112791</v>
      </c>
      <c r="AJ36" s="42">
        <f t="shared" si="11"/>
        <v>4646.4110999999975</v>
      </c>
      <c r="AK36" s="42">
        <f t="shared" si="12"/>
        <v>14439.149999999998</v>
      </c>
      <c r="AL36" s="9">
        <f t="shared" si="13"/>
        <v>0</v>
      </c>
      <c r="AM36" s="42"/>
    </row>
    <row r="37" spans="1:39" x14ac:dyDescent="0.25">
      <c r="A37" t="s">
        <v>50</v>
      </c>
      <c r="B37" s="20">
        <v>45012</v>
      </c>
      <c r="C37" s="4">
        <v>45038</v>
      </c>
      <c r="D37" s="4" t="s">
        <v>1436</v>
      </c>
      <c r="E37" s="4">
        <v>45038</v>
      </c>
      <c r="F37" s="11">
        <f t="shared" si="0"/>
        <v>26</v>
      </c>
      <c r="G37" s="11" t="str">
        <f t="shared" si="3"/>
        <v>Does not Meet Target</v>
      </c>
      <c r="H37" t="s">
        <v>647</v>
      </c>
      <c r="I37" t="s">
        <v>654</v>
      </c>
      <c r="J37" t="s">
        <v>680</v>
      </c>
      <c r="K37" t="s">
        <v>703</v>
      </c>
      <c r="L37" t="s">
        <v>709</v>
      </c>
      <c r="M37" t="s">
        <v>713</v>
      </c>
      <c r="N37" t="s">
        <v>728</v>
      </c>
      <c r="O37" t="str" cm="1">
        <f t="array" ref="O37">_xlfn.IFS(S37&lt;=_xlfn.PERCENTILE.INC(IF(N37:N667=N37, S37:S667), 0.33), "Low", S37&lt;=_xlfn.PERCENTILE.INC(IF(N37:N667=N37, S37:S667), 0.66), "Medium", S37 &gt; _xlfn.PERCENTILE.INC(IF(N37:N667=N37, S37:S667), 0.66), "High")</f>
        <v>Low</v>
      </c>
      <c r="P37" t="s">
        <v>769</v>
      </c>
      <c r="Q37" s="6">
        <v>178.53</v>
      </c>
      <c r="R37" s="6">
        <v>199.37</v>
      </c>
      <c r="S37" s="6">
        <v>199.37</v>
      </c>
      <c r="T37" s="9">
        <v>0.10100000000000001</v>
      </c>
      <c r="U37" s="9">
        <f>IF(T37&gt;0.3, $AO$4, T37)</f>
        <v>0.10100000000000001</v>
      </c>
      <c r="V37" s="7" t="str">
        <f t="shared" si="4"/>
        <v>Less than 20%</v>
      </c>
      <c r="W37" s="11">
        <v>37</v>
      </c>
      <c r="X37" s="6">
        <f t="shared" si="1"/>
        <v>6631.6443100000006</v>
      </c>
      <c r="Y37" s="6">
        <f t="shared" si="2"/>
        <v>6605.61</v>
      </c>
      <c r="Z37" s="6">
        <f t="shared" si="5"/>
        <v>26.034310000000914</v>
      </c>
      <c r="AA37" s="9">
        <f t="shared" si="6"/>
        <v>3.9257699573457538E-3</v>
      </c>
      <c r="AB37" s="9">
        <f>IF(U37&gt;'What-If Analysis'!$F$16, 'What-If Analysis'!$F$16,T37)</f>
        <v>0.10100000000000001</v>
      </c>
      <c r="AC37" s="42">
        <f>S37*(1-AB37)</f>
        <v>179.23363000000001</v>
      </c>
      <c r="AD37" s="42">
        <f>Q37*(1+'What-If Analysis'!F52)</f>
        <v>178.53</v>
      </c>
      <c r="AE37" s="41">
        <f>W37*(1+'What-If Analysis'!$F$18)</f>
        <v>43.29</v>
      </c>
      <c r="AF37" s="42">
        <f t="shared" si="7"/>
        <v>7759.0238427000004</v>
      </c>
      <c r="AG37" s="42">
        <f t="shared" si="8"/>
        <v>7728.5636999999997</v>
      </c>
      <c r="AH37" s="42">
        <f t="shared" si="9"/>
        <v>30.460142700000688</v>
      </c>
      <c r="AI37" s="44">
        <f t="shared" si="10"/>
        <v>3.9257699573457053E-3</v>
      </c>
      <c r="AJ37" s="42">
        <f t="shared" si="11"/>
        <v>1127.3795326999998</v>
      </c>
      <c r="AK37" s="42">
        <f t="shared" si="12"/>
        <v>26.034310000000914</v>
      </c>
      <c r="AL37" s="9">
        <f t="shared" si="13"/>
        <v>-4.8572257327350599E-17</v>
      </c>
      <c r="AM37" s="42"/>
    </row>
    <row r="38" spans="1:39" x14ac:dyDescent="0.25">
      <c r="A38" t="s">
        <v>51</v>
      </c>
      <c r="B38" s="20">
        <v>45358</v>
      </c>
      <c r="C38" s="4">
        <v>45376</v>
      </c>
      <c r="D38" s="4" t="s">
        <v>1434</v>
      </c>
      <c r="E38" s="4">
        <v>45376</v>
      </c>
      <c r="F38" s="11">
        <f t="shared" si="0"/>
        <v>18</v>
      </c>
      <c r="G38" s="11" t="str">
        <f t="shared" si="3"/>
        <v>Does not Meet Target</v>
      </c>
      <c r="H38" t="s">
        <v>649</v>
      </c>
      <c r="I38" t="s">
        <v>656</v>
      </c>
      <c r="J38" t="s">
        <v>684</v>
      </c>
      <c r="K38" t="s">
        <v>701</v>
      </c>
      <c r="L38" t="s">
        <v>708</v>
      </c>
      <c r="M38" t="s">
        <v>717</v>
      </c>
      <c r="N38" t="s">
        <v>727</v>
      </c>
      <c r="O38" t="str" cm="1">
        <f t="array" ref="O38">_xlfn.IFS(S38&lt;=_xlfn.PERCENTILE.INC(IF(N38:N668=N38, S38:S668), 0.33), "Low", S38&lt;=_xlfn.PERCENTILE.INC(IF(N38:N668=N38, S38:S668), 0.66), "Medium", S38 &gt; _xlfn.PERCENTILE.INC(IF(N38:N668=N38, S38:S668), 0.66), "High")</f>
        <v>Medium</v>
      </c>
      <c r="P38" t="s">
        <v>770</v>
      </c>
      <c r="Q38" s="6">
        <v>712.84</v>
      </c>
      <c r="R38" s="6">
        <v>927.51</v>
      </c>
      <c r="S38" s="6">
        <v>927.51</v>
      </c>
      <c r="T38" s="9">
        <v>0.24299999999999999</v>
      </c>
      <c r="U38" s="9">
        <f>IF(T38&gt;0.3, $AO$4, T38)</f>
        <v>0.24299999999999999</v>
      </c>
      <c r="V38" s="7" t="str">
        <f t="shared" si="4"/>
        <v>Greater than 20%</v>
      </c>
      <c r="W38" s="11">
        <v>27</v>
      </c>
      <c r="X38" s="6">
        <f t="shared" si="1"/>
        <v>18957.37689</v>
      </c>
      <c r="Y38" s="6">
        <f t="shared" si="2"/>
        <v>19246.68</v>
      </c>
      <c r="Z38" s="6">
        <f t="shared" si="5"/>
        <v>-289.30311000000074</v>
      </c>
      <c r="AA38" s="9">
        <f t="shared" si="6"/>
        <v>-1.5260714163076427E-2</v>
      </c>
      <c r="AB38" s="9">
        <f>IF(U38&gt;'What-If Analysis'!$F$16, 'What-If Analysis'!$F$16,T38)</f>
        <v>0.17</v>
      </c>
      <c r="AC38" s="42">
        <f>S38*(1-AB38)</f>
        <v>769.83330000000001</v>
      </c>
      <c r="AD38" s="42">
        <f>Q38*(1+'What-If Analysis'!F53)</f>
        <v>712.84</v>
      </c>
      <c r="AE38" s="41">
        <f>W38*(1+'What-If Analysis'!$F$18)</f>
        <v>31.589999999999996</v>
      </c>
      <c r="AF38" s="42">
        <f t="shared" si="7"/>
        <v>24319.033946999996</v>
      </c>
      <c r="AG38" s="42">
        <f t="shared" si="8"/>
        <v>22518.615599999997</v>
      </c>
      <c r="AH38" s="42">
        <f t="shared" si="9"/>
        <v>1800.4183469999989</v>
      </c>
      <c r="AI38" s="44">
        <f t="shared" si="10"/>
        <v>7.4033300456085721E-2</v>
      </c>
      <c r="AJ38" s="42">
        <f t="shared" si="11"/>
        <v>5361.6570569999967</v>
      </c>
      <c r="AK38" s="42">
        <f t="shared" si="12"/>
        <v>-289.30311000000074</v>
      </c>
      <c r="AL38" s="9">
        <f t="shared" si="13"/>
        <v>8.9294014619162143E-2</v>
      </c>
      <c r="AM38" s="42"/>
    </row>
    <row r="39" spans="1:39" x14ac:dyDescent="0.25">
      <c r="A39" t="s">
        <v>52</v>
      </c>
      <c r="B39" s="20">
        <v>45832</v>
      </c>
      <c r="C39" s="4">
        <v>45848</v>
      </c>
      <c r="D39" s="4" t="s">
        <v>1440</v>
      </c>
      <c r="E39" s="4">
        <v>45848</v>
      </c>
      <c r="F39" s="11">
        <f t="shared" si="0"/>
        <v>16</v>
      </c>
      <c r="G39" s="11" t="str">
        <f t="shared" si="3"/>
        <v>Does not Meet Target</v>
      </c>
      <c r="H39" t="s">
        <v>647</v>
      </c>
      <c r="I39" t="s">
        <v>659</v>
      </c>
      <c r="J39" t="s">
        <v>685</v>
      </c>
      <c r="K39" t="s">
        <v>706</v>
      </c>
      <c r="L39" t="s">
        <v>711</v>
      </c>
      <c r="M39" t="s">
        <v>725</v>
      </c>
      <c r="N39" t="s">
        <v>727</v>
      </c>
      <c r="O39" t="str" cm="1">
        <f t="array" ref="O39">_xlfn.IFS(S39&lt;=_xlfn.PERCENTILE.INC(IF(N39:N669=N39, S39:S669), 0.33), "Low", S39&lt;=_xlfn.PERCENTILE.INC(IF(N39:N669=N39, S39:S669), 0.66), "Medium", S39 &gt; _xlfn.PERCENTILE.INC(IF(N39:N669=N39, S39:S669), 0.66), "High")</f>
        <v>High</v>
      </c>
      <c r="P39" t="s">
        <v>771</v>
      </c>
      <c r="Q39" s="6">
        <v>757.19</v>
      </c>
      <c r="R39" s="6">
        <v>1735.41</v>
      </c>
      <c r="S39" s="6">
        <v>1735.41</v>
      </c>
      <c r="T39" s="9">
        <v>0.13600000000000001</v>
      </c>
      <c r="U39" s="9">
        <f>IF(T39&gt;0.3, $AO$4, T39)</f>
        <v>0.13600000000000001</v>
      </c>
      <c r="V39" s="7" t="str">
        <f t="shared" si="4"/>
        <v>Less than 20%</v>
      </c>
      <c r="W39" s="11">
        <v>8</v>
      </c>
      <c r="X39" s="6">
        <f t="shared" si="1"/>
        <v>11995.153920000001</v>
      </c>
      <c r="Y39" s="6">
        <f t="shared" si="2"/>
        <v>6057.52</v>
      </c>
      <c r="Z39" s="6">
        <f t="shared" si="5"/>
        <v>5937.6339200000002</v>
      </c>
      <c r="AA39" s="9">
        <f t="shared" si="6"/>
        <v>0.4950027285685718</v>
      </c>
      <c r="AB39" s="9">
        <f>IF(U39&gt;'What-If Analysis'!$F$16, 'What-If Analysis'!$F$16,T39)</f>
        <v>0.13600000000000001</v>
      </c>
      <c r="AC39" s="42">
        <f>S39*(1-AB39)</f>
        <v>1499.3942400000001</v>
      </c>
      <c r="AD39" s="42">
        <f>Q39*(1+'What-If Analysis'!F54)</f>
        <v>757.19</v>
      </c>
      <c r="AE39" s="41">
        <f>W39*(1+'What-If Analysis'!$F$18)</f>
        <v>9.36</v>
      </c>
      <c r="AF39" s="42">
        <f t="shared" si="7"/>
        <v>14034.330086399999</v>
      </c>
      <c r="AG39" s="42">
        <f t="shared" si="8"/>
        <v>7087.2983999999997</v>
      </c>
      <c r="AH39" s="42">
        <f t="shared" si="9"/>
        <v>6947.0316863999997</v>
      </c>
      <c r="AI39" s="44">
        <f t="shared" si="10"/>
        <v>0.4950027285685718</v>
      </c>
      <c r="AJ39" s="42">
        <f t="shared" si="11"/>
        <v>2039.1761663999987</v>
      </c>
      <c r="AK39" s="42">
        <f t="shared" si="12"/>
        <v>5937.6339200000002</v>
      </c>
      <c r="AL39" s="9">
        <f t="shared" si="13"/>
        <v>0</v>
      </c>
      <c r="AM39" s="42"/>
    </row>
    <row r="40" spans="1:39" x14ac:dyDescent="0.25">
      <c r="A40" t="s">
        <v>53</v>
      </c>
      <c r="B40" s="20">
        <v>45401</v>
      </c>
      <c r="C40" s="4">
        <v>45418</v>
      </c>
      <c r="D40" s="4" t="s">
        <v>1439</v>
      </c>
      <c r="E40" s="4">
        <v>45418</v>
      </c>
      <c r="F40" s="11">
        <f t="shared" si="0"/>
        <v>17</v>
      </c>
      <c r="G40" s="11" t="str">
        <f t="shared" si="3"/>
        <v>Does not Meet Target</v>
      </c>
      <c r="H40" t="s">
        <v>646</v>
      </c>
      <c r="I40" t="s">
        <v>651</v>
      </c>
      <c r="J40" t="s">
        <v>663</v>
      </c>
      <c r="K40" t="s">
        <v>703</v>
      </c>
      <c r="L40" t="s">
        <v>708</v>
      </c>
      <c r="M40" t="s">
        <v>720</v>
      </c>
      <c r="N40" t="s">
        <v>728</v>
      </c>
      <c r="O40" t="str" cm="1">
        <f t="array" ref="O40">_xlfn.IFS(S40&lt;=_xlfn.PERCENTILE.INC(IF(N40:N670=N40, S40:S670), 0.33), "Low", S40&lt;=_xlfn.PERCENTILE.INC(IF(N40:N670=N40, S40:S670), 0.66), "Medium", S40 &gt; _xlfn.PERCENTILE.INC(IF(N40:N670=N40, S40:S670), 0.66), "High")</f>
        <v>Medium</v>
      </c>
      <c r="P40" t="s">
        <v>772</v>
      </c>
      <c r="Q40" s="6">
        <v>865.33</v>
      </c>
      <c r="R40" s="6">
        <v>1395.64</v>
      </c>
      <c r="S40" s="6">
        <v>1395.64</v>
      </c>
      <c r="T40" s="9">
        <v>0.17499999999999999</v>
      </c>
      <c r="U40" s="9">
        <f>IF(T40&gt;0.3, $AO$4, T40)</f>
        <v>0.17499999999999999</v>
      </c>
      <c r="V40" s="7" t="str">
        <f t="shared" si="4"/>
        <v>Less than 20%</v>
      </c>
      <c r="W40" s="11">
        <v>13</v>
      </c>
      <c r="X40" s="6">
        <f t="shared" si="1"/>
        <v>14968.239</v>
      </c>
      <c r="Y40" s="6">
        <f t="shared" si="2"/>
        <v>11249.29</v>
      </c>
      <c r="Z40" s="6">
        <f t="shared" si="5"/>
        <v>3718.9489999999987</v>
      </c>
      <c r="AA40" s="9">
        <f t="shared" si="6"/>
        <v>0.24845601409758347</v>
      </c>
      <c r="AB40" s="9">
        <f>IF(U40&gt;'What-If Analysis'!$F$16, 'What-If Analysis'!$F$16,T40)</f>
        <v>0.17</v>
      </c>
      <c r="AC40" s="42">
        <f>S40*(1-AB40)</f>
        <v>1158.3812</v>
      </c>
      <c r="AD40" s="42">
        <f>Q40*(1+'What-If Analysis'!F55)</f>
        <v>865.33</v>
      </c>
      <c r="AE40" s="41">
        <f>W40*(1+'What-If Analysis'!$F$18)</f>
        <v>15.209999999999999</v>
      </c>
      <c r="AF40" s="42">
        <f t="shared" si="7"/>
        <v>17618.978051999999</v>
      </c>
      <c r="AG40" s="42">
        <f t="shared" si="8"/>
        <v>13161.6693</v>
      </c>
      <c r="AH40" s="42">
        <f t="shared" si="9"/>
        <v>4457.308751999999</v>
      </c>
      <c r="AI40" s="44">
        <f t="shared" si="10"/>
        <v>0.25298338750663424</v>
      </c>
      <c r="AJ40" s="42">
        <f t="shared" si="11"/>
        <v>2650.739051999999</v>
      </c>
      <c r="AK40" s="42">
        <f t="shared" si="12"/>
        <v>3718.9489999999987</v>
      </c>
      <c r="AL40" s="9">
        <f t="shared" si="13"/>
        <v>4.5273734090507667E-3</v>
      </c>
      <c r="AM40" s="42"/>
    </row>
    <row r="41" spans="1:39" x14ac:dyDescent="0.25">
      <c r="A41" t="s">
        <v>54</v>
      </c>
      <c r="B41" s="20">
        <v>45094</v>
      </c>
      <c r="C41" s="4">
        <v>45101</v>
      </c>
      <c r="D41" s="4" t="s">
        <v>1442</v>
      </c>
      <c r="E41" s="4">
        <v>45101</v>
      </c>
      <c r="F41" s="11">
        <f t="shared" si="0"/>
        <v>7</v>
      </c>
      <c r="G41" s="11" t="str">
        <f t="shared" si="3"/>
        <v>Meets Target</v>
      </c>
      <c r="H41" t="s">
        <v>648</v>
      </c>
      <c r="I41" t="s">
        <v>660</v>
      </c>
      <c r="J41" t="s">
        <v>686</v>
      </c>
      <c r="K41" t="s">
        <v>701</v>
      </c>
      <c r="L41" t="s">
        <v>707</v>
      </c>
      <c r="M41" t="s">
        <v>714</v>
      </c>
      <c r="N41" t="s">
        <v>728</v>
      </c>
      <c r="O41" t="str" cm="1">
        <f t="array" ref="O41">_xlfn.IFS(S41&lt;=_xlfn.PERCENTILE.INC(IF(N41:N671=N41, S41:S671), 0.33), "Low", S41&lt;=_xlfn.PERCENTILE.INC(IF(N41:N671=N41, S41:S671), 0.66), "Medium", S41 &gt; _xlfn.PERCENTILE.INC(IF(N41:N671=N41, S41:S671), 0.66), "High")</f>
        <v>Low</v>
      </c>
      <c r="P41" t="s">
        <v>773</v>
      </c>
      <c r="Q41" s="6">
        <v>313.99</v>
      </c>
      <c r="R41" s="6">
        <v>454.42</v>
      </c>
      <c r="S41" s="6">
        <v>454.42</v>
      </c>
      <c r="T41" s="9">
        <v>0.129</v>
      </c>
      <c r="U41" s="9">
        <f>IF(T41&gt;0.3, $AO$4, T41)</f>
        <v>0.129</v>
      </c>
      <c r="V41" s="7" t="str">
        <f t="shared" si="4"/>
        <v>Less than 20%</v>
      </c>
      <c r="W41" s="11">
        <v>9</v>
      </c>
      <c r="X41" s="6">
        <f t="shared" si="1"/>
        <v>3562.1983800000003</v>
      </c>
      <c r="Y41" s="6">
        <f t="shared" si="2"/>
        <v>2825.91</v>
      </c>
      <c r="Z41" s="6">
        <f t="shared" si="5"/>
        <v>736.28838000000042</v>
      </c>
      <c r="AA41" s="9">
        <f t="shared" si="6"/>
        <v>0.20669493988147858</v>
      </c>
      <c r="AB41" s="9">
        <f>IF(U41&gt;'What-If Analysis'!$F$16, 'What-If Analysis'!$F$16,T41)</f>
        <v>0.129</v>
      </c>
      <c r="AC41" s="42">
        <f>S41*(1-AB41)</f>
        <v>395.79982000000001</v>
      </c>
      <c r="AD41" s="42">
        <f>Q41*(1+'What-If Analysis'!F56)</f>
        <v>313.99</v>
      </c>
      <c r="AE41" s="41">
        <f>W41*(1+'What-If Analysis'!$F$18)</f>
        <v>10.53</v>
      </c>
      <c r="AF41" s="42">
        <f t="shared" si="7"/>
        <v>4167.7721045999997</v>
      </c>
      <c r="AG41" s="42">
        <f t="shared" si="8"/>
        <v>3306.3146999999999</v>
      </c>
      <c r="AH41" s="42">
        <f t="shared" si="9"/>
        <v>861.45740459999979</v>
      </c>
      <c r="AI41" s="44">
        <f t="shared" si="10"/>
        <v>0.20669493988147844</v>
      </c>
      <c r="AJ41" s="42">
        <f t="shared" si="11"/>
        <v>605.57372459999942</v>
      </c>
      <c r="AK41" s="42">
        <f t="shared" si="12"/>
        <v>736.28838000000042</v>
      </c>
      <c r="AL41" s="9">
        <f t="shared" si="13"/>
        <v>0</v>
      </c>
      <c r="AM41" s="42"/>
    </row>
    <row r="42" spans="1:39" x14ac:dyDescent="0.25">
      <c r="A42" t="s">
        <v>55</v>
      </c>
      <c r="B42" s="20">
        <v>45531</v>
      </c>
      <c r="C42" s="4">
        <v>45554</v>
      </c>
      <c r="D42" s="4" t="s">
        <v>1443</v>
      </c>
      <c r="E42" s="4">
        <v>45554</v>
      </c>
      <c r="F42" s="11">
        <f t="shared" si="0"/>
        <v>23</v>
      </c>
      <c r="G42" s="11" t="str">
        <f t="shared" si="3"/>
        <v>Does not Meet Target</v>
      </c>
      <c r="H42" t="s">
        <v>649</v>
      </c>
      <c r="I42" t="s">
        <v>656</v>
      </c>
      <c r="J42" t="s">
        <v>671</v>
      </c>
      <c r="K42" t="s">
        <v>705</v>
      </c>
      <c r="L42" t="s">
        <v>711</v>
      </c>
      <c r="M42" t="s">
        <v>726</v>
      </c>
      <c r="N42" t="s">
        <v>732</v>
      </c>
      <c r="O42" t="str" cm="1">
        <f t="array" ref="O42">_xlfn.IFS(S42&lt;=_xlfn.PERCENTILE.INC(IF(N42:N672=N42, S42:S672), 0.33), "Low", S42&lt;=_xlfn.PERCENTILE.INC(IF(N42:N672=N42, S42:S672), 0.66), "Medium", S42 &gt; _xlfn.PERCENTILE.INC(IF(N42:N672=N42, S42:S672), 0.66), "High")</f>
        <v>High</v>
      </c>
      <c r="P42" t="s">
        <v>774</v>
      </c>
      <c r="Q42" s="6">
        <v>1024.01</v>
      </c>
      <c r="R42" s="6">
        <v>1580.97</v>
      </c>
      <c r="S42" s="6">
        <v>1580.97</v>
      </c>
      <c r="T42" s="9">
        <v>3.6999999999999998E-2</v>
      </c>
      <c r="U42" s="9">
        <f>IF(T42&gt;0.3, $AO$4, T42)</f>
        <v>3.6999999999999998E-2</v>
      </c>
      <c r="V42" s="7" t="str">
        <f t="shared" si="4"/>
        <v>Less than 20%</v>
      </c>
      <c r="W42" s="11">
        <v>27</v>
      </c>
      <c r="X42" s="6">
        <f t="shared" si="1"/>
        <v>41106.800970000004</v>
      </c>
      <c r="Y42" s="6">
        <f t="shared" si="2"/>
        <v>27648.27</v>
      </c>
      <c r="Z42" s="6">
        <f t="shared" si="5"/>
        <v>13458.530970000003</v>
      </c>
      <c r="AA42" s="9">
        <f t="shared" si="6"/>
        <v>0.3274039976942531</v>
      </c>
      <c r="AB42" s="9">
        <f>IF(U42&gt;'What-If Analysis'!$F$16, 'What-If Analysis'!$F$16,T42)</f>
        <v>3.6999999999999998E-2</v>
      </c>
      <c r="AC42" s="42">
        <f>S42*(1-AB42)</f>
        <v>1522.4741099999999</v>
      </c>
      <c r="AD42" s="42">
        <f>Q42*(1+'What-If Analysis'!F57)</f>
        <v>1024.01</v>
      </c>
      <c r="AE42" s="41">
        <f>W42*(1+'What-If Analysis'!$F$18)</f>
        <v>31.589999999999996</v>
      </c>
      <c r="AF42" s="42">
        <f t="shared" si="7"/>
        <v>48094.957134899989</v>
      </c>
      <c r="AG42" s="42">
        <f t="shared" si="8"/>
        <v>32348.475899999998</v>
      </c>
      <c r="AH42" s="42">
        <f t="shared" si="9"/>
        <v>15746.481234899991</v>
      </c>
      <c r="AI42" s="44">
        <f t="shared" si="10"/>
        <v>0.32740399769425299</v>
      </c>
      <c r="AJ42" s="42">
        <f t="shared" si="11"/>
        <v>6988.156164899985</v>
      </c>
      <c r="AK42" s="42">
        <f t="shared" si="12"/>
        <v>13458.530970000003</v>
      </c>
      <c r="AL42" s="9">
        <f t="shared" si="13"/>
        <v>0</v>
      </c>
      <c r="AM42" s="42"/>
    </row>
    <row r="43" spans="1:39" x14ac:dyDescent="0.25">
      <c r="A43" t="s">
        <v>56</v>
      </c>
      <c r="B43" s="20">
        <v>45302</v>
      </c>
      <c r="C43" s="4">
        <v>45324</v>
      </c>
      <c r="D43" s="4" t="s">
        <v>1434</v>
      </c>
      <c r="E43" s="4">
        <v>45324</v>
      </c>
      <c r="F43" s="11">
        <f t="shared" si="0"/>
        <v>22</v>
      </c>
      <c r="G43" s="11" t="str">
        <f t="shared" si="3"/>
        <v>Does not Meet Target</v>
      </c>
      <c r="H43" t="s">
        <v>646</v>
      </c>
      <c r="I43" t="s">
        <v>661</v>
      </c>
      <c r="J43" t="s">
        <v>687</v>
      </c>
      <c r="K43" t="s">
        <v>704</v>
      </c>
      <c r="L43" t="s">
        <v>708</v>
      </c>
      <c r="M43" t="s">
        <v>723</v>
      </c>
      <c r="N43" t="s">
        <v>729</v>
      </c>
      <c r="O43" t="str" cm="1">
        <f t="array" ref="O43">_xlfn.IFS(S43&lt;=_xlfn.PERCENTILE.INC(IF(N43:N673=N43, S43:S673), 0.33), "Low", S43&lt;=_xlfn.PERCENTILE.INC(IF(N43:N673=N43, S43:S673), 0.66), "Medium", S43 &gt; _xlfn.PERCENTILE.INC(IF(N43:N673=N43, S43:S673), 0.66), "High")</f>
        <v>Medium</v>
      </c>
      <c r="P43" t="s">
        <v>775</v>
      </c>
      <c r="Q43" s="6">
        <v>1206.2</v>
      </c>
      <c r="R43" s="6">
        <v>1759.79</v>
      </c>
      <c r="S43" s="6">
        <v>1759.79</v>
      </c>
      <c r="T43" s="9">
        <v>0</v>
      </c>
      <c r="U43" s="9">
        <f>IF(T43&gt;0.3, $AO$4, T43)</f>
        <v>0</v>
      </c>
      <c r="V43" s="7" t="str">
        <f t="shared" si="4"/>
        <v>Less than 20%</v>
      </c>
      <c r="W43" s="11">
        <v>6</v>
      </c>
      <c r="X43" s="6">
        <f t="shared" si="1"/>
        <v>10558.74</v>
      </c>
      <c r="Y43" s="6">
        <f t="shared" si="2"/>
        <v>7237.2000000000007</v>
      </c>
      <c r="Z43" s="6">
        <f t="shared" si="5"/>
        <v>3321.5399999999991</v>
      </c>
      <c r="AA43" s="9">
        <f t="shared" si="6"/>
        <v>0.31457730751964713</v>
      </c>
      <c r="AB43" s="9">
        <f>IF(U43&gt;'What-If Analysis'!$F$16, 'What-If Analysis'!$F$16,T43)</f>
        <v>0</v>
      </c>
      <c r="AC43" s="42">
        <f>S43*(1-AB43)</f>
        <v>1759.79</v>
      </c>
      <c r="AD43" s="42">
        <f>Q43*(1+'What-If Analysis'!F58)</f>
        <v>1206.2</v>
      </c>
      <c r="AE43" s="41">
        <f>W43*(1+'What-If Analysis'!$F$18)</f>
        <v>7.02</v>
      </c>
      <c r="AF43" s="42">
        <f t="shared" si="7"/>
        <v>12353.725799999998</v>
      </c>
      <c r="AG43" s="42">
        <f t="shared" si="8"/>
        <v>8467.5239999999994</v>
      </c>
      <c r="AH43" s="42">
        <f t="shared" si="9"/>
        <v>3886.2017999999989</v>
      </c>
      <c r="AI43" s="44">
        <f t="shared" si="10"/>
        <v>0.31457730751964719</v>
      </c>
      <c r="AJ43" s="42">
        <f t="shared" si="11"/>
        <v>1794.9857999999986</v>
      </c>
      <c r="AK43" s="42">
        <f t="shared" si="12"/>
        <v>3321.5399999999991</v>
      </c>
      <c r="AL43" s="9">
        <f t="shared" si="13"/>
        <v>0</v>
      </c>
      <c r="AM43" s="42"/>
    </row>
    <row r="44" spans="1:39" x14ac:dyDescent="0.25">
      <c r="A44" t="s">
        <v>57</v>
      </c>
      <c r="B44" s="20">
        <v>45590</v>
      </c>
      <c r="C44" s="4">
        <v>45610</v>
      </c>
      <c r="D44" s="4" t="s">
        <v>1435</v>
      </c>
      <c r="E44" s="4">
        <v>45610</v>
      </c>
      <c r="F44" s="11">
        <f t="shared" si="0"/>
        <v>20</v>
      </c>
      <c r="G44" s="11" t="str">
        <f t="shared" si="3"/>
        <v>Does not Meet Target</v>
      </c>
      <c r="H44" t="s">
        <v>646</v>
      </c>
      <c r="I44" t="s">
        <v>650</v>
      </c>
      <c r="J44" t="s">
        <v>675</v>
      </c>
      <c r="K44" t="s">
        <v>701</v>
      </c>
      <c r="L44" t="s">
        <v>711</v>
      </c>
      <c r="M44" t="s">
        <v>722</v>
      </c>
      <c r="N44" t="s">
        <v>728</v>
      </c>
      <c r="O44" t="str" cm="1">
        <f t="array" ref="O44">_xlfn.IFS(S44&lt;=_xlfn.PERCENTILE.INC(IF(N44:N674=N44, S44:S674), 0.33), "Low", S44&lt;=_xlfn.PERCENTILE.INC(IF(N44:N674=N44, S44:S674), 0.66), "Medium", S44 &gt; _xlfn.PERCENTILE.INC(IF(N44:N674=N44, S44:S674), 0.66), "High")</f>
        <v>High</v>
      </c>
      <c r="P44" t="s">
        <v>776</v>
      </c>
      <c r="Q44" s="6">
        <v>1396.48</v>
      </c>
      <c r="R44" s="6">
        <v>3204.5</v>
      </c>
      <c r="S44" s="6">
        <v>3204.5</v>
      </c>
      <c r="T44" s="9">
        <v>0.318</v>
      </c>
      <c r="U44" s="9">
        <f>IF(T44&gt;0.3, $AO$4, T44)</f>
        <v>0.12</v>
      </c>
      <c r="V44" s="7" t="str">
        <f t="shared" si="4"/>
        <v>Less than 20%</v>
      </c>
      <c r="W44" s="11">
        <v>14</v>
      </c>
      <c r="X44" s="6">
        <f t="shared" si="1"/>
        <v>39479.440000000002</v>
      </c>
      <c r="Y44" s="6">
        <f t="shared" si="2"/>
        <v>19550.72</v>
      </c>
      <c r="Z44" s="6">
        <f t="shared" si="5"/>
        <v>19928.72</v>
      </c>
      <c r="AA44" s="9">
        <f t="shared" si="6"/>
        <v>0.5047873019475454</v>
      </c>
      <c r="AB44" s="9">
        <f>IF(U44&gt;'What-If Analysis'!$F$16, 'What-If Analysis'!$F$16,T44)</f>
        <v>0.318</v>
      </c>
      <c r="AC44" s="42">
        <f>S44*(1-AB44)</f>
        <v>2185.4689999999996</v>
      </c>
      <c r="AD44" s="42">
        <f>Q44*(1+'What-If Analysis'!F59)</f>
        <v>1396.48</v>
      </c>
      <c r="AE44" s="41">
        <f>W44*(1+'What-If Analysis'!$F$18)</f>
        <v>16.38</v>
      </c>
      <c r="AF44" s="42">
        <f t="shared" si="7"/>
        <v>35797.982219999991</v>
      </c>
      <c r="AG44" s="42">
        <f t="shared" si="8"/>
        <v>22874.342399999998</v>
      </c>
      <c r="AH44" s="42">
        <f t="shared" si="9"/>
        <v>12923.639819999993</v>
      </c>
      <c r="AI44" s="44">
        <f t="shared" si="10"/>
        <v>0.36101587348070358</v>
      </c>
      <c r="AJ44" s="42">
        <f t="shared" si="11"/>
        <v>-3681.4577800000116</v>
      </c>
      <c r="AK44" s="42">
        <f t="shared" si="12"/>
        <v>19928.72</v>
      </c>
      <c r="AL44" s="9">
        <f t="shared" si="13"/>
        <v>-0.14377142846684182</v>
      </c>
      <c r="AM44" s="42"/>
    </row>
    <row r="45" spans="1:39" x14ac:dyDescent="0.25">
      <c r="A45" t="s">
        <v>58</v>
      </c>
      <c r="B45" s="20">
        <v>45806</v>
      </c>
      <c r="C45" s="4">
        <v>45828</v>
      </c>
      <c r="D45" s="4" t="s">
        <v>1440</v>
      </c>
      <c r="E45" s="4">
        <v>45828</v>
      </c>
      <c r="F45" s="11">
        <f t="shared" si="0"/>
        <v>22</v>
      </c>
      <c r="G45" s="11" t="str">
        <f t="shared" si="3"/>
        <v>Does not Meet Target</v>
      </c>
      <c r="H45" t="s">
        <v>649</v>
      </c>
      <c r="I45" t="s">
        <v>656</v>
      </c>
      <c r="J45" t="s">
        <v>671</v>
      </c>
      <c r="K45" t="s">
        <v>701</v>
      </c>
      <c r="L45" t="s">
        <v>711</v>
      </c>
      <c r="M45" t="s">
        <v>720</v>
      </c>
      <c r="N45" t="s">
        <v>728</v>
      </c>
      <c r="O45" t="str" cm="1">
        <f t="array" ref="O45">_xlfn.IFS(S45&lt;=_xlfn.PERCENTILE.INC(IF(N45:N675=N45, S45:S675), 0.33), "Low", S45&lt;=_xlfn.PERCENTILE.INC(IF(N45:N675=N45, S45:S675), 0.66), "Medium", S45 &gt; _xlfn.PERCENTILE.INC(IF(N45:N675=N45, S45:S675), 0.66), "High")</f>
        <v>Medium</v>
      </c>
      <c r="P45" t="s">
        <v>777</v>
      </c>
      <c r="Q45" s="6">
        <v>483.47</v>
      </c>
      <c r="R45" s="6">
        <v>1135.43</v>
      </c>
      <c r="S45" s="6">
        <v>1135.43</v>
      </c>
      <c r="T45" s="9">
        <v>0.14599999999999999</v>
      </c>
      <c r="U45" s="9">
        <f>IF(T45&gt;0.3, $AO$4, T45)</f>
        <v>0.14599999999999999</v>
      </c>
      <c r="V45" s="7" t="str">
        <f t="shared" si="4"/>
        <v>Less than 20%</v>
      </c>
      <c r="W45" s="11">
        <v>11</v>
      </c>
      <c r="X45" s="6">
        <f t="shared" si="1"/>
        <v>10666.229420000001</v>
      </c>
      <c r="Y45" s="6">
        <f t="shared" si="2"/>
        <v>5318.17</v>
      </c>
      <c r="Z45" s="6">
        <f t="shared" si="5"/>
        <v>5348.0594200000014</v>
      </c>
      <c r="AA45" s="9">
        <f t="shared" si="6"/>
        <v>0.50140112399719983</v>
      </c>
      <c r="AB45" s="9">
        <f>IF(U45&gt;'What-If Analysis'!$F$16, 'What-If Analysis'!$F$16,T45)</f>
        <v>0.14599999999999999</v>
      </c>
      <c r="AC45" s="42">
        <f>S45*(1-AB45)</f>
        <v>969.65722000000005</v>
      </c>
      <c r="AD45" s="42">
        <f>Q45*(1+'What-If Analysis'!F60)</f>
        <v>483.47</v>
      </c>
      <c r="AE45" s="41">
        <f>W45*(1+'What-If Analysis'!$F$18)</f>
        <v>12.87</v>
      </c>
      <c r="AF45" s="42">
        <f t="shared" si="7"/>
        <v>12479.488421399999</v>
      </c>
      <c r="AG45" s="42">
        <f t="shared" si="8"/>
        <v>6222.2588999999998</v>
      </c>
      <c r="AH45" s="42">
        <f t="shared" si="9"/>
        <v>6257.2295213999996</v>
      </c>
      <c r="AI45" s="44">
        <f t="shared" si="10"/>
        <v>0.50140112399719972</v>
      </c>
      <c r="AJ45" s="42">
        <f t="shared" si="11"/>
        <v>1813.2590013999979</v>
      </c>
      <c r="AK45" s="42">
        <f t="shared" si="12"/>
        <v>5348.0594200000014</v>
      </c>
      <c r="AL45" s="9">
        <f t="shared" si="13"/>
        <v>0</v>
      </c>
      <c r="AM45" s="42"/>
    </row>
    <row r="46" spans="1:39" x14ac:dyDescent="0.25">
      <c r="A46" t="s">
        <v>59</v>
      </c>
      <c r="B46" s="20">
        <v>45432</v>
      </c>
      <c r="C46" s="4">
        <v>45445</v>
      </c>
      <c r="D46" s="4" t="s">
        <v>1439</v>
      </c>
      <c r="E46" s="4">
        <v>45445</v>
      </c>
      <c r="F46" s="11">
        <f t="shared" si="0"/>
        <v>13</v>
      </c>
      <c r="G46" s="11" t="str">
        <f t="shared" si="3"/>
        <v>Does not Meet Target</v>
      </c>
      <c r="H46" t="s">
        <v>648</v>
      </c>
      <c r="I46" t="s">
        <v>653</v>
      </c>
      <c r="J46" t="s">
        <v>688</v>
      </c>
      <c r="K46" t="s">
        <v>706</v>
      </c>
      <c r="L46" t="s">
        <v>709</v>
      </c>
      <c r="M46" t="s">
        <v>723</v>
      </c>
      <c r="N46" t="s">
        <v>727</v>
      </c>
      <c r="O46" t="str" cm="1">
        <f t="array" ref="O46">_xlfn.IFS(S46&lt;=_xlfn.PERCENTILE.INC(IF(N46:N676=N46, S46:S676), 0.33), "Low", S46&lt;=_xlfn.PERCENTILE.INC(IF(N46:N676=N46, S46:S676), 0.66), "Medium", S46 &gt; _xlfn.PERCENTILE.INC(IF(N46:N676=N46, S46:S676), 0.66), "High")</f>
        <v>Medium</v>
      </c>
      <c r="P46" t="s">
        <v>778</v>
      </c>
      <c r="Q46" s="6">
        <v>675.43</v>
      </c>
      <c r="R46" s="6">
        <v>996.36</v>
      </c>
      <c r="S46" s="6">
        <v>996.36</v>
      </c>
      <c r="T46" s="9">
        <v>0.182</v>
      </c>
      <c r="U46" s="9">
        <f>IF(T46&gt;0.3, $AO$4, T46)</f>
        <v>0.182</v>
      </c>
      <c r="V46" s="7" t="str">
        <f t="shared" si="4"/>
        <v>Less than 20%</v>
      </c>
      <c r="W46" s="11">
        <v>22</v>
      </c>
      <c r="X46" s="6">
        <f t="shared" si="1"/>
        <v>17930.494560000003</v>
      </c>
      <c r="Y46" s="6">
        <f t="shared" si="2"/>
        <v>14859.46</v>
      </c>
      <c r="Z46" s="6">
        <f t="shared" si="5"/>
        <v>3071.0345600000037</v>
      </c>
      <c r="AA46" s="9">
        <f t="shared" si="6"/>
        <v>0.17127439233332575</v>
      </c>
      <c r="AB46" s="9">
        <f>IF(U46&gt;'What-If Analysis'!$F$16, 'What-If Analysis'!$F$16,T46)</f>
        <v>0.17</v>
      </c>
      <c r="AC46" s="42">
        <f>S46*(1-AB46)</f>
        <v>826.97879999999998</v>
      </c>
      <c r="AD46" s="42">
        <f>Q46*(1+'What-If Analysis'!F61)</f>
        <v>675.43</v>
      </c>
      <c r="AE46" s="41">
        <f>W46*(1+'What-If Analysis'!$F$18)</f>
        <v>25.74</v>
      </c>
      <c r="AF46" s="42">
        <f t="shared" si="7"/>
        <v>21286.434311999998</v>
      </c>
      <c r="AG46" s="42">
        <f t="shared" si="8"/>
        <v>17385.568199999998</v>
      </c>
      <c r="AH46" s="42">
        <f t="shared" si="9"/>
        <v>3900.8661119999997</v>
      </c>
      <c r="AI46" s="44">
        <f t="shared" si="10"/>
        <v>0.1832559673839281</v>
      </c>
      <c r="AJ46" s="42">
        <f t="shared" si="11"/>
        <v>3355.9397519999948</v>
      </c>
      <c r="AK46" s="42">
        <f t="shared" si="12"/>
        <v>3071.0345600000037</v>
      </c>
      <c r="AL46" s="9">
        <f t="shared" si="13"/>
        <v>1.198157505060235E-2</v>
      </c>
      <c r="AM46" s="42"/>
    </row>
    <row r="47" spans="1:39" x14ac:dyDescent="0.25">
      <c r="A47" t="s">
        <v>60</v>
      </c>
      <c r="B47" s="20">
        <v>45035</v>
      </c>
      <c r="C47" s="4">
        <v>45046</v>
      </c>
      <c r="D47" s="4" t="s">
        <v>1442</v>
      </c>
      <c r="E47" s="4">
        <v>45046</v>
      </c>
      <c r="F47" s="11">
        <f t="shared" si="0"/>
        <v>11</v>
      </c>
      <c r="G47" s="11" t="str">
        <f t="shared" si="3"/>
        <v>Does not Meet Target</v>
      </c>
      <c r="H47" t="s">
        <v>647</v>
      </c>
      <c r="I47" t="s">
        <v>654</v>
      </c>
      <c r="J47" t="s">
        <v>680</v>
      </c>
      <c r="K47" t="s">
        <v>705</v>
      </c>
      <c r="L47" t="s">
        <v>707</v>
      </c>
      <c r="M47" t="s">
        <v>720</v>
      </c>
      <c r="N47" t="s">
        <v>729</v>
      </c>
      <c r="O47" t="str" cm="1">
        <f t="array" ref="O47">_xlfn.IFS(S47&lt;=_xlfn.PERCENTILE.INC(IF(N47:N677=N47, S47:S677), 0.33), "Low", S47&lt;=_xlfn.PERCENTILE.INC(IF(N47:N677=N47, S47:S677), 0.66), "Medium", S47 &gt; _xlfn.PERCENTILE.INC(IF(N47:N677=N47, S47:S677), 0.66), "High")</f>
        <v>Medium</v>
      </c>
      <c r="P47" t="s">
        <v>779</v>
      </c>
      <c r="Q47" s="6">
        <v>826.55</v>
      </c>
      <c r="R47" s="6">
        <v>1397.05</v>
      </c>
      <c r="S47" s="6">
        <v>1397.05</v>
      </c>
      <c r="T47" s="9">
        <v>0.16900000000000001</v>
      </c>
      <c r="U47" s="9">
        <f>IF(T47&gt;0.3, $AO$4, T47)</f>
        <v>0.16900000000000001</v>
      </c>
      <c r="V47" s="7" t="str">
        <f t="shared" si="4"/>
        <v>Less than 20%</v>
      </c>
      <c r="W47" s="11">
        <v>28</v>
      </c>
      <c r="X47" s="6">
        <f t="shared" si="1"/>
        <v>32506.559399999998</v>
      </c>
      <c r="Y47" s="6">
        <f t="shared" si="2"/>
        <v>23143.399999999998</v>
      </c>
      <c r="Z47" s="6">
        <f t="shared" si="5"/>
        <v>9363.1594000000005</v>
      </c>
      <c r="AA47" s="9">
        <f t="shared" si="6"/>
        <v>0.28803907804527601</v>
      </c>
      <c r="AB47" s="9">
        <f>IF(U47&gt;'What-If Analysis'!$F$16, 'What-If Analysis'!$F$16,T47)</f>
        <v>0.16900000000000001</v>
      </c>
      <c r="AC47" s="42">
        <f>S47*(1-AB47)</f>
        <v>1160.9485499999998</v>
      </c>
      <c r="AD47" s="42">
        <f>Q47*(1+'What-If Analysis'!F62)</f>
        <v>826.55</v>
      </c>
      <c r="AE47" s="41">
        <f>W47*(1+'What-If Analysis'!$F$18)</f>
        <v>32.76</v>
      </c>
      <c r="AF47" s="42">
        <f t="shared" si="7"/>
        <v>38032.674497999993</v>
      </c>
      <c r="AG47" s="42">
        <f t="shared" si="8"/>
        <v>27077.777999999998</v>
      </c>
      <c r="AH47" s="42">
        <f t="shared" si="9"/>
        <v>10954.896497999995</v>
      </c>
      <c r="AI47" s="44">
        <f t="shared" si="10"/>
        <v>0.2880390780452759</v>
      </c>
      <c r="AJ47" s="42">
        <f t="shared" si="11"/>
        <v>5526.1150979999948</v>
      </c>
      <c r="AK47" s="42">
        <f t="shared" si="12"/>
        <v>9363.1594000000005</v>
      </c>
      <c r="AL47" s="9">
        <f t="shared" si="13"/>
        <v>0</v>
      </c>
      <c r="AM47" s="42"/>
    </row>
    <row r="48" spans="1:39" x14ac:dyDescent="0.25">
      <c r="A48" t="s">
        <v>61</v>
      </c>
      <c r="B48" s="20">
        <v>45100</v>
      </c>
      <c r="C48" s="4">
        <v>45110</v>
      </c>
      <c r="D48" s="4" t="s">
        <v>1442</v>
      </c>
      <c r="E48" s="4">
        <v>45110</v>
      </c>
      <c r="F48" s="11">
        <f t="shared" si="0"/>
        <v>10</v>
      </c>
      <c r="G48" s="11" t="str">
        <f t="shared" si="3"/>
        <v>Does not Meet Target</v>
      </c>
      <c r="H48" t="s">
        <v>646</v>
      </c>
      <c r="I48" t="s">
        <v>651</v>
      </c>
      <c r="J48" t="s">
        <v>669</v>
      </c>
      <c r="K48" t="s">
        <v>704</v>
      </c>
      <c r="L48" t="s">
        <v>708</v>
      </c>
      <c r="M48" t="s">
        <v>713</v>
      </c>
      <c r="N48" t="s">
        <v>728</v>
      </c>
      <c r="O48" t="str" cm="1">
        <f t="array" ref="O48">_xlfn.IFS(S48&lt;=_xlfn.PERCENTILE.INC(IF(N48:N678=N48, S48:S678), 0.33), "Low", S48&lt;=_xlfn.PERCENTILE.INC(IF(N48:N678=N48, S48:S678), 0.66), "Medium", S48 &gt; _xlfn.PERCENTILE.INC(IF(N48:N678=N48, S48:S678), 0.66), "High")</f>
        <v>Low</v>
      </c>
      <c r="P48" t="s">
        <v>780</v>
      </c>
      <c r="Q48" s="6">
        <v>337.75</v>
      </c>
      <c r="R48" s="6">
        <v>548.89</v>
      </c>
      <c r="S48" s="6">
        <v>548.89</v>
      </c>
      <c r="T48" s="9">
        <v>0</v>
      </c>
      <c r="U48" s="9">
        <f>IF(T48&gt;0.3, $AO$4, T48)</f>
        <v>0</v>
      </c>
      <c r="V48" s="7" t="str">
        <f t="shared" si="4"/>
        <v>Less than 20%</v>
      </c>
      <c r="W48" s="11">
        <v>13</v>
      </c>
      <c r="X48" s="6">
        <f t="shared" si="1"/>
        <v>7135.57</v>
      </c>
      <c r="Y48" s="6">
        <f t="shared" si="2"/>
        <v>4390.75</v>
      </c>
      <c r="Z48" s="6">
        <f t="shared" si="5"/>
        <v>2744.8199999999997</v>
      </c>
      <c r="AA48" s="9">
        <f t="shared" si="6"/>
        <v>0.38466723751571352</v>
      </c>
      <c r="AB48" s="9">
        <f>IF(U48&gt;'What-If Analysis'!$F$16, 'What-If Analysis'!$F$16,T48)</f>
        <v>0</v>
      </c>
      <c r="AC48" s="42">
        <f>S48*(1-AB48)</f>
        <v>548.89</v>
      </c>
      <c r="AD48" s="42">
        <f>Q48*(1+'What-If Analysis'!F63)</f>
        <v>337.75</v>
      </c>
      <c r="AE48" s="41">
        <f>W48*(1+'What-If Analysis'!$F$18)</f>
        <v>15.209999999999999</v>
      </c>
      <c r="AF48" s="42">
        <f t="shared" si="7"/>
        <v>8348.6168999999991</v>
      </c>
      <c r="AG48" s="42">
        <f t="shared" si="8"/>
        <v>5137.1774999999998</v>
      </c>
      <c r="AH48" s="42">
        <f t="shared" si="9"/>
        <v>3211.4393999999993</v>
      </c>
      <c r="AI48" s="44">
        <f t="shared" si="10"/>
        <v>0.38466723751571347</v>
      </c>
      <c r="AJ48" s="42">
        <f t="shared" si="11"/>
        <v>1213.0468999999994</v>
      </c>
      <c r="AK48" s="42">
        <f t="shared" si="12"/>
        <v>2744.8199999999997</v>
      </c>
      <c r="AL48" s="9">
        <f t="shared" si="13"/>
        <v>0</v>
      </c>
      <c r="AM48" s="42"/>
    </row>
    <row r="49" spans="1:39" x14ac:dyDescent="0.25">
      <c r="A49" t="s">
        <v>62</v>
      </c>
      <c r="B49" s="20">
        <v>45426</v>
      </c>
      <c r="C49" s="4">
        <v>45440</v>
      </c>
      <c r="D49" s="4" t="s">
        <v>1439</v>
      </c>
      <c r="E49" s="4">
        <v>45440</v>
      </c>
      <c r="F49" s="11">
        <f t="shared" si="0"/>
        <v>14</v>
      </c>
      <c r="G49" s="11" t="str">
        <f t="shared" si="3"/>
        <v>Does not Meet Target</v>
      </c>
      <c r="H49" t="s">
        <v>649</v>
      </c>
      <c r="I49" t="s">
        <v>658</v>
      </c>
      <c r="J49" t="s">
        <v>674</v>
      </c>
      <c r="K49" t="s">
        <v>704</v>
      </c>
      <c r="L49" t="s">
        <v>707</v>
      </c>
      <c r="M49" t="s">
        <v>717</v>
      </c>
      <c r="N49" t="s">
        <v>729</v>
      </c>
      <c r="O49" t="str" cm="1">
        <f t="array" ref="O49">_xlfn.IFS(S49&lt;=_xlfn.PERCENTILE.INC(IF(N49:N679=N49, S49:S679), 0.33), "Low", S49&lt;=_xlfn.PERCENTILE.INC(IF(N49:N679=N49, S49:S679), 0.66), "Medium", S49 &gt; _xlfn.PERCENTILE.INC(IF(N49:N679=N49, S49:S679), 0.66), "High")</f>
        <v>High</v>
      </c>
      <c r="P49" t="s">
        <v>781</v>
      </c>
      <c r="Q49" s="6">
        <v>1421.14</v>
      </c>
      <c r="R49" s="6">
        <v>3524</v>
      </c>
      <c r="S49" s="6">
        <v>3524</v>
      </c>
      <c r="T49" s="9">
        <v>0</v>
      </c>
      <c r="U49" s="9">
        <f>IF(T49&gt;0.3, $AO$4, T49)</f>
        <v>0</v>
      </c>
      <c r="V49" s="7" t="str">
        <f t="shared" si="4"/>
        <v>Less than 20%</v>
      </c>
      <c r="W49" s="11">
        <v>31</v>
      </c>
      <c r="X49" s="6">
        <f t="shared" si="1"/>
        <v>109244</v>
      </c>
      <c r="Y49" s="6">
        <f t="shared" si="2"/>
        <v>44055.340000000004</v>
      </c>
      <c r="Z49" s="6">
        <f t="shared" si="5"/>
        <v>65188.659999999996</v>
      </c>
      <c r="AA49" s="9">
        <f t="shared" si="6"/>
        <v>0.59672531214528945</v>
      </c>
      <c r="AB49" s="9">
        <f>IF(U49&gt;'What-If Analysis'!$F$16, 'What-If Analysis'!$F$16,T49)</f>
        <v>0</v>
      </c>
      <c r="AC49" s="42">
        <f>S49*(1-AB49)</f>
        <v>3524</v>
      </c>
      <c r="AD49" s="42">
        <f>Q49*(1+'What-If Analysis'!F64)</f>
        <v>1421.14</v>
      </c>
      <c r="AE49" s="41">
        <f>W49*(1+'What-If Analysis'!$F$18)</f>
        <v>36.269999999999996</v>
      </c>
      <c r="AF49" s="42">
        <f t="shared" si="7"/>
        <v>127815.47999999998</v>
      </c>
      <c r="AG49" s="42">
        <f t="shared" si="8"/>
        <v>51544.747799999997</v>
      </c>
      <c r="AH49" s="42">
        <f t="shared" si="9"/>
        <v>76270.732199999984</v>
      </c>
      <c r="AI49" s="44">
        <f t="shared" si="10"/>
        <v>0.59672531214528945</v>
      </c>
      <c r="AJ49" s="42">
        <f t="shared" si="11"/>
        <v>18571.479999999981</v>
      </c>
      <c r="AK49" s="42">
        <f t="shared" si="12"/>
        <v>65188.659999999996</v>
      </c>
      <c r="AL49" s="9">
        <f t="shared" si="13"/>
        <v>0</v>
      </c>
      <c r="AM49" s="42"/>
    </row>
    <row r="50" spans="1:39" x14ac:dyDescent="0.25">
      <c r="A50" t="s">
        <v>63</v>
      </c>
      <c r="B50" s="20">
        <v>45579</v>
      </c>
      <c r="C50" s="4">
        <v>45604</v>
      </c>
      <c r="D50" s="4" t="s">
        <v>1435</v>
      </c>
      <c r="E50" s="4">
        <v>45604</v>
      </c>
      <c r="F50" s="11">
        <f t="shared" si="0"/>
        <v>25</v>
      </c>
      <c r="G50" s="11" t="str">
        <f t="shared" si="3"/>
        <v>Does not Meet Target</v>
      </c>
      <c r="H50" t="s">
        <v>646</v>
      </c>
      <c r="I50" t="s">
        <v>651</v>
      </c>
      <c r="J50" t="s">
        <v>665</v>
      </c>
      <c r="K50" t="s">
        <v>706</v>
      </c>
      <c r="L50" t="s">
        <v>708</v>
      </c>
      <c r="M50" t="s">
        <v>719</v>
      </c>
      <c r="N50" t="s">
        <v>729</v>
      </c>
      <c r="O50" t="str" cm="1">
        <f t="array" ref="O50">_xlfn.IFS(S50&lt;=_xlfn.PERCENTILE.INC(IF(N50:N680=N50, S50:S680), 0.33), "Low", S50&lt;=_xlfn.PERCENTILE.INC(IF(N50:N680=N50, S50:S680), 0.66), "Medium", S50 &gt; _xlfn.PERCENTILE.INC(IF(N50:N680=N50, S50:S680), 0.66), "High")</f>
        <v>Medium</v>
      </c>
      <c r="P50" t="s">
        <v>782</v>
      </c>
      <c r="Q50" s="6">
        <v>859.35</v>
      </c>
      <c r="R50" s="6">
        <v>1825.61</v>
      </c>
      <c r="S50" s="6">
        <v>1825.61</v>
      </c>
      <c r="T50" s="9">
        <v>0.187</v>
      </c>
      <c r="U50" s="9">
        <f>IF(T50&gt;0.3, $AO$4, T50)</f>
        <v>0.187</v>
      </c>
      <c r="V50" s="7" t="str">
        <f t="shared" si="4"/>
        <v>Less than 20%</v>
      </c>
      <c r="W50" s="11">
        <v>24</v>
      </c>
      <c r="X50" s="6">
        <f t="shared" si="1"/>
        <v>35621.302319999995</v>
      </c>
      <c r="Y50" s="6">
        <f t="shared" si="2"/>
        <v>20624.400000000001</v>
      </c>
      <c r="Z50" s="6">
        <f t="shared" si="5"/>
        <v>14996.902319999994</v>
      </c>
      <c r="AA50" s="9">
        <f t="shared" si="6"/>
        <v>0.42100937762681989</v>
      </c>
      <c r="AB50" s="9">
        <f>IF(U50&gt;'What-If Analysis'!$F$16, 'What-If Analysis'!$F$16,T50)</f>
        <v>0.17</v>
      </c>
      <c r="AC50" s="42">
        <f>S50*(1-AB50)</f>
        <v>1515.2562999999998</v>
      </c>
      <c r="AD50" s="42">
        <f>Q50*(1+'What-If Analysis'!F65)</f>
        <v>859.35</v>
      </c>
      <c r="AE50" s="41">
        <f>W50*(1+'What-If Analysis'!$F$18)</f>
        <v>28.08</v>
      </c>
      <c r="AF50" s="42">
        <f t="shared" si="7"/>
        <v>42548.396903999994</v>
      </c>
      <c r="AG50" s="42">
        <f t="shared" si="8"/>
        <v>24130.547999999999</v>
      </c>
      <c r="AH50" s="42">
        <f t="shared" si="9"/>
        <v>18417.848903999995</v>
      </c>
      <c r="AI50" s="44">
        <f t="shared" si="10"/>
        <v>0.43286822169952366</v>
      </c>
      <c r="AJ50" s="42">
        <f t="shared" si="11"/>
        <v>6927.0945839999986</v>
      </c>
      <c r="AK50" s="42">
        <f t="shared" si="12"/>
        <v>14996.902319999994</v>
      </c>
      <c r="AL50" s="9">
        <f t="shared" si="13"/>
        <v>1.1858844072703767E-2</v>
      </c>
      <c r="AM50" s="42"/>
    </row>
    <row r="51" spans="1:39" x14ac:dyDescent="0.25">
      <c r="A51" t="s">
        <v>64</v>
      </c>
      <c r="B51" s="20">
        <v>45117</v>
      </c>
      <c r="C51" s="4">
        <v>45139</v>
      </c>
      <c r="D51" s="4" t="s">
        <v>1444</v>
      </c>
      <c r="E51" s="4">
        <v>45139</v>
      </c>
      <c r="F51" s="11">
        <f t="shared" si="0"/>
        <v>22</v>
      </c>
      <c r="G51" s="11" t="str">
        <f t="shared" si="3"/>
        <v>Does not Meet Target</v>
      </c>
      <c r="H51" t="s">
        <v>649</v>
      </c>
      <c r="I51" t="s">
        <v>657</v>
      </c>
      <c r="J51" t="s">
        <v>673</v>
      </c>
      <c r="K51" t="s">
        <v>704</v>
      </c>
      <c r="L51" t="s">
        <v>709</v>
      </c>
      <c r="M51" t="s">
        <v>717</v>
      </c>
      <c r="N51" t="s">
        <v>728</v>
      </c>
      <c r="O51" t="str" cm="1">
        <f t="array" ref="O51">_xlfn.IFS(S51&lt;=_xlfn.PERCENTILE.INC(IF(N51:N681=N51, S51:S681), 0.33), "Low", S51&lt;=_xlfn.PERCENTILE.INC(IF(N51:N681=N51, S51:S681), 0.66), "Medium", S51 &gt; _xlfn.PERCENTILE.INC(IF(N51:N681=N51, S51:S681), 0.66), "High")</f>
        <v>High</v>
      </c>
      <c r="P51" t="s">
        <v>783</v>
      </c>
      <c r="Q51" s="6">
        <v>1303.56</v>
      </c>
      <c r="R51" s="6">
        <v>1791.37</v>
      </c>
      <c r="S51" s="6">
        <v>1791.37</v>
      </c>
      <c r="T51" s="9">
        <v>0.126</v>
      </c>
      <c r="U51" s="9">
        <f>IF(T51&gt;0.3, $AO$4, T51)</f>
        <v>0.126</v>
      </c>
      <c r="V51" s="7" t="str">
        <f t="shared" si="4"/>
        <v>Less than 20%</v>
      </c>
      <c r="W51" s="11">
        <v>22</v>
      </c>
      <c r="X51" s="6">
        <f t="shared" si="1"/>
        <v>34444.462359999998</v>
      </c>
      <c r="Y51" s="6">
        <f t="shared" si="2"/>
        <v>28678.32</v>
      </c>
      <c r="Z51" s="6">
        <f t="shared" si="5"/>
        <v>5766.142359999998</v>
      </c>
      <c r="AA51" s="9">
        <f t="shared" si="6"/>
        <v>0.16740404596055358</v>
      </c>
      <c r="AB51" s="9">
        <f>IF(U51&gt;'What-If Analysis'!$F$16, 'What-If Analysis'!$F$16,T51)</f>
        <v>0.126</v>
      </c>
      <c r="AC51" s="42">
        <f>S51*(1-AB51)</f>
        <v>1565.6573799999999</v>
      </c>
      <c r="AD51" s="42">
        <f>Q51*(1+'What-If Analysis'!F66)</f>
        <v>1303.56</v>
      </c>
      <c r="AE51" s="41">
        <f>W51*(1+'What-If Analysis'!$F$18)</f>
        <v>25.74</v>
      </c>
      <c r="AF51" s="42">
        <f t="shared" si="7"/>
        <v>40300.020961199996</v>
      </c>
      <c r="AG51" s="42">
        <f t="shared" si="8"/>
        <v>33553.634399999995</v>
      </c>
      <c r="AH51" s="42">
        <f t="shared" si="9"/>
        <v>6746.3865612000009</v>
      </c>
      <c r="AI51" s="44">
        <f t="shared" si="10"/>
        <v>0.16740404596055369</v>
      </c>
      <c r="AJ51" s="42">
        <f t="shared" si="11"/>
        <v>5855.5586011999985</v>
      </c>
      <c r="AK51" s="42">
        <f t="shared" si="12"/>
        <v>5766.142359999998</v>
      </c>
      <c r="AL51" s="9">
        <f t="shared" si="13"/>
        <v>0</v>
      </c>
      <c r="AM51" s="42"/>
    </row>
    <row r="52" spans="1:39" x14ac:dyDescent="0.25">
      <c r="A52" t="s">
        <v>65</v>
      </c>
      <c r="B52" s="20">
        <v>45602</v>
      </c>
      <c r="C52" s="4">
        <v>45618</v>
      </c>
      <c r="D52" s="4" t="s">
        <v>1435</v>
      </c>
      <c r="E52" s="4">
        <v>45618</v>
      </c>
      <c r="F52" s="11">
        <f t="shared" si="0"/>
        <v>16</v>
      </c>
      <c r="G52" s="11" t="str">
        <f t="shared" si="3"/>
        <v>Does not Meet Target</v>
      </c>
      <c r="H52" t="s">
        <v>648</v>
      </c>
      <c r="I52" t="s">
        <v>653</v>
      </c>
      <c r="J52" t="s">
        <v>667</v>
      </c>
      <c r="K52" t="s">
        <v>703</v>
      </c>
      <c r="L52" t="s">
        <v>710</v>
      </c>
      <c r="M52" t="s">
        <v>726</v>
      </c>
      <c r="N52" t="s">
        <v>733</v>
      </c>
      <c r="O52" t="str" cm="1">
        <f t="array" ref="O52">_xlfn.IFS(S52&lt;=_xlfn.PERCENTILE.INC(IF(N52:N682=N52, S52:S682), 0.33), "Low", S52&lt;=_xlfn.PERCENTILE.INC(IF(N52:N682=N52, S52:S682), 0.66), "Medium", S52 &gt; _xlfn.PERCENTILE.INC(IF(N52:N682=N52, S52:S682), 0.66), "High")</f>
        <v>High</v>
      </c>
      <c r="P52" t="s">
        <v>784</v>
      </c>
      <c r="Q52" s="6">
        <v>1454.11</v>
      </c>
      <c r="R52" s="6">
        <v>2629.75</v>
      </c>
      <c r="S52" s="6">
        <v>2629.75</v>
      </c>
      <c r="T52" s="9">
        <v>0.29199999999999998</v>
      </c>
      <c r="U52" s="9">
        <f>IF(T52&gt;0.3, $AO$4, T52)</f>
        <v>0.29199999999999998</v>
      </c>
      <c r="V52" s="7" t="str">
        <f t="shared" si="4"/>
        <v>Greater than 20%</v>
      </c>
      <c r="W52" s="11">
        <v>8</v>
      </c>
      <c r="X52" s="6">
        <f t="shared" si="1"/>
        <v>14894.903999999999</v>
      </c>
      <c r="Y52" s="6">
        <f t="shared" si="2"/>
        <v>11632.88</v>
      </c>
      <c r="Z52" s="6">
        <f t="shared" si="5"/>
        <v>3262.0239999999994</v>
      </c>
      <c r="AA52" s="9">
        <f t="shared" si="6"/>
        <v>0.21900268709351867</v>
      </c>
      <c r="AB52" s="9">
        <f>IF(U52&gt;'What-If Analysis'!$F$16, 'What-If Analysis'!$F$16,T52)</f>
        <v>0.17</v>
      </c>
      <c r="AC52" s="42">
        <f>S52*(1-AB52)</f>
        <v>2182.6925000000001</v>
      </c>
      <c r="AD52" s="42">
        <f>Q52*(1+'What-If Analysis'!F67)</f>
        <v>1454.11</v>
      </c>
      <c r="AE52" s="41">
        <f>W52*(1+'What-If Analysis'!$F$18)</f>
        <v>9.36</v>
      </c>
      <c r="AF52" s="42">
        <f t="shared" si="7"/>
        <v>20430.001799999998</v>
      </c>
      <c r="AG52" s="42">
        <f t="shared" si="8"/>
        <v>13610.469599999999</v>
      </c>
      <c r="AH52" s="42">
        <f t="shared" si="9"/>
        <v>6819.5321999999996</v>
      </c>
      <c r="AI52" s="44">
        <f t="shared" si="10"/>
        <v>0.33379988248459186</v>
      </c>
      <c r="AJ52" s="42">
        <f t="shared" si="11"/>
        <v>5535.0977999999996</v>
      </c>
      <c r="AK52" s="42">
        <f t="shared" si="12"/>
        <v>3262.0239999999994</v>
      </c>
      <c r="AL52" s="9">
        <f t="shared" si="13"/>
        <v>0.11479719539107319</v>
      </c>
      <c r="AM52" s="42"/>
    </row>
    <row r="53" spans="1:39" x14ac:dyDescent="0.25">
      <c r="A53" t="s">
        <v>66</v>
      </c>
      <c r="B53" s="20">
        <v>45582</v>
      </c>
      <c r="C53" s="4">
        <v>45602</v>
      </c>
      <c r="D53" s="4" t="s">
        <v>1435</v>
      </c>
      <c r="E53" s="4">
        <v>45602</v>
      </c>
      <c r="F53" s="11">
        <f t="shared" si="0"/>
        <v>20</v>
      </c>
      <c r="G53" s="11" t="str">
        <f t="shared" si="3"/>
        <v>Does not Meet Target</v>
      </c>
      <c r="H53" t="s">
        <v>647</v>
      </c>
      <c r="I53" t="s">
        <v>654</v>
      </c>
      <c r="J53" t="s">
        <v>668</v>
      </c>
      <c r="K53" t="s">
        <v>706</v>
      </c>
      <c r="L53" t="s">
        <v>710</v>
      </c>
      <c r="M53" t="s">
        <v>719</v>
      </c>
      <c r="N53" t="s">
        <v>732</v>
      </c>
      <c r="O53" t="str" cm="1">
        <f t="array" ref="O53">_xlfn.IFS(S53&lt;=_xlfn.PERCENTILE.INC(IF(N53:N683=N53, S53:S683), 0.33), "Low", S53&lt;=_xlfn.PERCENTILE.INC(IF(N53:N683=N53, S53:S683), 0.66), "Medium", S53 &gt; _xlfn.PERCENTILE.INC(IF(N53:N683=N53, S53:S683), 0.66), "High")</f>
        <v>Low</v>
      </c>
      <c r="P53" t="s">
        <v>785</v>
      </c>
      <c r="Q53" s="6">
        <v>72.94</v>
      </c>
      <c r="R53" s="6">
        <v>106.3</v>
      </c>
      <c r="S53" s="6">
        <v>106.3</v>
      </c>
      <c r="T53" s="9">
        <v>0.29499999999999998</v>
      </c>
      <c r="U53" s="9">
        <f>IF(T53&gt;0.3, $AO$4, T53)</f>
        <v>0.29499999999999998</v>
      </c>
      <c r="V53" s="7" t="str">
        <f t="shared" si="4"/>
        <v>Greater than 20%</v>
      </c>
      <c r="W53" s="11">
        <v>8</v>
      </c>
      <c r="X53" s="6">
        <f t="shared" si="1"/>
        <v>599.53200000000004</v>
      </c>
      <c r="Y53" s="6">
        <f t="shared" si="2"/>
        <v>583.52</v>
      </c>
      <c r="Z53" s="6">
        <f t="shared" si="5"/>
        <v>16.012000000000057</v>
      </c>
      <c r="AA53" s="9">
        <f t="shared" si="6"/>
        <v>2.6707498515508857E-2</v>
      </c>
      <c r="AB53" s="9">
        <f>IF(U53&gt;'What-If Analysis'!$F$16, 'What-If Analysis'!$F$16,T53)</f>
        <v>0.17</v>
      </c>
      <c r="AC53" s="42">
        <f>S53*(1-AB53)</f>
        <v>88.228999999999999</v>
      </c>
      <c r="AD53" s="42">
        <f>Q53*(1+'What-If Analysis'!F68)</f>
        <v>72.94</v>
      </c>
      <c r="AE53" s="41">
        <f>W53*(1+'What-If Analysis'!$F$18)</f>
        <v>9.36</v>
      </c>
      <c r="AF53" s="42">
        <f t="shared" si="7"/>
        <v>825.82343999999989</v>
      </c>
      <c r="AG53" s="42">
        <f t="shared" si="8"/>
        <v>682.71839999999997</v>
      </c>
      <c r="AH53" s="42">
        <f t="shared" si="9"/>
        <v>143.10503999999992</v>
      </c>
      <c r="AI53" s="44">
        <f t="shared" si="10"/>
        <v>0.17328769452220918</v>
      </c>
      <c r="AJ53" s="42">
        <f t="shared" si="11"/>
        <v>226.29143999999985</v>
      </c>
      <c r="AK53" s="42">
        <f t="shared" si="12"/>
        <v>16.012000000000057</v>
      </c>
      <c r="AL53" s="9">
        <f t="shared" si="13"/>
        <v>0.14658019600670033</v>
      </c>
      <c r="AM53" s="42"/>
    </row>
    <row r="54" spans="1:39" x14ac:dyDescent="0.25">
      <c r="A54" t="s">
        <v>67</v>
      </c>
      <c r="B54" s="20">
        <v>45016</v>
      </c>
      <c r="C54" s="4">
        <v>45021</v>
      </c>
      <c r="D54" s="4" t="s">
        <v>1436</v>
      </c>
      <c r="E54" s="4">
        <v>45021</v>
      </c>
      <c r="F54" s="11">
        <f t="shared" si="0"/>
        <v>5</v>
      </c>
      <c r="G54" s="11" t="str">
        <f t="shared" si="3"/>
        <v>Meets Target</v>
      </c>
      <c r="H54" t="s">
        <v>646</v>
      </c>
      <c r="I54" t="s">
        <v>650</v>
      </c>
      <c r="J54" t="s">
        <v>678</v>
      </c>
      <c r="K54" t="s">
        <v>702</v>
      </c>
      <c r="L54" t="s">
        <v>709</v>
      </c>
      <c r="M54" t="s">
        <v>717</v>
      </c>
      <c r="N54" t="s">
        <v>731</v>
      </c>
      <c r="O54" t="str" cm="1">
        <f t="array" ref="O54">_xlfn.IFS(S54&lt;=_xlfn.PERCENTILE.INC(IF(N54:N684=N54, S54:S684), 0.33), "Low", S54&lt;=_xlfn.PERCENTILE.INC(IF(N54:N684=N54, S54:S684), 0.66), "Medium", S54 &gt; _xlfn.PERCENTILE.INC(IF(N54:N684=N54, S54:S684), 0.66), "High")</f>
        <v>Low</v>
      </c>
      <c r="P54" t="s">
        <v>786</v>
      </c>
      <c r="Q54" s="6">
        <v>533.26</v>
      </c>
      <c r="R54" s="6">
        <v>385.72</v>
      </c>
      <c r="S54" s="6">
        <v>385.72</v>
      </c>
      <c r="T54" s="9">
        <v>0</v>
      </c>
      <c r="U54" s="9">
        <f>IF(T54&gt;0.3, $AO$4, T54)</f>
        <v>0</v>
      </c>
      <c r="V54" s="7" t="str">
        <f t="shared" si="4"/>
        <v>Less than 20%</v>
      </c>
      <c r="W54" s="11">
        <v>15</v>
      </c>
      <c r="X54" s="6">
        <f t="shared" si="1"/>
        <v>5785.8</v>
      </c>
      <c r="Y54" s="6">
        <f t="shared" si="2"/>
        <v>7998.9</v>
      </c>
      <c r="Z54" s="6">
        <f t="shared" si="5"/>
        <v>-2213.0999999999995</v>
      </c>
      <c r="AA54" s="9">
        <f t="shared" si="6"/>
        <v>-0.38250544436378708</v>
      </c>
      <c r="AB54" s="9">
        <f>IF(U54&gt;'What-If Analysis'!$F$16, 'What-If Analysis'!$F$16,T54)</f>
        <v>0</v>
      </c>
      <c r="AC54" s="42">
        <f>S54*(1-AB54)</f>
        <v>385.72</v>
      </c>
      <c r="AD54" s="42">
        <f>Q54*(1+'What-If Analysis'!F69)</f>
        <v>533.26</v>
      </c>
      <c r="AE54" s="41">
        <f>W54*(1+'What-If Analysis'!$F$18)</f>
        <v>17.549999999999997</v>
      </c>
      <c r="AF54" s="42">
        <f t="shared" si="7"/>
        <v>6769.3859999999995</v>
      </c>
      <c r="AG54" s="42">
        <f t="shared" si="8"/>
        <v>9358.7129999999979</v>
      </c>
      <c r="AH54" s="42">
        <f t="shared" si="9"/>
        <v>-2589.3269999999984</v>
      </c>
      <c r="AI54" s="44">
        <f t="shared" si="10"/>
        <v>-0.38250544436378697</v>
      </c>
      <c r="AJ54" s="42">
        <f t="shared" si="11"/>
        <v>983.58599999999933</v>
      </c>
      <c r="AK54" s="42">
        <f t="shared" si="12"/>
        <v>-2213.0999999999995</v>
      </c>
      <c r="AL54" s="9">
        <f t="shared" si="13"/>
        <v>0</v>
      </c>
      <c r="AM54" s="42"/>
    </row>
    <row r="55" spans="1:39" x14ac:dyDescent="0.25">
      <c r="A55" t="s">
        <v>68</v>
      </c>
      <c r="B55" s="20">
        <v>45678</v>
      </c>
      <c r="C55" s="4">
        <v>45704</v>
      </c>
      <c r="D55" s="4" t="s">
        <v>1437</v>
      </c>
      <c r="E55" s="4">
        <v>45704</v>
      </c>
      <c r="F55" s="11">
        <f t="shared" si="0"/>
        <v>26</v>
      </c>
      <c r="G55" s="11" t="str">
        <f t="shared" si="3"/>
        <v>Does not Meet Target</v>
      </c>
      <c r="H55" t="s">
        <v>649</v>
      </c>
      <c r="I55" t="s">
        <v>657</v>
      </c>
      <c r="J55" t="s">
        <v>679</v>
      </c>
      <c r="K55" t="s">
        <v>701</v>
      </c>
      <c r="L55" t="s">
        <v>710</v>
      </c>
      <c r="M55" t="s">
        <v>719</v>
      </c>
      <c r="N55" t="s">
        <v>731</v>
      </c>
      <c r="O55" t="str" cm="1">
        <f t="array" ref="O55">_xlfn.IFS(S55&lt;=_xlfn.PERCENTILE.INC(IF(N55:N685=N55, S55:S685), 0.33), "Low", S55&lt;=_xlfn.PERCENTILE.INC(IF(N55:N685=N55, S55:S685), 0.66), "Medium", S55 &gt; _xlfn.PERCENTILE.INC(IF(N55:N685=N55, S55:S685), 0.66), "High")</f>
        <v>Low</v>
      </c>
      <c r="P55" t="s">
        <v>787</v>
      </c>
      <c r="Q55" s="6">
        <v>204.11</v>
      </c>
      <c r="R55" s="6">
        <v>236.87</v>
      </c>
      <c r="S55" s="6">
        <v>236.87</v>
      </c>
      <c r="T55" s="9">
        <v>0.182</v>
      </c>
      <c r="U55" s="9">
        <f>IF(T55&gt;0.3, $AO$4, T55)</f>
        <v>0.182</v>
      </c>
      <c r="V55" s="7" t="str">
        <f t="shared" si="4"/>
        <v>Less than 20%</v>
      </c>
      <c r="W55" s="11">
        <v>13</v>
      </c>
      <c r="X55" s="6">
        <f t="shared" si="1"/>
        <v>2518.8755800000004</v>
      </c>
      <c r="Y55" s="6">
        <f t="shared" si="2"/>
        <v>2653.4300000000003</v>
      </c>
      <c r="Z55" s="6">
        <f t="shared" si="5"/>
        <v>-134.55441999999994</v>
      </c>
      <c r="AA55" s="9">
        <f t="shared" si="6"/>
        <v>-5.3418446337075494E-2</v>
      </c>
      <c r="AB55" s="9">
        <f>IF(U55&gt;'What-If Analysis'!$F$16, 'What-If Analysis'!$F$16,T55)</f>
        <v>0.17</v>
      </c>
      <c r="AC55" s="42">
        <f>S55*(1-AB55)</f>
        <v>196.60210000000001</v>
      </c>
      <c r="AD55" s="42">
        <f>Q55*(1+'What-If Analysis'!F70)</f>
        <v>204.11</v>
      </c>
      <c r="AE55" s="41">
        <f>W55*(1+'What-If Analysis'!$F$18)</f>
        <v>15.209999999999999</v>
      </c>
      <c r="AF55" s="42">
        <f t="shared" si="7"/>
        <v>2990.3179409999998</v>
      </c>
      <c r="AG55" s="42">
        <f t="shared" si="8"/>
        <v>3104.5131000000001</v>
      </c>
      <c r="AH55" s="42">
        <f t="shared" si="9"/>
        <v>-114.19515900000033</v>
      </c>
      <c r="AI55" s="44">
        <f t="shared" si="10"/>
        <v>-3.8188300124973346E-2</v>
      </c>
      <c r="AJ55" s="42">
        <f t="shared" si="11"/>
        <v>471.44236099999944</v>
      </c>
      <c r="AK55" s="42">
        <f t="shared" si="12"/>
        <v>-134.55441999999994</v>
      </c>
      <c r="AL55" s="9">
        <f t="shared" si="13"/>
        <v>1.5230146212102148E-2</v>
      </c>
      <c r="AM55" s="42"/>
    </row>
    <row r="56" spans="1:39" x14ac:dyDescent="0.25">
      <c r="A56" t="s">
        <v>69</v>
      </c>
      <c r="B56" s="20">
        <v>45168</v>
      </c>
      <c r="C56" s="4">
        <v>45170</v>
      </c>
      <c r="D56" s="4" t="s">
        <v>1444</v>
      </c>
      <c r="E56" s="4">
        <v>45170</v>
      </c>
      <c r="F56" s="11">
        <f t="shared" si="0"/>
        <v>2</v>
      </c>
      <c r="G56" s="11" t="str">
        <f t="shared" si="3"/>
        <v>Meets Target</v>
      </c>
      <c r="H56" t="s">
        <v>649</v>
      </c>
      <c r="I56" t="s">
        <v>656</v>
      </c>
      <c r="J56" t="s">
        <v>684</v>
      </c>
      <c r="K56" t="s">
        <v>701</v>
      </c>
      <c r="L56" t="s">
        <v>711</v>
      </c>
      <c r="M56" t="s">
        <v>725</v>
      </c>
      <c r="N56" t="s">
        <v>729</v>
      </c>
      <c r="O56" t="str" cm="1">
        <f t="array" ref="O56">_xlfn.IFS(S56&lt;=_xlfn.PERCENTILE.INC(IF(N56:N686=N56, S56:S686), 0.33), "Low", S56&lt;=_xlfn.PERCENTILE.INC(IF(N56:N686=N56, S56:S686), 0.66), "Medium", S56 &gt; _xlfn.PERCENTILE.INC(IF(N56:N686=N56, S56:S686), 0.66), "High")</f>
        <v>Low</v>
      </c>
      <c r="P56" t="s">
        <v>788</v>
      </c>
      <c r="Q56" s="6">
        <v>44.42</v>
      </c>
      <c r="R56" s="6">
        <v>41.9</v>
      </c>
      <c r="S56" s="6">
        <v>41.9</v>
      </c>
      <c r="T56" s="9">
        <v>0.14399999999999999</v>
      </c>
      <c r="U56" s="9">
        <f>IF(T56&gt;0.3, $AO$4, T56)</f>
        <v>0.14399999999999999</v>
      </c>
      <c r="V56" s="7" t="str">
        <f t="shared" si="4"/>
        <v>Less than 20%</v>
      </c>
      <c r="W56" s="11">
        <v>6</v>
      </c>
      <c r="X56" s="6">
        <f t="shared" si="1"/>
        <v>215.19839999999996</v>
      </c>
      <c r="Y56" s="6">
        <f t="shared" si="2"/>
        <v>266.52</v>
      </c>
      <c r="Z56" s="6">
        <f t="shared" si="5"/>
        <v>-51.321600000000018</v>
      </c>
      <c r="AA56" s="9">
        <f t="shared" si="6"/>
        <v>-0.23848504449847224</v>
      </c>
      <c r="AB56" s="9">
        <f>IF(U56&gt;'What-If Analysis'!$F$16, 'What-If Analysis'!$F$16,T56)</f>
        <v>0.14399999999999999</v>
      </c>
      <c r="AC56" s="42">
        <f>S56*(1-AB56)</f>
        <v>35.866399999999999</v>
      </c>
      <c r="AD56" s="42">
        <f>Q56*(1+'What-If Analysis'!F71)</f>
        <v>44.42</v>
      </c>
      <c r="AE56" s="41">
        <f>W56*(1+'What-If Analysis'!$F$18)</f>
        <v>7.02</v>
      </c>
      <c r="AF56" s="42">
        <f t="shared" si="7"/>
        <v>251.78212799999997</v>
      </c>
      <c r="AG56" s="42">
        <f t="shared" si="8"/>
        <v>311.82839999999999</v>
      </c>
      <c r="AH56" s="42">
        <f t="shared" si="9"/>
        <v>-60.046272000000016</v>
      </c>
      <c r="AI56" s="44">
        <f t="shared" si="10"/>
        <v>-0.23848504449847219</v>
      </c>
      <c r="AJ56" s="42">
        <f t="shared" si="11"/>
        <v>36.583728000000008</v>
      </c>
      <c r="AK56" s="42">
        <f t="shared" si="12"/>
        <v>-51.321600000000018</v>
      </c>
      <c r="AL56" s="9">
        <f t="shared" si="13"/>
        <v>0</v>
      </c>
      <c r="AM56" s="42"/>
    </row>
    <row r="57" spans="1:39" x14ac:dyDescent="0.25">
      <c r="A57" t="s">
        <v>70</v>
      </c>
      <c r="B57" s="20">
        <v>45753</v>
      </c>
      <c r="C57" s="4">
        <v>45777</v>
      </c>
      <c r="D57" s="4" t="s">
        <v>1440</v>
      </c>
      <c r="E57" s="4">
        <v>45777</v>
      </c>
      <c r="F57" s="11">
        <f t="shared" si="0"/>
        <v>24</v>
      </c>
      <c r="G57" s="11" t="str">
        <f t="shared" si="3"/>
        <v>Does not Meet Target</v>
      </c>
      <c r="H57" t="s">
        <v>648</v>
      </c>
      <c r="I57" t="s">
        <v>655</v>
      </c>
      <c r="J57" t="s">
        <v>672</v>
      </c>
      <c r="K57" t="s">
        <v>702</v>
      </c>
      <c r="L57" t="s">
        <v>708</v>
      </c>
      <c r="M57" t="s">
        <v>723</v>
      </c>
      <c r="N57" t="s">
        <v>732</v>
      </c>
      <c r="O57" t="str" cm="1">
        <f t="array" ref="O57">_xlfn.IFS(S57&lt;=_xlfn.PERCENTILE.INC(IF(N57:N687=N57, S57:S687), 0.33), "Low", S57&lt;=_xlfn.PERCENTILE.INC(IF(N57:N687=N57, S57:S687), 0.66), "Medium", S57 &gt; _xlfn.PERCENTILE.INC(IF(N57:N687=N57, S57:S687), 0.66), "High")</f>
        <v>Medium</v>
      </c>
      <c r="P57" t="s">
        <v>789</v>
      </c>
      <c r="Q57" s="6">
        <v>855.78</v>
      </c>
      <c r="R57" s="6">
        <v>977.38</v>
      </c>
      <c r="S57" s="6">
        <v>977.38</v>
      </c>
      <c r="T57" s="9">
        <v>0.14699999999999999</v>
      </c>
      <c r="U57" s="9">
        <f>IF(T57&gt;0.3, $AO$4, T57)</f>
        <v>0.14699999999999999</v>
      </c>
      <c r="V57" s="7" t="str">
        <f t="shared" si="4"/>
        <v>Less than 20%</v>
      </c>
      <c r="W57" s="11">
        <v>38</v>
      </c>
      <c r="X57" s="6">
        <f t="shared" si="1"/>
        <v>31680.795320000001</v>
      </c>
      <c r="Y57" s="6">
        <f t="shared" si="2"/>
        <v>32519.64</v>
      </c>
      <c r="Z57" s="6">
        <f t="shared" si="5"/>
        <v>-838.84467999999833</v>
      </c>
      <c r="AA57" s="9">
        <f t="shared" si="6"/>
        <v>-2.6478018355506307E-2</v>
      </c>
      <c r="AB57" s="9">
        <f>IF(U57&gt;'What-If Analysis'!$F$16, 'What-If Analysis'!$F$16,T57)</f>
        <v>0.14699999999999999</v>
      </c>
      <c r="AC57" s="42">
        <f>S57*(1-AB57)</f>
        <v>833.70514000000003</v>
      </c>
      <c r="AD57" s="42">
        <f>Q57*(1+'What-If Analysis'!F72)</f>
        <v>855.78</v>
      </c>
      <c r="AE57" s="41">
        <f>W57*(1+'What-If Analysis'!$F$18)</f>
        <v>44.459999999999994</v>
      </c>
      <c r="AF57" s="42">
        <f t="shared" si="7"/>
        <v>37066.530524399997</v>
      </c>
      <c r="AG57" s="42">
        <f t="shared" si="8"/>
        <v>38047.97879999999</v>
      </c>
      <c r="AH57" s="42">
        <f t="shared" si="9"/>
        <v>-981.44827559999248</v>
      </c>
      <c r="AI57" s="44">
        <f t="shared" si="10"/>
        <v>-2.6478018355506158E-2</v>
      </c>
      <c r="AJ57" s="42">
        <f t="shared" si="11"/>
        <v>5385.7352043999963</v>
      </c>
      <c r="AK57" s="42">
        <f t="shared" si="12"/>
        <v>-838.84467999999833</v>
      </c>
      <c r="AL57" s="9">
        <f t="shared" si="13"/>
        <v>1.4918621893400541E-16</v>
      </c>
      <c r="AM57" s="42"/>
    </row>
    <row r="58" spans="1:39" x14ac:dyDescent="0.25">
      <c r="A58" t="s">
        <v>71</v>
      </c>
      <c r="B58" s="20">
        <v>45697</v>
      </c>
      <c r="C58" s="4">
        <v>45717</v>
      </c>
      <c r="D58" s="4" t="s">
        <v>1437</v>
      </c>
      <c r="E58" s="4">
        <v>45717</v>
      </c>
      <c r="F58" s="11">
        <f t="shared" si="0"/>
        <v>20</v>
      </c>
      <c r="G58" s="11" t="str">
        <f t="shared" si="3"/>
        <v>Does not Meet Target</v>
      </c>
      <c r="H58" t="s">
        <v>648</v>
      </c>
      <c r="I58" t="s">
        <v>655</v>
      </c>
      <c r="J58" t="s">
        <v>670</v>
      </c>
      <c r="K58" t="s">
        <v>701</v>
      </c>
      <c r="L58" t="s">
        <v>710</v>
      </c>
      <c r="M58" t="s">
        <v>717</v>
      </c>
      <c r="N58" t="s">
        <v>731</v>
      </c>
      <c r="O58" t="str" cm="1">
        <f t="array" ref="O58">_xlfn.IFS(S58&lt;=_xlfn.PERCENTILE.INC(IF(N58:N688=N58, S58:S688), 0.33), "Low", S58&lt;=_xlfn.PERCENTILE.INC(IF(N58:N688=N58, S58:S688), 0.66), "Medium", S58 &gt; _xlfn.PERCENTILE.INC(IF(N58:N688=N58, S58:S688), 0.66), "High")</f>
        <v>High</v>
      </c>
      <c r="P58" t="s">
        <v>790</v>
      </c>
      <c r="Q58" s="6">
        <v>1154.6400000000001</v>
      </c>
      <c r="R58" s="6">
        <v>2794.13</v>
      </c>
      <c r="S58" s="6">
        <v>2794.13</v>
      </c>
      <c r="T58" s="9">
        <v>3.5000000000000003E-2</v>
      </c>
      <c r="U58" s="9">
        <f>IF(T58&gt;0.3, $AO$4, T58)</f>
        <v>3.5000000000000003E-2</v>
      </c>
      <c r="V58" s="7" t="str">
        <f t="shared" si="4"/>
        <v>Less than 20%</v>
      </c>
      <c r="W58" s="11">
        <v>11</v>
      </c>
      <c r="X58" s="6">
        <f t="shared" si="1"/>
        <v>29659.68995</v>
      </c>
      <c r="Y58" s="6">
        <f t="shared" si="2"/>
        <v>12701.04</v>
      </c>
      <c r="Z58" s="6">
        <f t="shared" si="5"/>
        <v>16958.649949999999</v>
      </c>
      <c r="AA58" s="9">
        <f t="shared" si="6"/>
        <v>0.57177435025749479</v>
      </c>
      <c r="AB58" s="9">
        <f>IF(U58&gt;'What-If Analysis'!$F$16, 'What-If Analysis'!$F$16,T58)</f>
        <v>3.5000000000000003E-2</v>
      </c>
      <c r="AC58" s="42">
        <f>S58*(1-AB58)</f>
        <v>2696.33545</v>
      </c>
      <c r="AD58" s="42">
        <f>Q58*(1+'What-If Analysis'!F73)</f>
        <v>1154.6400000000001</v>
      </c>
      <c r="AE58" s="41">
        <f>W58*(1+'What-If Analysis'!$F$18)</f>
        <v>12.87</v>
      </c>
      <c r="AF58" s="42">
        <f t="shared" si="7"/>
        <v>34701.837241499998</v>
      </c>
      <c r="AG58" s="42">
        <f t="shared" si="8"/>
        <v>14860.2168</v>
      </c>
      <c r="AH58" s="42">
        <f t="shared" si="9"/>
        <v>19841.620441499996</v>
      </c>
      <c r="AI58" s="44">
        <f t="shared" si="10"/>
        <v>0.57177435025749479</v>
      </c>
      <c r="AJ58" s="42">
        <f t="shared" si="11"/>
        <v>5042.1472914999977</v>
      </c>
      <c r="AK58" s="42">
        <f t="shared" si="12"/>
        <v>16958.649949999999</v>
      </c>
      <c r="AL58" s="9">
        <f t="shared" si="13"/>
        <v>0</v>
      </c>
      <c r="AM58" s="42"/>
    </row>
    <row r="59" spans="1:39" x14ac:dyDescent="0.25">
      <c r="A59" t="s">
        <v>72</v>
      </c>
      <c r="B59" s="20">
        <v>45643</v>
      </c>
      <c r="C59" s="4">
        <v>45644</v>
      </c>
      <c r="D59" s="4" t="s">
        <v>1435</v>
      </c>
      <c r="E59" s="4">
        <v>45644</v>
      </c>
      <c r="F59" s="11">
        <f t="shared" si="0"/>
        <v>1</v>
      </c>
      <c r="G59" s="11" t="str">
        <f t="shared" si="3"/>
        <v>Meets Target</v>
      </c>
      <c r="H59" t="s">
        <v>649</v>
      </c>
      <c r="I59" t="s">
        <v>656</v>
      </c>
      <c r="J59" t="s">
        <v>684</v>
      </c>
      <c r="K59" t="s">
        <v>702</v>
      </c>
      <c r="L59" t="s">
        <v>707</v>
      </c>
      <c r="M59" t="s">
        <v>716</v>
      </c>
      <c r="N59" t="s">
        <v>733</v>
      </c>
      <c r="O59" t="str" cm="1">
        <f t="array" ref="O59">_xlfn.IFS(S59&lt;=_xlfn.PERCENTILE.INC(IF(N59:N689=N59, S59:S689), 0.33), "Low", S59&lt;=_xlfn.PERCENTILE.INC(IF(N59:N689=N59, S59:S689), 0.66), "Medium", S59 &gt; _xlfn.PERCENTILE.INC(IF(N59:N689=N59, S59:S689), 0.66), "High")</f>
        <v>Low</v>
      </c>
      <c r="P59" t="s">
        <v>791</v>
      </c>
      <c r="Q59" s="6">
        <v>346.82</v>
      </c>
      <c r="R59" s="6">
        <v>701.95</v>
      </c>
      <c r="S59" s="6">
        <v>701.95</v>
      </c>
      <c r="T59" s="9">
        <v>0.14699999999999999</v>
      </c>
      <c r="U59" s="9">
        <f>IF(T59&gt;0.3, $AO$4, T59)</f>
        <v>0.14699999999999999</v>
      </c>
      <c r="V59" s="7" t="str">
        <f t="shared" si="4"/>
        <v>Less than 20%</v>
      </c>
      <c r="W59" s="11">
        <v>8</v>
      </c>
      <c r="X59" s="6">
        <f t="shared" si="1"/>
        <v>4790.1068000000005</v>
      </c>
      <c r="Y59" s="6">
        <f t="shared" si="2"/>
        <v>2774.56</v>
      </c>
      <c r="Z59" s="6">
        <f t="shared" si="5"/>
        <v>2015.5468000000005</v>
      </c>
      <c r="AA59" s="9">
        <f t="shared" si="6"/>
        <v>0.42077283120284509</v>
      </c>
      <c r="AB59" s="9">
        <f>IF(U59&gt;'What-If Analysis'!$F$16, 'What-If Analysis'!$F$16,T59)</f>
        <v>0.14699999999999999</v>
      </c>
      <c r="AC59" s="42">
        <f>S59*(1-AB59)</f>
        <v>598.76335000000006</v>
      </c>
      <c r="AD59" s="42">
        <f>Q59*(1+'What-If Analysis'!F74)</f>
        <v>346.82</v>
      </c>
      <c r="AE59" s="41">
        <f>W59*(1+'What-If Analysis'!$F$18)</f>
        <v>9.36</v>
      </c>
      <c r="AF59" s="42">
        <f t="shared" si="7"/>
        <v>5604.4249559999998</v>
      </c>
      <c r="AG59" s="42">
        <f t="shared" si="8"/>
        <v>3246.2351999999996</v>
      </c>
      <c r="AH59" s="42">
        <f t="shared" si="9"/>
        <v>2358.1897560000002</v>
      </c>
      <c r="AI59" s="44">
        <f t="shared" si="10"/>
        <v>0.42077283120284503</v>
      </c>
      <c r="AJ59" s="42">
        <f t="shared" si="11"/>
        <v>814.31815599999936</v>
      </c>
      <c r="AK59" s="42">
        <f t="shared" si="12"/>
        <v>2015.5468000000005</v>
      </c>
      <c r="AL59" s="9">
        <f t="shared" si="13"/>
        <v>0</v>
      </c>
      <c r="AM59" s="42"/>
    </row>
    <row r="60" spans="1:39" x14ac:dyDescent="0.25">
      <c r="A60" t="s">
        <v>73</v>
      </c>
      <c r="B60" s="20">
        <v>45817</v>
      </c>
      <c r="C60" s="4">
        <v>45826</v>
      </c>
      <c r="D60" s="4" t="s">
        <v>1440</v>
      </c>
      <c r="E60" s="4">
        <v>45826</v>
      </c>
      <c r="F60" s="11">
        <f t="shared" si="0"/>
        <v>9</v>
      </c>
      <c r="G60" s="11" t="str">
        <f t="shared" si="3"/>
        <v>Does not Meet Target</v>
      </c>
      <c r="H60" t="s">
        <v>649</v>
      </c>
      <c r="I60" t="s">
        <v>657</v>
      </c>
      <c r="J60" t="s">
        <v>673</v>
      </c>
      <c r="K60" t="s">
        <v>705</v>
      </c>
      <c r="L60" t="s">
        <v>709</v>
      </c>
      <c r="M60" t="s">
        <v>722</v>
      </c>
      <c r="N60" t="s">
        <v>733</v>
      </c>
      <c r="O60" t="str" cm="1">
        <f t="array" ref="O60">_xlfn.IFS(S60&lt;=_xlfn.PERCENTILE.INC(IF(N60:N690=N60, S60:S690), 0.33), "Low", S60&lt;=_xlfn.PERCENTILE.INC(IF(N60:N690=N60, S60:S690), 0.66), "Medium", S60 &gt; _xlfn.PERCENTILE.INC(IF(N60:N690=N60, S60:S690), 0.66), "High")</f>
        <v>Medium</v>
      </c>
      <c r="P60" t="s">
        <v>792</v>
      </c>
      <c r="Q60" s="6">
        <v>1225.5</v>
      </c>
      <c r="R60" s="6">
        <v>-5.27</v>
      </c>
      <c r="S60" s="6">
        <v>1186.26</v>
      </c>
      <c r="T60" s="9">
        <v>7.4999999999999997E-2</v>
      </c>
      <c r="U60" s="9">
        <f>IF(T60&gt;0.3, $AO$4, T60)</f>
        <v>7.4999999999999997E-2</v>
      </c>
      <c r="V60" s="7" t="str">
        <f t="shared" si="4"/>
        <v>Less than 20%</v>
      </c>
      <c r="W60" s="11">
        <v>56</v>
      </c>
      <c r="X60" s="6">
        <f t="shared" si="1"/>
        <v>61448.268000000004</v>
      </c>
      <c r="Y60" s="6">
        <f t="shared" si="2"/>
        <v>68628</v>
      </c>
      <c r="Z60" s="6">
        <f t="shared" si="5"/>
        <v>-7179.7319999999963</v>
      </c>
      <c r="AA60" s="9">
        <f t="shared" si="6"/>
        <v>-0.1168418937373466</v>
      </c>
      <c r="AB60" s="9">
        <f>IF(U60&gt;'What-If Analysis'!$F$16, 'What-If Analysis'!$F$16,T60)</f>
        <v>7.4999999999999997E-2</v>
      </c>
      <c r="AC60" s="42">
        <f>S60*(1-AB60)</f>
        <v>1097.2905000000001</v>
      </c>
      <c r="AD60" s="42">
        <f>Q60*(1+'What-If Analysis'!F75)</f>
        <v>1225.5</v>
      </c>
      <c r="AE60" s="41">
        <f>W60*(1+'What-If Analysis'!$F$18)</f>
        <v>65.52</v>
      </c>
      <c r="AF60" s="42">
        <f t="shared" si="7"/>
        <v>71894.473559999999</v>
      </c>
      <c r="AG60" s="42">
        <f t="shared" si="8"/>
        <v>80294.759999999995</v>
      </c>
      <c r="AH60" s="42">
        <f t="shared" si="9"/>
        <v>-8400.2864399999962</v>
      </c>
      <c r="AI60" s="44">
        <f t="shared" si="10"/>
        <v>-0.11684189373734662</v>
      </c>
      <c r="AJ60" s="42">
        <f t="shared" si="11"/>
        <v>10446.205559999995</v>
      </c>
      <c r="AK60" s="42">
        <f t="shared" si="12"/>
        <v>-7179.7319999999963</v>
      </c>
      <c r="AL60" s="9">
        <f t="shared" si="13"/>
        <v>0</v>
      </c>
      <c r="AM60" s="42"/>
    </row>
    <row r="61" spans="1:39" x14ac:dyDescent="0.25">
      <c r="A61" t="s">
        <v>74</v>
      </c>
      <c r="B61" s="20">
        <v>45779</v>
      </c>
      <c r="C61" s="4">
        <v>45790</v>
      </c>
      <c r="D61" s="4" t="s">
        <v>1440</v>
      </c>
      <c r="E61" s="4">
        <v>45790</v>
      </c>
      <c r="F61" s="11">
        <f t="shared" si="0"/>
        <v>11</v>
      </c>
      <c r="G61" s="11" t="str">
        <f t="shared" si="3"/>
        <v>Does not Meet Target</v>
      </c>
      <c r="H61" t="s">
        <v>646</v>
      </c>
      <c r="I61" t="s">
        <v>650</v>
      </c>
      <c r="J61" t="s">
        <v>678</v>
      </c>
      <c r="K61" t="s">
        <v>705</v>
      </c>
      <c r="L61" t="s">
        <v>708</v>
      </c>
      <c r="M61" t="s">
        <v>720</v>
      </c>
      <c r="N61" t="s">
        <v>733</v>
      </c>
      <c r="O61" t="str" cm="1">
        <f t="array" ref="O61">_xlfn.IFS(S61&lt;=_xlfn.PERCENTILE.INC(IF(N61:N691=N61, S61:S691), 0.33), "Low", S61&lt;=_xlfn.PERCENTILE.INC(IF(N61:N691=N61, S61:S691), 0.66), "Medium", S61 &gt; _xlfn.PERCENTILE.INC(IF(N61:N691=N61, S61:S691), 0.66), "High")</f>
        <v>Medium</v>
      </c>
      <c r="P61" t="s">
        <v>793</v>
      </c>
      <c r="Q61" s="6">
        <v>1057.5999999999999</v>
      </c>
      <c r="R61" s="6">
        <v>1437.06</v>
      </c>
      <c r="S61" s="6">
        <v>1437.06</v>
      </c>
      <c r="T61" s="9">
        <v>0.20499999999999999</v>
      </c>
      <c r="U61" s="9">
        <f>IF(T61&gt;0.3, $AO$4, T61)</f>
        <v>0.20499999999999999</v>
      </c>
      <c r="V61" s="7" t="str">
        <f t="shared" si="4"/>
        <v>Greater than 20%</v>
      </c>
      <c r="W61" s="11">
        <v>4</v>
      </c>
      <c r="X61" s="6">
        <f t="shared" si="1"/>
        <v>4569.8508000000002</v>
      </c>
      <c r="Y61" s="6">
        <f t="shared" si="2"/>
        <v>4230.3999999999996</v>
      </c>
      <c r="Z61" s="6">
        <f t="shared" si="5"/>
        <v>339.45080000000053</v>
      </c>
      <c r="AA61" s="9">
        <f t="shared" si="6"/>
        <v>7.4280499485891424E-2</v>
      </c>
      <c r="AB61" s="9">
        <f>IF(U61&gt;'What-If Analysis'!$F$16, 'What-If Analysis'!$F$16,T61)</f>
        <v>0.17</v>
      </c>
      <c r="AC61" s="42">
        <f>S61*(1-AB61)</f>
        <v>1192.7597999999998</v>
      </c>
      <c r="AD61" s="42">
        <f>Q61*(1+'What-If Analysis'!F76)</f>
        <v>1057.5999999999999</v>
      </c>
      <c r="AE61" s="41">
        <f>W61*(1+'What-If Analysis'!$F$18)</f>
        <v>4.68</v>
      </c>
      <c r="AF61" s="42">
        <f t="shared" si="7"/>
        <v>5582.1158639999985</v>
      </c>
      <c r="AG61" s="42">
        <f t="shared" si="8"/>
        <v>4949.5679999999993</v>
      </c>
      <c r="AH61" s="42">
        <f t="shared" si="9"/>
        <v>632.54786399999921</v>
      </c>
      <c r="AI61" s="44">
        <f t="shared" si="10"/>
        <v>0.1133168639654018</v>
      </c>
      <c r="AJ61" s="42">
        <f t="shared" si="11"/>
        <v>1012.2650639999983</v>
      </c>
      <c r="AK61" s="42">
        <f t="shared" si="12"/>
        <v>339.45080000000053</v>
      </c>
      <c r="AL61" s="9">
        <f t="shared" si="13"/>
        <v>3.903636447951038E-2</v>
      </c>
      <c r="AM61" s="42"/>
    </row>
    <row r="62" spans="1:39" x14ac:dyDescent="0.25">
      <c r="A62" t="s">
        <v>75</v>
      </c>
      <c r="B62" s="20">
        <v>45361</v>
      </c>
      <c r="C62" s="4">
        <v>45391</v>
      </c>
      <c r="D62" s="4" t="s">
        <v>1434</v>
      </c>
      <c r="E62" s="4">
        <v>45391</v>
      </c>
      <c r="F62" s="11">
        <f t="shared" si="0"/>
        <v>30</v>
      </c>
      <c r="G62" s="11" t="str">
        <f t="shared" si="3"/>
        <v>Does not Meet Target</v>
      </c>
      <c r="H62" t="s">
        <v>649</v>
      </c>
      <c r="I62" t="s">
        <v>657</v>
      </c>
      <c r="J62" t="s">
        <v>679</v>
      </c>
      <c r="K62" t="s">
        <v>701</v>
      </c>
      <c r="L62" t="s">
        <v>711</v>
      </c>
      <c r="M62" t="s">
        <v>714</v>
      </c>
      <c r="N62" t="s">
        <v>727</v>
      </c>
      <c r="O62" t="str" cm="1">
        <f t="array" ref="O62">_xlfn.IFS(S62&lt;=_xlfn.PERCENTILE.INC(IF(N62:N692=N62, S62:S692), 0.33), "Low", S62&lt;=_xlfn.PERCENTILE.INC(IF(N62:N692=N62, S62:S692), 0.66), "Medium", S62 &gt; _xlfn.PERCENTILE.INC(IF(N62:N692=N62, S62:S692), 0.66), "High")</f>
        <v>High</v>
      </c>
      <c r="P62" t="s">
        <v>794</v>
      </c>
      <c r="Q62" s="6">
        <v>1176.56</v>
      </c>
      <c r="R62" s="6">
        <v>1911.89</v>
      </c>
      <c r="S62" s="6">
        <v>1911.89</v>
      </c>
      <c r="T62" s="9">
        <v>0.11899999999999999</v>
      </c>
      <c r="U62" s="9">
        <f>IF(T62&gt;0.3, $AO$4, T62)</f>
        <v>0.11899999999999999</v>
      </c>
      <c r="V62" s="7" t="str">
        <f t="shared" si="4"/>
        <v>Less than 20%</v>
      </c>
      <c r="W62" s="11">
        <v>20</v>
      </c>
      <c r="X62" s="6">
        <f t="shared" si="1"/>
        <v>33687.501800000005</v>
      </c>
      <c r="Y62" s="6">
        <f t="shared" si="2"/>
        <v>23531.199999999997</v>
      </c>
      <c r="Z62" s="6">
        <f t="shared" si="5"/>
        <v>10156.301800000008</v>
      </c>
      <c r="AA62" s="9">
        <f t="shared" si="6"/>
        <v>0.30148575160892477</v>
      </c>
      <c r="AB62" s="9">
        <f>IF(U62&gt;'What-If Analysis'!$F$16, 'What-If Analysis'!$F$16,T62)</f>
        <v>0.11899999999999999</v>
      </c>
      <c r="AC62" s="42">
        <f>S62*(1-AB62)</f>
        <v>1684.37509</v>
      </c>
      <c r="AD62" s="42">
        <f>Q62*(1+'What-If Analysis'!F77)</f>
        <v>1176.56</v>
      </c>
      <c r="AE62" s="41">
        <f>W62*(1+'What-If Analysis'!$F$18)</f>
        <v>23.4</v>
      </c>
      <c r="AF62" s="42">
        <f t="shared" si="7"/>
        <v>39414.377106</v>
      </c>
      <c r="AG62" s="42">
        <f t="shared" si="8"/>
        <v>27531.503999999997</v>
      </c>
      <c r="AH62" s="42">
        <f t="shared" si="9"/>
        <v>11882.873106000003</v>
      </c>
      <c r="AI62" s="44">
        <f t="shared" si="10"/>
        <v>0.30148575160892466</v>
      </c>
      <c r="AJ62" s="42">
        <f t="shared" si="11"/>
        <v>5726.8753059999945</v>
      </c>
      <c r="AK62" s="42">
        <f t="shared" si="12"/>
        <v>10156.301800000008</v>
      </c>
      <c r="AL62" s="9">
        <f t="shared" si="13"/>
        <v>0</v>
      </c>
      <c r="AM62" s="42"/>
    </row>
    <row r="63" spans="1:39" x14ac:dyDescent="0.25">
      <c r="A63" t="s">
        <v>76</v>
      </c>
      <c r="B63" s="20">
        <v>45910</v>
      </c>
      <c r="C63" s="4">
        <v>45912</v>
      </c>
      <c r="D63" s="4" t="s">
        <v>1441</v>
      </c>
      <c r="E63" s="4">
        <v>45912</v>
      </c>
      <c r="F63" s="11">
        <f t="shared" si="0"/>
        <v>2</v>
      </c>
      <c r="G63" s="11" t="str">
        <f t="shared" si="3"/>
        <v>Meets Target</v>
      </c>
      <c r="H63" t="s">
        <v>647</v>
      </c>
      <c r="I63" t="s">
        <v>652</v>
      </c>
      <c r="J63" t="s">
        <v>689</v>
      </c>
      <c r="K63" t="s">
        <v>704</v>
      </c>
      <c r="L63" t="s">
        <v>708</v>
      </c>
      <c r="M63" t="s">
        <v>719</v>
      </c>
      <c r="N63" t="s">
        <v>727</v>
      </c>
      <c r="O63" t="str" cm="1">
        <f t="array" ref="O63">_xlfn.IFS(S63&lt;=_xlfn.PERCENTILE.INC(IF(N63:N693=N63, S63:S693), 0.33), "Low", S63&lt;=_xlfn.PERCENTILE.INC(IF(N63:N693=N63, S63:S693), 0.66), "Medium", S63 &gt; _xlfn.PERCENTILE.INC(IF(N63:N693=N63, S63:S693), 0.66), "High")</f>
        <v>High</v>
      </c>
      <c r="P63" t="s">
        <v>795</v>
      </c>
      <c r="Q63" s="6">
        <v>1470.15</v>
      </c>
      <c r="R63" s="6">
        <v>2593.7800000000002</v>
      </c>
      <c r="S63" s="6">
        <v>2593.7800000000002</v>
      </c>
      <c r="T63" s="9">
        <v>0.11</v>
      </c>
      <c r="U63" s="9">
        <f>IF(T63&gt;0.3, $AO$4, T63)</f>
        <v>0.11</v>
      </c>
      <c r="V63" s="7" t="str">
        <f t="shared" si="4"/>
        <v>Less than 20%</v>
      </c>
      <c r="W63" s="11">
        <v>12</v>
      </c>
      <c r="X63" s="6">
        <f t="shared" si="1"/>
        <v>27701.570400000001</v>
      </c>
      <c r="Y63" s="6">
        <f t="shared" si="2"/>
        <v>17641.800000000003</v>
      </c>
      <c r="Z63" s="6">
        <f t="shared" si="5"/>
        <v>10059.770399999998</v>
      </c>
      <c r="AA63" s="9">
        <f t="shared" si="6"/>
        <v>0.36314801849645306</v>
      </c>
      <c r="AB63" s="9">
        <f>IF(U63&gt;'What-If Analysis'!$F$16, 'What-If Analysis'!$F$16,T63)</f>
        <v>0.11</v>
      </c>
      <c r="AC63" s="42">
        <f>S63*(1-AB63)</f>
        <v>2308.4642000000003</v>
      </c>
      <c r="AD63" s="42">
        <f>Q63*(1+'What-If Analysis'!F78)</f>
        <v>1470.15</v>
      </c>
      <c r="AE63" s="41">
        <f>W63*(1+'What-If Analysis'!$F$18)</f>
        <v>14.04</v>
      </c>
      <c r="AF63" s="42">
        <f t="shared" si="7"/>
        <v>32410.837368000004</v>
      </c>
      <c r="AG63" s="42">
        <f t="shared" si="8"/>
        <v>20640.905999999999</v>
      </c>
      <c r="AH63" s="42">
        <f t="shared" si="9"/>
        <v>11769.931368000005</v>
      </c>
      <c r="AI63" s="44">
        <f t="shared" si="10"/>
        <v>0.36314801849645328</v>
      </c>
      <c r="AJ63" s="42">
        <f t="shared" si="11"/>
        <v>4709.2669680000035</v>
      </c>
      <c r="AK63" s="42">
        <f t="shared" si="12"/>
        <v>10059.770399999998</v>
      </c>
      <c r="AL63" s="9">
        <f t="shared" si="13"/>
        <v>0</v>
      </c>
      <c r="AM63" s="42"/>
    </row>
    <row r="64" spans="1:39" x14ac:dyDescent="0.25">
      <c r="A64" t="s">
        <v>77</v>
      </c>
      <c r="B64" s="20">
        <v>45774</v>
      </c>
      <c r="C64" s="4">
        <v>45802</v>
      </c>
      <c r="D64" s="4" t="s">
        <v>1440</v>
      </c>
      <c r="E64" s="4">
        <v>45802</v>
      </c>
      <c r="F64" s="11">
        <f t="shared" si="0"/>
        <v>28</v>
      </c>
      <c r="G64" s="11" t="str">
        <f t="shared" si="3"/>
        <v>Does not Meet Target</v>
      </c>
      <c r="H64" t="s">
        <v>649</v>
      </c>
      <c r="I64" t="s">
        <v>657</v>
      </c>
      <c r="J64" t="s">
        <v>690</v>
      </c>
      <c r="K64" t="s">
        <v>705</v>
      </c>
      <c r="L64" t="s">
        <v>709</v>
      </c>
      <c r="M64" t="s">
        <v>714</v>
      </c>
      <c r="N64" t="s">
        <v>730</v>
      </c>
      <c r="O64" t="str" cm="1">
        <f t="array" ref="O64">_xlfn.IFS(S64&lt;=_xlfn.PERCENTILE.INC(IF(N64:N694=N64, S64:S694), 0.33), "Low", S64&lt;=_xlfn.PERCENTILE.INC(IF(N64:N694=N64, S64:S694), 0.66), "Medium", S64 &gt; _xlfn.PERCENTILE.INC(IF(N64:N694=N64, S64:S694), 0.66), "High")</f>
        <v>Medium</v>
      </c>
      <c r="P64" t="s">
        <v>796</v>
      </c>
      <c r="Q64" s="6">
        <v>603.45000000000005</v>
      </c>
      <c r="R64" s="6">
        <v>1244.08</v>
      </c>
      <c r="S64" s="6">
        <v>1244.08</v>
      </c>
      <c r="T64" s="9">
        <v>0.2</v>
      </c>
      <c r="U64" s="9">
        <f>IF(T64&gt;0.3, $AO$4, T64)</f>
        <v>0.2</v>
      </c>
      <c r="V64" s="7" t="str">
        <f t="shared" si="4"/>
        <v>Less than 20%</v>
      </c>
      <c r="W64" s="11">
        <v>11</v>
      </c>
      <c r="X64" s="6">
        <f t="shared" si="1"/>
        <v>10947.904</v>
      </c>
      <c r="Y64" s="6">
        <f t="shared" si="2"/>
        <v>6637.9500000000007</v>
      </c>
      <c r="Z64" s="6">
        <f t="shared" si="5"/>
        <v>4309.9539999999997</v>
      </c>
      <c r="AA64" s="9">
        <f t="shared" si="6"/>
        <v>0.39367846119220623</v>
      </c>
      <c r="AB64" s="9">
        <f>IF(U64&gt;'What-If Analysis'!$F$16, 'What-If Analysis'!$F$16,T64)</f>
        <v>0.17</v>
      </c>
      <c r="AC64" s="42">
        <f>S64*(1-AB64)</f>
        <v>1032.5863999999999</v>
      </c>
      <c r="AD64" s="42">
        <f>Q64*(1+'What-If Analysis'!F79)</f>
        <v>603.45000000000005</v>
      </c>
      <c r="AE64" s="41">
        <f>W64*(1+'What-If Analysis'!$F$18)</f>
        <v>12.87</v>
      </c>
      <c r="AF64" s="42">
        <f t="shared" si="7"/>
        <v>13289.386967999999</v>
      </c>
      <c r="AG64" s="42">
        <f t="shared" si="8"/>
        <v>7766.4014999999999</v>
      </c>
      <c r="AH64" s="42">
        <f t="shared" si="9"/>
        <v>5522.9854679999989</v>
      </c>
      <c r="AI64" s="44">
        <f t="shared" si="10"/>
        <v>0.41559369753465664</v>
      </c>
      <c r="AJ64" s="42">
        <f t="shared" si="11"/>
        <v>2341.4829679999984</v>
      </c>
      <c r="AK64" s="42">
        <f t="shared" si="12"/>
        <v>4309.9539999999997</v>
      </c>
      <c r="AL64" s="9">
        <f t="shared" si="13"/>
        <v>2.1915236342450406E-2</v>
      </c>
      <c r="AM64" s="42"/>
    </row>
    <row r="65" spans="1:39" x14ac:dyDescent="0.25">
      <c r="A65" t="s">
        <v>78</v>
      </c>
      <c r="B65" s="20">
        <v>45598</v>
      </c>
      <c r="C65" s="4">
        <v>45614</v>
      </c>
      <c r="D65" s="4" t="s">
        <v>1435</v>
      </c>
      <c r="E65" s="4">
        <v>45614</v>
      </c>
      <c r="F65" s="11">
        <f t="shared" si="0"/>
        <v>16</v>
      </c>
      <c r="G65" s="11" t="str">
        <f t="shared" si="3"/>
        <v>Does not Meet Target</v>
      </c>
      <c r="H65" t="s">
        <v>647</v>
      </c>
      <c r="I65" t="s">
        <v>654</v>
      </c>
      <c r="J65" t="s">
        <v>691</v>
      </c>
      <c r="K65" t="s">
        <v>705</v>
      </c>
      <c r="L65" t="s">
        <v>710</v>
      </c>
      <c r="M65" t="s">
        <v>719</v>
      </c>
      <c r="N65" t="s">
        <v>732</v>
      </c>
      <c r="O65" t="str" cm="1">
        <f t="array" ref="O65">_xlfn.IFS(S65&lt;=_xlfn.PERCENTILE.INC(IF(N65:N695=N65, S65:S695), 0.33), "Low", S65&lt;=_xlfn.PERCENTILE.INC(IF(N65:N695=N65, S65:S695), 0.66), "Medium", S65 &gt; _xlfn.PERCENTILE.INC(IF(N65:N695=N65, S65:S695), 0.66), "High")</f>
        <v>High</v>
      </c>
      <c r="P65" t="s">
        <v>797</v>
      </c>
      <c r="Q65" s="6">
        <v>1233.58</v>
      </c>
      <c r="R65" s="6">
        <v>1912.51</v>
      </c>
      <c r="S65" s="6">
        <v>1912.51</v>
      </c>
      <c r="T65" s="9">
        <v>0.255</v>
      </c>
      <c r="U65" s="9">
        <f>IF(T65&gt;0.3, $AO$4, T65)</f>
        <v>0.255</v>
      </c>
      <c r="V65" s="7" t="str">
        <f t="shared" si="4"/>
        <v>Greater than 20%</v>
      </c>
      <c r="W65" s="11">
        <v>51</v>
      </c>
      <c r="X65" s="6">
        <f t="shared" si="1"/>
        <v>72665.817450000002</v>
      </c>
      <c r="Y65" s="6">
        <f t="shared" si="2"/>
        <v>62912.579999999994</v>
      </c>
      <c r="Z65" s="6">
        <f t="shared" si="5"/>
        <v>9753.2374500000078</v>
      </c>
      <c r="AA65" s="9">
        <f t="shared" si="6"/>
        <v>0.134220432553601</v>
      </c>
      <c r="AB65" s="9">
        <f>IF(U65&gt;'What-If Analysis'!$F$16, 'What-If Analysis'!$F$16,T65)</f>
        <v>0.17</v>
      </c>
      <c r="AC65" s="42">
        <f>S65*(1-AB65)</f>
        <v>1587.3833</v>
      </c>
      <c r="AD65" s="42">
        <f>Q65*(1+'What-If Analysis'!F80)</f>
        <v>1233.58</v>
      </c>
      <c r="AE65" s="41">
        <f>W65*(1+'What-If Analysis'!$F$18)</f>
        <v>59.669999999999995</v>
      </c>
      <c r="AF65" s="42">
        <f t="shared" si="7"/>
        <v>94719.161510999984</v>
      </c>
      <c r="AG65" s="42">
        <f t="shared" si="8"/>
        <v>73607.718599999993</v>
      </c>
      <c r="AH65" s="42">
        <f t="shared" si="9"/>
        <v>21111.442910999991</v>
      </c>
      <c r="AI65" s="44">
        <f t="shared" si="10"/>
        <v>0.22288460512341279</v>
      </c>
      <c r="AJ65" s="42">
        <f t="shared" si="11"/>
        <v>22053.344060999982</v>
      </c>
      <c r="AK65" s="42">
        <f t="shared" si="12"/>
        <v>9753.2374500000078</v>
      </c>
      <c r="AL65" s="9">
        <f t="shared" si="13"/>
        <v>8.8664172569811794E-2</v>
      </c>
      <c r="AM65" s="42"/>
    </row>
    <row r="66" spans="1:39" x14ac:dyDescent="0.25">
      <c r="A66" t="s">
        <v>79</v>
      </c>
      <c r="B66" s="20">
        <v>44972</v>
      </c>
      <c r="C66" s="4">
        <v>44983</v>
      </c>
      <c r="D66" s="4" t="s">
        <v>1436</v>
      </c>
      <c r="E66" s="4">
        <v>44983</v>
      </c>
      <c r="F66" s="11">
        <f t="shared" ref="F66:F129" si="14">E66-B66</f>
        <v>11</v>
      </c>
      <c r="G66" s="11" t="str">
        <f t="shared" si="3"/>
        <v>Does not Meet Target</v>
      </c>
      <c r="H66" t="s">
        <v>646</v>
      </c>
      <c r="I66" t="s">
        <v>661</v>
      </c>
      <c r="J66" t="s">
        <v>682</v>
      </c>
      <c r="K66" t="s">
        <v>703</v>
      </c>
      <c r="L66" t="s">
        <v>707</v>
      </c>
      <c r="M66" t="s">
        <v>723</v>
      </c>
      <c r="N66" t="s">
        <v>731</v>
      </c>
      <c r="O66" t="str" cm="1">
        <f t="array" ref="O66">_xlfn.IFS(S66&lt;=_xlfn.PERCENTILE.INC(IF(N66:N696=N66, S66:S696), 0.33), "Low", S66&lt;=_xlfn.PERCENTILE.INC(IF(N66:N696=N66, S66:S696), 0.66), "Medium", S66 &gt; _xlfn.PERCENTILE.INC(IF(N66:N696=N66, S66:S696), 0.66), "High")</f>
        <v>Low</v>
      </c>
      <c r="P66" t="s">
        <v>798</v>
      </c>
      <c r="Q66" s="6">
        <v>498.5</v>
      </c>
      <c r="R66" s="6">
        <v>755.87</v>
      </c>
      <c r="S66" s="6">
        <v>755.87</v>
      </c>
      <c r="T66" s="9">
        <v>0.13</v>
      </c>
      <c r="U66" s="9">
        <f>IF(T66&gt;0.3, $AO$4, T66)</f>
        <v>0.13</v>
      </c>
      <c r="V66" s="7" t="str">
        <f t="shared" si="4"/>
        <v>Less than 20%</v>
      </c>
      <c r="W66" s="11">
        <v>40</v>
      </c>
      <c r="X66" s="6">
        <f t="shared" ref="X66:X129" si="15">S66*W66*(1-U66)</f>
        <v>26304.275999999998</v>
      </c>
      <c r="Y66" s="6">
        <f t="shared" ref="Y66:Y129" si="16">Q66*W66</f>
        <v>19940</v>
      </c>
      <c r="Z66" s="6">
        <f t="shared" si="5"/>
        <v>6364.275999999998</v>
      </c>
      <c r="AA66" s="9">
        <f t="shared" si="6"/>
        <v>0.24194834330357537</v>
      </c>
      <c r="AB66" s="9">
        <f>IF(U66&gt;'What-If Analysis'!$F$16, 'What-If Analysis'!$F$16,T66)</f>
        <v>0.13</v>
      </c>
      <c r="AC66" s="42">
        <f>S66*(1-AB66)</f>
        <v>657.6069</v>
      </c>
      <c r="AD66" s="42">
        <f>Q66*(1+'What-If Analysis'!F81)</f>
        <v>498.5</v>
      </c>
      <c r="AE66" s="41">
        <f>W66*(1+'What-If Analysis'!$F$18)</f>
        <v>46.8</v>
      </c>
      <c r="AF66" s="42">
        <f t="shared" si="7"/>
        <v>30776.002919999999</v>
      </c>
      <c r="AG66" s="42">
        <f t="shared" si="8"/>
        <v>23329.8</v>
      </c>
      <c r="AH66" s="42">
        <f t="shared" si="9"/>
        <v>7446.2029199999997</v>
      </c>
      <c r="AI66" s="44">
        <f t="shared" si="10"/>
        <v>0.24194834330357542</v>
      </c>
      <c r="AJ66" s="42">
        <f t="shared" si="11"/>
        <v>4471.726920000001</v>
      </c>
      <c r="AK66" s="42">
        <f t="shared" si="12"/>
        <v>6364.275999999998</v>
      </c>
      <c r="AL66" s="9">
        <f t="shared" si="13"/>
        <v>0</v>
      </c>
      <c r="AM66" s="42"/>
    </row>
    <row r="67" spans="1:39" x14ac:dyDescent="0.25">
      <c r="A67" t="s">
        <v>80</v>
      </c>
      <c r="B67" s="20">
        <v>45263</v>
      </c>
      <c r="C67" s="4">
        <v>45286</v>
      </c>
      <c r="D67" s="4" t="s">
        <v>1438</v>
      </c>
      <c r="E67" s="4">
        <v>45286</v>
      </c>
      <c r="F67" s="11">
        <f t="shared" si="14"/>
        <v>23</v>
      </c>
      <c r="G67" s="11" t="str">
        <f t="shared" ref="G67:G130" si="17">IF(F67&lt;=7, "Meets Target", "Does not Meet Target")</f>
        <v>Does not Meet Target</v>
      </c>
      <c r="H67" t="s">
        <v>648</v>
      </c>
      <c r="I67" t="s">
        <v>655</v>
      </c>
      <c r="J67" t="s">
        <v>692</v>
      </c>
      <c r="K67" t="s">
        <v>702</v>
      </c>
      <c r="L67" t="s">
        <v>707</v>
      </c>
      <c r="M67" t="s">
        <v>719</v>
      </c>
      <c r="N67" t="s">
        <v>730</v>
      </c>
      <c r="O67" t="str" cm="1">
        <f t="array" ref="O67">_xlfn.IFS(S67&lt;=_xlfn.PERCENTILE.INC(IF(N67:N697=N67, S67:S697), 0.33), "Low", S67&lt;=_xlfn.PERCENTILE.INC(IF(N67:N697=N67, S67:S697), 0.66), "Medium", S67 &gt; _xlfn.PERCENTILE.INC(IF(N67:N697=N67, S67:S697), 0.66), "High")</f>
        <v>Medium</v>
      </c>
      <c r="P67" t="s">
        <v>799</v>
      </c>
      <c r="Q67" s="6">
        <v>1303.1099999999999</v>
      </c>
      <c r="R67" s="6">
        <v>1145.67</v>
      </c>
      <c r="S67" s="6">
        <v>1145.67</v>
      </c>
      <c r="T67" s="9">
        <v>0.184</v>
      </c>
      <c r="U67" s="9">
        <f>IF(T67&gt;0.3, $AO$4, T67)</f>
        <v>0.184</v>
      </c>
      <c r="V67" s="7" t="str">
        <f t="shared" ref="V67:V130" si="18">IF(U67&gt;20%, "Greater than 20%", "Less than 20%")</f>
        <v>Less than 20%</v>
      </c>
      <c r="W67" s="11">
        <v>13</v>
      </c>
      <c r="X67" s="6">
        <f t="shared" si="15"/>
        <v>12153.267360000002</v>
      </c>
      <c r="Y67" s="6">
        <f t="shared" si="16"/>
        <v>16940.43</v>
      </c>
      <c r="Z67" s="6">
        <f t="shared" ref="Z67:Z130" si="19">X67-Y67</f>
        <v>-4787.1626399999986</v>
      </c>
      <c r="AA67" s="9">
        <f t="shared" ref="AA67:AA130" si="20">IF(X67=0, 0, Z67/X67)</f>
        <v>-0.39389922875851208</v>
      </c>
      <c r="AB67" s="9">
        <f>IF(U67&gt;'What-If Analysis'!$F$16, 'What-If Analysis'!$F$16,T67)</f>
        <v>0.17</v>
      </c>
      <c r="AC67" s="42">
        <f>S67*(1-AB67)</f>
        <v>950.90610000000004</v>
      </c>
      <c r="AD67" s="42">
        <f>Q67*(1+'What-If Analysis'!F82)</f>
        <v>1303.1099999999999</v>
      </c>
      <c r="AE67" s="41">
        <f>W67*(1+'What-If Analysis'!$F$18)</f>
        <v>15.209999999999999</v>
      </c>
      <c r="AF67" s="42">
        <f t="shared" ref="AF67:AF130" si="21">AC67*AE67</f>
        <v>14463.281781</v>
      </c>
      <c r="AG67" s="42">
        <f t="shared" ref="AG67:AG130" si="22">AD67*AE67</f>
        <v>19820.303099999997</v>
      </c>
      <c r="AH67" s="42">
        <f t="shared" ref="AH67:AH130" si="23">AF67-AG67</f>
        <v>-5357.0213189999977</v>
      </c>
      <c r="AI67" s="44">
        <f t="shared" ref="AI67:AI130" si="24">IF(AF67=0, 0, AH67/AF67)</f>
        <v>-0.37038767550234442</v>
      </c>
      <c r="AJ67" s="42">
        <f t="shared" ref="AJ67:AJ130" si="25">AF67-X67</f>
        <v>2310.014420999998</v>
      </c>
      <c r="AK67" s="42">
        <f t="shared" ref="AK67:AK130" si="26">Z67</f>
        <v>-4787.1626399999986</v>
      </c>
      <c r="AL67" s="9">
        <f t="shared" ref="AL67:AL130" si="27">AI67-AA67</f>
        <v>2.3511553256167661E-2</v>
      </c>
      <c r="AM67" s="42"/>
    </row>
    <row r="68" spans="1:39" x14ac:dyDescent="0.25">
      <c r="A68" t="s">
        <v>81</v>
      </c>
      <c r="B68" s="20">
        <v>45004</v>
      </c>
      <c r="C68" s="4">
        <v>45025</v>
      </c>
      <c r="D68" s="4" t="s">
        <v>1436</v>
      </c>
      <c r="E68" s="4">
        <v>45025</v>
      </c>
      <c r="F68" s="11">
        <f t="shared" si="14"/>
        <v>21</v>
      </c>
      <c r="G68" s="11" t="str">
        <f t="shared" si="17"/>
        <v>Does not Meet Target</v>
      </c>
      <c r="H68" t="s">
        <v>649</v>
      </c>
      <c r="I68" t="s">
        <v>658</v>
      </c>
      <c r="J68" t="s">
        <v>693</v>
      </c>
      <c r="K68" t="s">
        <v>704</v>
      </c>
      <c r="L68" t="s">
        <v>707</v>
      </c>
      <c r="M68" t="s">
        <v>716</v>
      </c>
      <c r="N68" t="s">
        <v>733</v>
      </c>
      <c r="O68" t="str" cm="1">
        <f t="array" ref="O68">_xlfn.IFS(S68&lt;=_xlfn.PERCENTILE.INC(IF(N68:N698=N68, S68:S698), 0.33), "Low", S68&lt;=_xlfn.PERCENTILE.INC(IF(N68:N698=N68, S68:S698), 0.66), "Medium", S68 &gt; _xlfn.PERCENTILE.INC(IF(N68:N698=N68, S68:S698), 0.66), "High")</f>
        <v>Medium</v>
      </c>
      <c r="P68" t="s">
        <v>800</v>
      </c>
      <c r="Q68" s="6">
        <v>1082.17</v>
      </c>
      <c r="R68" s="6">
        <v>1234.0999999999999</v>
      </c>
      <c r="S68" s="6">
        <v>1234.0999999999999</v>
      </c>
      <c r="T68" s="9">
        <v>0.189</v>
      </c>
      <c r="U68" s="9">
        <f>IF(T68&gt;0.3, $AO$4, T68)</f>
        <v>0.189</v>
      </c>
      <c r="V68" s="7" t="str">
        <f t="shared" si="18"/>
        <v>Less than 20%</v>
      </c>
      <c r="W68" s="11">
        <v>16</v>
      </c>
      <c r="X68" s="6">
        <f t="shared" si="15"/>
        <v>16013.681599999998</v>
      </c>
      <c r="Y68" s="6">
        <f t="shared" si="16"/>
        <v>17314.72</v>
      </c>
      <c r="Z68" s="6">
        <f t="shared" si="19"/>
        <v>-1301.0384000000031</v>
      </c>
      <c r="AA68" s="9">
        <f t="shared" si="20"/>
        <v>-8.124542703534228E-2</v>
      </c>
      <c r="AB68" s="9">
        <f>IF(U68&gt;'What-If Analysis'!$F$16, 'What-If Analysis'!$F$16,T68)</f>
        <v>0.17</v>
      </c>
      <c r="AC68" s="42">
        <f>S68*(1-AB68)</f>
        <v>1024.3029999999999</v>
      </c>
      <c r="AD68" s="42">
        <f>Q68*(1+'What-If Analysis'!F83)</f>
        <v>1082.17</v>
      </c>
      <c r="AE68" s="41">
        <f>W68*(1+'What-If Analysis'!$F$18)</f>
        <v>18.72</v>
      </c>
      <c r="AF68" s="42">
        <f t="shared" si="21"/>
        <v>19174.952159999997</v>
      </c>
      <c r="AG68" s="42">
        <f t="shared" si="22"/>
        <v>20258.222399999999</v>
      </c>
      <c r="AH68" s="42">
        <f t="shared" si="23"/>
        <v>-1083.2702400000016</v>
      </c>
      <c r="AI68" s="44">
        <f t="shared" si="24"/>
        <v>-5.6494025693569282E-2</v>
      </c>
      <c r="AJ68" s="42">
        <f t="shared" si="25"/>
        <v>3161.270559999999</v>
      </c>
      <c r="AK68" s="42">
        <f t="shared" si="26"/>
        <v>-1301.0384000000031</v>
      </c>
      <c r="AL68" s="9">
        <f t="shared" si="27"/>
        <v>2.4751401341772998E-2</v>
      </c>
      <c r="AM68" s="42"/>
    </row>
    <row r="69" spans="1:39" x14ac:dyDescent="0.25">
      <c r="A69" t="s">
        <v>82</v>
      </c>
      <c r="B69" s="20">
        <v>45434</v>
      </c>
      <c r="C69" s="4">
        <v>45449</v>
      </c>
      <c r="D69" s="4" t="s">
        <v>1439</v>
      </c>
      <c r="E69" s="4">
        <v>45449</v>
      </c>
      <c r="F69" s="11">
        <f t="shared" si="14"/>
        <v>15</v>
      </c>
      <c r="G69" s="11" t="str">
        <f t="shared" si="17"/>
        <v>Does not Meet Target</v>
      </c>
      <c r="H69" t="s">
        <v>647</v>
      </c>
      <c r="I69" t="s">
        <v>652</v>
      </c>
      <c r="J69" t="s">
        <v>694</v>
      </c>
      <c r="K69" t="s">
        <v>701</v>
      </c>
      <c r="L69" t="s">
        <v>710</v>
      </c>
      <c r="M69" t="s">
        <v>712</v>
      </c>
      <c r="N69" t="s">
        <v>732</v>
      </c>
      <c r="O69" t="str" cm="1">
        <f t="array" ref="O69">_xlfn.IFS(S69&lt;=_xlfn.PERCENTILE.INC(IF(N69:N699=N69, S69:S699), 0.33), "Low", S69&lt;=_xlfn.PERCENTILE.INC(IF(N69:N699=N69, S69:S699), 0.66), "Medium", S69 &gt; _xlfn.PERCENTILE.INC(IF(N69:N699=N69, S69:S699), 0.66), "High")</f>
        <v>Medium</v>
      </c>
      <c r="P69" t="s">
        <v>801</v>
      </c>
      <c r="Q69" s="6">
        <v>673.88</v>
      </c>
      <c r="R69" s="6">
        <v>1228.01</v>
      </c>
      <c r="S69" s="6">
        <v>1228.01</v>
      </c>
      <c r="T69" s="9">
        <v>0.105</v>
      </c>
      <c r="U69" s="9">
        <f>IF(T69&gt;0.3, $AO$4, T69)</f>
        <v>0.105</v>
      </c>
      <c r="V69" s="7" t="str">
        <f t="shared" si="18"/>
        <v>Less than 20%</v>
      </c>
      <c r="W69" s="11">
        <v>13</v>
      </c>
      <c r="X69" s="6">
        <f t="shared" si="15"/>
        <v>14287.896349999999</v>
      </c>
      <c r="Y69" s="6">
        <f t="shared" si="16"/>
        <v>8760.44</v>
      </c>
      <c r="Z69" s="6">
        <f t="shared" si="19"/>
        <v>5527.4563499999986</v>
      </c>
      <c r="AA69" s="9">
        <f t="shared" si="20"/>
        <v>0.38686285332689996</v>
      </c>
      <c r="AB69" s="9">
        <f>IF(U69&gt;'What-If Analysis'!$F$16, 'What-If Analysis'!$F$16,T69)</f>
        <v>0.105</v>
      </c>
      <c r="AC69" s="42">
        <f>S69*(1-AB69)</f>
        <v>1099.0689500000001</v>
      </c>
      <c r="AD69" s="42">
        <f>Q69*(1+'What-If Analysis'!F84)</f>
        <v>673.88</v>
      </c>
      <c r="AE69" s="41">
        <f>W69*(1+'What-If Analysis'!$F$18)</f>
        <v>15.209999999999999</v>
      </c>
      <c r="AF69" s="42">
        <f t="shared" si="21"/>
        <v>16716.838729499999</v>
      </c>
      <c r="AG69" s="42">
        <f t="shared" si="22"/>
        <v>10249.7148</v>
      </c>
      <c r="AH69" s="42">
        <f t="shared" si="23"/>
        <v>6467.1239294999996</v>
      </c>
      <c r="AI69" s="44">
        <f t="shared" si="24"/>
        <v>0.38686285332690001</v>
      </c>
      <c r="AJ69" s="42">
        <f t="shared" si="25"/>
        <v>2428.9423795000002</v>
      </c>
      <c r="AK69" s="42">
        <f t="shared" si="26"/>
        <v>5527.4563499999986</v>
      </c>
      <c r="AL69" s="9">
        <f t="shared" si="27"/>
        <v>0</v>
      </c>
      <c r="AM69" s="42"/>
    </row>
    <row r="70" spans="1:39" x14ac:dyDescent="0.25">
      <c r="A70" t="s">
        <v>83</v>
      </c>
      <c r="B70" s="20">
        <v>45157</v>
      </c>
      <c r="C70" s="4">
        <v>45176</v>
      </c>
      <c r="D70" s="4" t="s">
        <v>1444</v>
      </c>
      <c r="E70" s="4">
        <v>45176</v>
      </c>
      <c r="F70" s="11">
        <f t="shared" si="14"/>
        <v>19</v>
      </c>
      <c r="G70" s="11" t="str">
        <f t="shared" si="17"/>
        <v>Does not Meet Target</v>
      </c>
      <c r="H70" t="s">
        <v>646</v>
      </c>
      <c r="I70" t="s">
        <v>661</v>
      </c>
      <c r="J70" t="s">
        <v>682</v>
      </c>
      <c r="K70" t="s">
        <v>706</v>
      </c>
      <c r="L70" t="s">
        <v>707</v>
      </c>
      <c r="M70" t="s">
        <v>726</v>
      </c>
      <c r="N70" t="s">
        <v>732</v>
      </c>
      <c r="O70" t="str" cm="1">
        <f t="array" ref="O70">_xlfn.IFS(S70&lt;=_xlfn.PERCENTILE.INC(IF(N70:N700=N70, S70:S700), 0.33), "Low", S70&lt;=_xlfn.PERCENTILE.INC(IF(N70:N700=N70, S70:S700), 0.66), "Medium", S70 &gt; _xlfn.PERCENTILE.INC(IF(N70:N700=N70, S70:S700), 0.66), "High")</f>
        <v>Low</v>
      </c>
      <c r="P70" t="s">
        <v>802</v>
      </c>
      <c r="Q70" s="6">
        <v>494.61</v>
      </c>
      <c r="R70" s="6">
        <v>605.23</v>
      </c>
      <c r="S70" s="6">
        <v>605.23</v>
      </c>
      <c r="T70" s="9">
        <v>0.20399999999999999</v>
      </c>
      <c r="U70" s="9">
        <f>IF(T70&gt;0.3, $AO$4, T70)</f>
        <v>0.20399999999999999</v>
      </c>
      <c r="V70" s="7" t="str">
        <f t="shared" si="18"/>
        <v>Greater than 20%</v>
      </c>
      <c r="W70" s="11">
        <v>18</v>
      </c>
      <c r="X70" s="6">
        <f t="shared" si="15"/>
        <v>8671.7354400000004</v>
      </c>
      <c r="Y70" s="6">
        <f t="shared" si="16"/>
        <v>8902.98</v>
      </c>
      <c r="Z70" s="6">
        <f t="shared" si="19"/>
        <v>-231.24455999999918</v>
      </c>
      <c r="AA70" s="9">
        <f t="shared" si="20"/>
        <v>-2.6666468505639647E-2</v>
      </c>
      <c r="AB70" s="9">
        <f>IF(U70&gt;'What-If Analysis'!$F$16, 'What-If Analysis'!$F$16,T70)</f>
        <v>0.17</v>
      </c>
      <c r="AC70" s="42">
        <f>S70*(1-AB70)</f>
        <v>502.34089999999998</v>
      </c>
      <c r="AD70" s="42">
        <f>Q70*(1+'What-If Analysis'!F85)</f>
        <v>494.61</v>
      </c>
      <c r="AE70" s="41">
        <f>W70*(1+'What-If Analysis'!$F$18)</f>
        <v>21.06</v>
      </c>
      <c r="AF70" s="42">
        <f t="shared" si="21"/>
        <v>10579.299353999999</v>
      </c>
      <c r="AG70" s="42">
        <f t="shared" si="22"/>
        <v>10416.4866</v>
      </c>
      <c r="AH70" s="42">
        <f t="shared" si="23"/>
        <v>162.81275399999868</v>
      </c>
      <c r="AI70" s="44">
        <f t="shared" si="24"/>
        <v>1.538974827651887E-2</v>
      </c>
      <c r="AJ70" s="42">
        <f t="shared" si="25"/>
        <v>1907.5639139999985</v>
      </c>
      <c r="AK70" s="42">
        <f t="shared" si="26"/>
        <v>-231.24455999999918</v>
      </c>
      <c r="AL70" s="9">
        <f t="shared" si="27"/>
        <v>4.2056216782158519E-2</v>
      </c>
      <c r="AM70" s="42"/>
    </row>
    <row r="71" spans="1:39" x14ac:dyDescent="0.25">
      <c r="A71" t="s">
        <v>84</v>
      </c>
      <c r="B71" s="20">
        <v>45037</v>
      </c>
      <c r="C71" s="4">
        <v>45056</v>
      </c>
      <c r="D71" s="4" t="s">
        <v>1442</v>
      </c>
      <c r="E71" s="4">
        <v>45056</v>
      </c>
      <c r="F71" s="11">
        <f t="shared" si="14"/>
        <v>19</v>
      </c>
      <c r="G71" s="11" t="str">
        <f t="shared" si="17"/>
        <v>Does not Meet Target</v>
      </c>
      <c r="H71" t="s">
        <v>647</v>
      </c>
      <c r="I71" t="s">
        <v>659</v>
      </c>
      <c r="J71" t="s">
        <v>685</v>
      </c>
      <c r="K71" t="s">
        <v>701</v>
      </c>
      <c r="L71" t="s">
        <v>707</v>
      </c>
      <c r="M71" t="s">
        <v>720</v>
      </c>
      <c r="N71" t="s">
        <v>727</v>
      </c>
      <c r="O71" t="str" cm="1">
        <f t="array" ref="O71">_xlfn.IFS(S71&lt;=_xlfn.PERCENTILE.INC(IF(N71:N701=N71, S71:S701), 0.33), "Low", S71&lt;=_xlfn.PERCENTILE.INC(IF(N71:N701=N71, S71:S701), 0.66), "Medium", S71 &gt; _xlfn.PERCENTILE.INC(IF(N71:N701=N71, S71:S701), 0.66), "High")</f>
        <v>High</v>
      </c>
      <c r="P71" t="s">
        <v>803</v>
      </c>
      <c r="Q71" s="6">
        <v>882.33</v>
      </c>
      <c r="R71" s="6">
        <v>1880.15</v>
      </c>
      <c r="S71" s="6">
        <v>1880.15</v>
      </c>
      <c r="T71" s="9">
        <v>0.05</v>
      </c>
      <c r="U71" s="9">
        <f>IF(T71&gt;0.3, $AO$4, T71)</f>
        <v>0.05</v>
      </c>
      <c r="V71" s="7" t="str">
        <f t="shared" si="18"/>
        <v>Less than 20%</v>
      </c>
      <c r="W71" s="11">
        <v>5</v>
      </c>
      <c r="X71" s="6">
        <f t="shared" si="15"/>
        <v>8930.7124999999996</v>
      </c>
      <c r="Y71" s="6">
        <f t="shared" si="16"/>
        <v>4411.6500000000005</v>
      </c>
      <c r="Z71" s="6">
        <f t="shared" si="19"/>
        <v>4519.0624999999991</v>
      </c>
      <c r="AA71" s="9">
        <f t="shared" si="20"/>
        <v>0.50601365792482955</v>
      </c>
      <c r="AB71" s="9">
        <f>IF(U71&gt;'What-If Analysis'!$F$16, 'What-If Analysis'!$F$16,T71)</f>
        <v>0.05</v>
      </c>
      <c r="AC71" s="42">
        <f>S71*(1-AB71)</f>
        <v>1786.1424999999999</v>
      </c>
      <c r="AD71" s="42">
        <f>Q71*(1+'What-If Analysis'!F86)</f>
        <v>882.33</v>
      </c>
      <c r="AE71" s="41">
        <f>W71*(1+'What-If Analysis'!$F$18)</f>
        <v>5.85</v>
      </c>
      <c r="AF71" s="42">
        <f t="shared" si="21"/>
        <v>10448.933625</v>
      </c>
      <c r="AG71" s="42">
        <f t="shared" si="22"/>
        <v>5161.6305000000002</v>
      </c>
      <c r="AH71" s="42">
        <f t="shared" si="23"/>
        <v>5287.3031249999995</v>
      </c>
      <c r="AI71" s="44">
        <f t="shared" si="24"/>
        <v>0.50601365792482955</v>
      </c>
      <c r="AJ71" s="42">
        <f t="shared" si="25"/>
        <v>1518.221125</v>
      </c>
      <c r="AK71" s="42">
        <f t="shared" si="26"/>
        <v>4519.0624999999991</v>
      </c>
      <c r="AL71" s="9">
        <f t="shared" si="27"/>
        <v>0</v>
      </c>
      <c r="AM71" s="42"/>
    </row>
    <row r="72" spans="1:39" x14ac:dyDescent="0.25">
      <c r="A72" t="s">
        <v>85</v>
      </c>
      <c r="B72" s="20">
        <v>45369</v>
      </c>
      <c r="C72" s="4">
        <v>45372</v>
      </c>
      <c r="D72" s="4" t="s">
        <v>1434</v>
      </c>
      <c r="E72" s="4">
        <v>45372</v>
      </c>
      <c r="F72" s="11">
        <f t="shared" si="14"/>
        <v>3</v>
      </c>
      <c r="G72" s="11" t="str">
        <f t="shared" si="17"/>
        <v>Meets Target</v>
      </c>
      <c r="H72" t="s">
        <v>649</v>
      </c>
      <c r="I72" t="s">
        <v>656</v>
      </c>
      <c r="J72" t="s">
        <v>684</v>
      </c>
      <c r="K72" t="s">
        <v>705</v>
      </c>
      <c r="L72" t="s">
        <v>708</v>
      </c>
      <c r="M72" t="s">
        <v>724</v>
      </c>
      <c r="N72" t="s">
        <v>733</v>
      </c>
      <c r="O72" t="str" cm="1">
        <f t="array" ref="O72">_xlfn.IFS(S72&lt;=_xlfn.PERCENTILE.INC(IF(N72:N702=N72, S72:S702), 0.33), "Low", S72&lt;=_xlfn.PERCENTILE.INC(IF(N72:N702=N72, S72:S702), 0.66), "Medium", S72 &gt; _xlfn.PERCENTILE.INC(IF(N72:N702=N72, S72:S702), 0.66), "High")</f>
        <v>Medium</v>
      </c>
      <c r="P72" t="s">
        <v>804</v>
      </c>
      <c r="Q72" s="6">
        <v>910.63</v>
      </c>
      <c r="R72" s="6">
        <v>1269.4000000000001</v>
      </c>
      <c r="S72" s="6">
        <v>1269.4000000000001</v>
      </c>
      <c r="T72" s="9">
        <v>6.8000000000000005E-2</v>
      </c>
      <c r="U72" s="9">
        <f>IF(T72&gt;0.3, $AO$4, T72)</f>
        <v>6.8000000000000005E-2</v>
      </c>
      <c r="V72" s="7" t="str">
        <f t="shared" si="18"/>
        <v>Less than 20%</v>
      </c>
      <c r="W72" s="11">
        <v>9</v>
      </c>
      <c r="X72" s="6">
        <f t="shared" si="15"/>
        <v>10647.727199999999</v>
      </c>
      <c r="Y72" s="6">
        <f t="shared" si="16"/>
        <v>8195.67</v>
      </c>
      <c r="Z72" s="6">
        <f t="shared" si="19"/>
        <v>2452.0571999999993</v>
      </c>
      <c r="AA72" s="9">
        <f t="shared" si="20"/>
        <v>0.23028925834989455</v>
      </c>
      <c r="AB72" s="9">
        <f>IF(U72&gt;'What-If Analysis'!$F$16, 'What-If Analysis'!$F$16,T72)</f>
        <v>6.8000000000000005E-2</v>
      </c>
      <c r="AC72" s="42">
        <f>S72*(1-AB72)</f>
        <v>1183.0808</v>
      </c>
      <c r="AD72" s="42">
        <f>Q72*(1+'What-If Analysis'!F87)</f>
        <v>910.63</v>
      </c>
      <c r="AE72" s="41">
        <f>W72*(1+'What-If Analysis'!$F$18)</f>
        <v>10.53</v>
      </c>
      <c r="AF72" s="42">
        <f t="shared" si="21"/>
        <v>12457.840823999999</v>
      </c>
      <c r="AG72" s="42">
        <f t="shared" si="22"/>
        <v>9588.9339</v>
      </c>
      <c r="AH72" s="42">
        <f t="shared" si="23"/>
        <v>2868.906923999999</v>
      </c>
      <c r="AI72" s="44">
        <f t="shared" si="24"/>
        <v>0.23028925834989455</v>
      </c>
      <c r="AJ72" s="42">
        <f t="shared" si="25"/>
        <v>1810.1136239999996</v>
      </c>
      <c r="AK72" s="42">
        <f t="shared" si="26"/>
        <v>2452.0571999999993</v>
      </c>
      <c r="AL72" s="9">
        <f t="shared" si="27"/>
        <v>0</v>
      </c>
      <c r="AM72" s="42"/>
    </row>
    <row r="73" spans="1:39" x14ac:dyDescent="0.25">
      <c r="A73" t="s">
        <v>86</v>
      </c>
      <c r="B73" s="20">
        <v>45756</v>
      </c>
      <c r="C73" s="4">
        <v>45783</v>
      </c>
      <c r="D73" s="4" t="s">
        <v>1440</v>
      </c>
      <c r="E73" s="4">
        <v>45783</v>
      </c>
      <c r="F73" s="11">
        <f t="shared" si="14"/>
        <v>27</v>
      </c>
      <c r="G73" s="11" t="str">
        <f t="shared" si="17"/>
        <v>Does not Meet Target</v>
      </c>
      <c r="H73" t="s">
        <v>648</v>
      </c>
      <c r="I73" t="s">
        <v>655</v>
      </c>
      <c r="J73" t="s">
        <v>672</v>
      </c>
      <c r="K73" t="s">
        <v>706</v>
      </c>
      <c r="L73" t="s">
        <v>709</v>
      </c>
      <c r="M73" t="s">
        <v>721</v>
      </c>
      <c r="N73" t="s">
        <v>731</v>
      </c>
      <c r="O73" t="str" cm="1">
        <f t="array" ref="O73">_xlfn.IFS(S73&lt;=_xlfn.PERCENTILE.INC(IF(N73:N703=N73, S73:S703), 0.33), "Low", S73&lt;=_xlfn.PERCENTILE.INC(IF(N73:N703=N73, S73:S703), 0.66), "Medium", S73 &gt; _xlfn.PERCENTILE.INC(IF(N73:N703=N73, S73:S703), 0.66), "High")</f>
        <v>Low</v>
      </c>
      <c r="P73" t="s">
        <v>805</v>
      </c>
      <c r="Q73" s="6">
        <v>264.19</v>
      </c>
      <c r="R73" s="6">
        <v>620.92999999999995</v>
      </c>
      <c r="S73" s="6">
        <v>620.92999999999995</v>
      </c>
      <c r="T73" s="9">
        <v>0.14199999999999999</v>
      </c>
      <c r="U73" s="9">
        <f>IF(T73&gt;0.3, $AO$4, T73)</f>
        <v>0.14199999999999999</v>
      </c>
      <c r="V73" s="7" t="str">
        <f t="shared" si="18"/>
        <v>Less than 20%</v>
      </c>
      <c r="W73" s="11">
        <v>12</v>
      </c>
      <c r="X73" s="6">
        <f t="shared" si="15"/>
        <v>6393.0952799999995</v>
      </c>
      <c r="Y73" s="6">
        <f t="shared" si="16"/>
        <v>3170.2799999999997</v>
      </c>
      <c r="Z73" s="6">
        <f t="shared" si="19"/>
        <v>3222.8152799999998</v>
      </c>
      <c r="AA73" s="9">
        <f t="shared" si="20"/>
        <v>0.50410875152794532</v>
      </c>
      <c r="AB73" s="9">
        <f>IF(U73&gt;'What-If Analysis'!$F$16, 'What-If Analysis'!$F$16,T73)</f>
        <v>0.14199999999999999</v>
      </c>
      <c r="AC73" s="42">
        <f>S73*(1-AB73)</f>
        <v>532.75793999999996</v>
      </c>
      <c r="AD73" s="42">
        <f>Q73*(1+'What-If Analysis'!F88)</f>
        <v>264.19</v>
      </c>
      <c r="AE73" s="41">
        <f>W73*(1+'What-If Analysis'!$F$18)</f>
        <v>14.04</v>
      </c>
      <c r="AF73" s="42">
        <f t="shared" si="21"/>
        <v>7479.921477599999</v>
      </c>
      <c r="AG73" s="42">
        <f t="shared" si="22"/>
        <v>3709.2275999999997</v>
      </c>
      <c r="AH73" s="42">
        <f t="shared" si="23"/>
        <v>3770.6938775999993</v>
      </c>
      <c r="AI73" s="44">
        <f t="shared" si="24"/>
        <v>0.50410875152794532</v>
      </c>
      <c r="AJ73" s="42">
        <f t="shared" si="25"/>
        <v>1086.8261975999994</v>
      </c>
      <c r="AK73" s="42">
        <f t="shared" si="26"/>
        <v>3222.8152799999998</v>
      </c>
      <c r="AL73" s="9">
        <f t="shared" si="27"/>
        <v>0</v>
      </c>
      <c r="AM73" s="42"/>
    </row>
    <row r="74" spans="1:39" x14ac:dyDescent="0.25">
      <c r="A74" t="s">
        <v>87</v>
      </c>
      <c r="B74" s="20">
        <v>45394</v>
      </c>
      <c r="C74" s="4">
        <v>45419</v>
      </c>
      <c r="D74" s="4" t="s">
        <v>1439</v>
      </c>
      <c r="E74" s="4">
        <v>45419</v>
      </c>
      <c r="F74" s="11">
        <f t="shared" si="14"/>
        <v>25</v>
      </c>
      <c r="G74" s="11" t="str">
        <f t="shared" si="17"/>
        <v>Does not Meet Target</v>
      </c>
      <c r="H74" t="s">
        <v>646</v>
      </c>
      <c r="I74" t="s">
        <v>661</v>
      </c>
      <c r="J74" t="s">
        <v>682</v>
      </c>
      <c r="K74" t="s">
        <v>702</v>
      </c>
      <c r="L74" t="s">
        <v>710</v>
      </c>
      <c r="M74" t="s">
        <v>720</v>
      </c>
      <c r="N74" t="s">
        <v>731</v>
      </c>
      <c r="O74" t="str" cm="1">
        <f t="array" ref="O74">_xlfn.IFS(S74&lt;=_xlfn.PERCENTILE.INC(IF(N74:N704=N74, S74:S704), 0.33), "Low", S74&lt;=_xlfn.PERCENTILE.INC(IF(N74:N704=N74, S74:S704), 0.66), "Medium", S74 &gt; _xlfn.PERCENTILE.INC(IF(N74:N704=N74, S74:S704), 0.66), "High")</f>
        <v>Medium</v>
      </c>
      <c r="P74" t="s">
        <v>806</v>
      </c>
      <c r="Q74" s="6">
        <v>1376.51</v>
      </c>
      <c r="R74" s="6">
        <v>1455.91</v>
      </c>
      <c r="S74" s="6">
        <v>1455.91</v>
      </c>
      <c r="T74" s="9">
        <v>0.185</v>
      </c>
      <c r="U74" s="9">
        <f>IF(T74&gt;0.3, $AO$4, T74)</f>
        <v>0.185</v>
      </c>
      <c r="V74" s="7" t="str">
        <f t="shared" si="18"/>
        <v>Less than 20%</v>
      </c>
      <c r="W74" s="11">
        <v>17</v>
      </c>
      <c r="X74" s="6">
        <f t="shared" si="15"/>
        <v>20171.63305</v>
      </c>
      <c r="Y74" s="6">
        <f t="shared" si="16"/>
        <v>23400.67</v>
      </c>
      <c r="Z74" s="6">
        <f t="shared" si="19"/>
        <v>-3229.0369499999979</v>
      </c>
      <c r="AA74" s="9">
        <f t="shared" si="20"/>
        <v>-0.1600781127634085</v>
      </c>
      <c r="AB74" s="9">
        <f>IF(U74&gt;'What-If Analysis'!$F$16, 'What-If Analysis'!$F$16,T74)</f>
        <v>0.17</v>
      </c>
      <c r="AC74" s="42">
        <f>S74*(1-AB74)</f>
        <v>1208.4052999999999</v>
      </c>
      <c r="AD74" s="42">
        <f>Q74*(1+'What-If Analysis'!F89)</f>
        <v>1376.51</v>
      </c>
      <c r="AE74" s="41">
        <f>W74*(1+'What-If Analysis'!$F$18)</f>
        <v>19.89</v>
      </c>
      <c r="AF74" s="42">
        <f t="shared" si="21"/>
        <v>24035.181417</v>
      </c>
      <c r="AG74" s="42">
        <f t="shared" si="22"/>
        <v>27378.783900000002</v>
      </c>
      <c r="AH74" s="42">
        <f t="shared" si="23"/>
        <v>-3343.6024830000024</v>
      </c>
      <c r="AI74" s="44">
        <f t="shared" si="24"/>
        <v>-0.13911284566527482</v>
      </c>
      <c r="AJ74" s="42">
        <f t="shared" si="25"/>
        <v>3863.5483669999994</v>
      </c>
      <c r="AK74" s="42">
        <f t="shared" si="26"/>
        <v>-3229.0369499999979</v>
      </c>
      <c r="AL74" s="9">
        <f t="shared" si="27"/>
        <v>2.0965267098133678E-2</v>
      </c>
      <c r="AM74" s="42"/>
    </row>
    <row r="75" spans="1:39" x14ac:dyDescent="0.25">
      <c r="A75" t="s">
        <v>88</v>
      </c>
      <c r="B75" s="20">
        <v>45641</v>
      </c>
      <c r="C75" s="4">
        <v>45646</v>
      </c>
      <c r="D75" s="4" t="s">
        <v>1435</v>
      </c>
      <c r="E75" s="4">
        <v>45646</v>
      </c>
      <c r="F75" s="11">
        <f t="shared" si="14"/>
        <v>5</v>
      </c>
      <c r="G75" s="11" t="str">
        <f t="shared" si="17"/>
        <v>Meets Target</v>
      </c>
      <c r="H75" t="s">
        <v>647</v>
      </c>
      <c r="I75" t="s">
        <v>659</v>
      </c>
      <c r="J75" t="s">
        <v>676</v>
      </c>
      <c r="K75" t="s">
        <v>705</v>
      </c>
      <c r="L75" t="s">
        <v>711</v>
      </c>
      <c r="M75" t="s">
        <v>713</v>
      </c>
      <c r="N75" t="s">
        <v>729</v>
      </c>
      <c r="O75" t="str" cm="1">
        <f t="array" ref="O75">_xlfn.IFS(S75&lt;=_xlfn.PERCENTILE.INC(IF(N75:N705=N75, S75:S705), 0.33), "Low", S75&lt;=_xlfn.PERCENTILE.INC(IF(N75:N705=N75, S75:S705), 0.66), "Medium", S75 &gt; _xlfn.PERCENTILE.INC(IF(N75:N705=N75, S75:S705), 0.66), "High")</f>
        <v>Low</v>
      </c>
      <c r="P75" t="s">
        <v>807</v>
      </c>
      <c r="Q75" s="6">
        <v>717.55</v>
      </c>
      <c r="R75" s="6">
        <v>546.42999999999995</v>
      </c>
      <c r="S75" s="6">
        <v>546.42999999999995</v>
      </c>
      <c r="T75" s="9">
        <v>4.7E-2</v>
      </c>
      <c r="U75" s="9">
        <f>IF(T75&gt;0.3, $AO$4, T75)</f>
        <v>4.7E-2</v>
      </c>
      <c r="V75" s="7" t="str">
        <f t="shared" si="18"/>
        <v>Less than 20%</v>
      </c>
      <c r="W75" s="11">
        <v>18</v>
      </c>
      <c r="X75" s="6">
        <f t="shared" si="15"/>
        <v>9373.460219999999</v>
      </c>
      <c r="Y75" s="6">
        <f t="shared" si="16"/>
        <v>12915.9</v>
      </c>
      <c r="Z75" s="6">
        <f t="shared" si="19"/>
        <v>-3542.4397800000006</v>
      </c>
      <c r="AA75" s="9">
        <f t="shared" si="20"/>
        <v>-0.37792231437026369</v>
      </c>
      <c r="AB75" s="9">
        <f>IF(U75&gt;'What-If Analysis'!$F$16, 'What-If Analysis'!$F$16,T75)</f>
        <v>4.7E-2</v>
      </c>
      <c r="AC75" s="42">
        <f>S75*(1-AB75)</f>
        <v>520.7477899999999</v>
      </c>
      <c r="AD75" s="42">
        <f>Q75*(1+'What-If Analysis'!F90)</f>
        <v>717.55</v>
      </c>
      <c r="AE75" s="41">
        <f>W75*(1+'What-If Analysis'!$F$18)</f>
        <v>21.06</v>
      </c>
      <c r="AF75" s="42">
        <f t="shared" si="21"/>
        <v>10966.948457399998</v>
      </c>
      <c r="AG75" s="42">
        <f t="shared" si="22"/>
        <v>15111.602999999997</v>
      </c>
      <c r="AH75" s="42">
        <f t="shared" si="23"/>
        <v>-4144.6545425999993</v>
      </c>
      <c r="AI75" s="44">
        <f t="shared" si="24"/>
        <v>-0.37792231437026358</v>
      </c>
      <c r="AJ75" s="42">
        <f t="shared" si="25"/>
        <v>1593.488237399999</v>
      </c>
      <c r="AK75" s="42">
        <f t="shared" si="26"/>
        <v>-3542.4397800000006</v>
      </c>
      <c r="AL75" s="9">
        <f t="shared" si="27"/>
        <v>0</v>
      </c>
      <c r="AM75" s="42"/>
    </row>
    <row r="76" spans="1:39" x14ac:dyDescent="0.25">
      <c r="A76" t="s">
        <v>89</v>
      </c>
      <c r="B76" s="20">
        <v>45066</v>
      </c>
      <c r="C76" s="4">
        <v>45064</v>
      </c>
      <c r="D76" s="4" t="s">
        <v>1442</v>
      </c>
      <c r="E76" s="4">
        <v>45084</v>
      </c>
      <c r="F76" s="11">
        <f t="shared" si="14"/>
        <v>18</v>
      </c>
      <c r="G76" s="11" t="str">
        <f t="shared" si="17"/>
        <v>Does not Meet Target</v>
      </c>
      <c r="H76" t="s">
        <v>646</v>
      </c>
      <c r="I76" t="s">
        <v>661</v>
      </c>
      <c r="J76" t="s">
        <v>687</v>
      </c>
      <c r="K76" t="s">
        <v>701</v>
      </c>
      <c r="L76" t="s">
        <v>710</v>
      </c>
      <c r="M76" t="s">
        <v>720</v>
      </c>
      <c r="N76" t="s">
        <v>727</v>
      </c>
      <c r="O76" t="str" cm="1">
        <f t="array" ref="O76">_xlfn.IFS(S76&lt;=_xlfn.PERCENTILE.INC(IF(N76:N706=N76, S76:S706), 0.33), "Low", S76&lt;=_xlfn.PERCENTILE.INC(IF(N76:N706=N76, S76:S706), 0.66), "Medium", S76 &gt; _xlfn.PERCENTILE.INC(IF(N76:N706=N76, S76:S706), 0.66), "High")</f>
        <v>Medium</v>
      </c>
      <c r="P76" t="s">
        <v>808</v>
      </c>
      <c r="Q76" s="6">
        <v>917.88</v>
      </c>
      <c r="R76" s="6">
        <v>1347.92</v>
      </c>
      <c r="S76" s="6">
        <v>1347.92</v>
      </c>
      <c r="T76" s="9">
        <v>0.34300000000000003</v>
      </c>
      <c r="U76" s="9">
        <f>IF(T76&gt;0.3, $AO$4, T76)</f>
        <v>0.12</v>
      </c>
      <c r="V76" s="7" t="str">
        <f t="shared" si="18"/>
        <v>Less than 20%</v>
      </c>
      <c r="W76" s="11">
        <v>5</v>
      </c>
      <c r="X76" s="6">
        <f t="shared" si="15"/>
        <v>5930.848</v>
      </c>
      <c r="Y76" s="6">
        <f t="shared" si="16"/>
        <v>4589.3999999999996</v>
      </c>
      <c r="Z76" s="6">
        <f t="shared" si="19"/>
        <v>1341.4480000000003</v>
      </c>
      <c r="AA76" s="9">
        <f t="shared" si="20"/>
        <v>0.22618148365967233</v>
      </c>
      <c r="AB76" s="9">
        <f>IF(U76&gt;'What-If Analysis'!$F$16, 'What-If Analysis'!$F$16,T76)</f>
        <v>0.34300000000000003</v>
      </c>
      <c r="AC76" s="42">
        <f>S76*(1-AB76)</f>
        <v>885.58344000000011</v>
      </c>
      <c r="AD76" s="42">
        <f>Q76*(1+'What-If Analysis'!F91)</f>
        <v>917.88</v>
      </c>
      <c r="AE76" s="41">
        <f>W76*(1+'What-If Analysis'!$F$18)</f>
        <v>5.85</v>
      </c>
      <c r="AF76" s="42">
        <f t="shared" si="21"/>
        <v>5180.6631240000006</v>
      </c>
      <c r="AG76" s="42">
        <f t="shared" si="22"/>
        <v>5369.598</v>
      </c>
      <c r="AH76" s="42">
        <f t="shared" si="23"/>
        <v>-188.93487599999935</v>
      </c>
      <c r="AI76" s="44">
        <f t="shared" si="24"/>
        <v>-3.6469245630880227E-2</v>
      </c>
      <c r="AJ76" s="42">
        <f t="shared" si="25"/>
        <v>-750.18487599999935</v>
      </c>
      <c r="AK76" s="42">
        <f t="shared" si="26"/>
        <v>1341.4480000000003</v>
      </c>
      <c r="AL76" s="9">
        <f t="shared" si="27"/>
        <v>-0.26265072929055255</v>
      </c>
      <c r="AM76" s="42"/>
    </row>
    <row r="77" spans="1:39" x14ac:dyDescent="0.25">
      <c r="A77" t="s">
        <v>90</v>
      </c>
      <c r="B77" s="20">
        <v>45187</v>
      </c>
      <c r="C77" s="4">
        <v>45207</v>
      </c>
      <c r="D77" s="4" t="s">
        <v>1444</v>
      </c>
      <c r="E77" s="4">
        <v>45207</v>
      </c>
      <c r="F77" s="11">
        <f t="shared" si="14"/>
        <v>20</v>
      </c>
      <c r="G77" s="11" t="str">
        <f t="shared" si="17"/>
        <v>Does not Meet Target</v>
      </c>
      <c r="H77" t="s">
        <v>647</v>
      </c>
      <c r="I77" t="s">
        <v>654</v>
      </c>
      <c r="J77" t="s">
        <v>680</v>
      </c>
      <c r="K77" t="s">
        <v>705</v>
      </c>
      <c r="L77" t="s">
        <v>711</v>
      </c>
      <c r="M77" t="s">
        <v>717</v>
      </c>
      <c r="N77" t="s">
        <v>727</v>
      </c>
      <c r="O77" t="str" cm="1">
        <f t="array" ref="O77">_xlfn.IFS(S77&lt;=_xlfn.PERCENTILE.INC(IF(N77:N707=N77, S77:S707), 0.33), "Low", S77&lt;=_xlfn.PERCENTILE.INC(IF(N77:N707=N77, S77:S707), 0.66), "Medium", S77 &gt; _xlfn.PERCENTILE.INC(IF(N77:N707=N77, S77:S707), 0.66), "High")</f>
        <v>Medium</v>
      </c>
      <c r="P77" t="s">
        <v>809</v>
      </c>
      <c r="Q77" s="6">
        <v>825.64</v>
      </c>
      <c r="R77" s="6">
        <v>1108.43</v>
      </c>
      <c r="S77" s="6">
        <v>1108.43</v>
      </c>
      <c r="T77" s="9">
        <v>0.114</v>
      </c>
      <c r="U77" s="9">
        <f>IF(T77&gt;0.3, $AO$4, T77)</f>
        <v>0.114</v>
      </c>
      <c r="V77" s="7" t="str">
        <f t="shared" si="18"/>
        <v>Less than 20%</v>
      </c>
      <c r="W77" s="11">
        <v>7</v>
      </c>
      <c r="X77" s="6">
        <f t="shared" si="15"/>
        <v>6874.4828600000001</v>
      </c>
      <c r="Y77" s="6">
        <f t="shared" si="16"/>
        <v>5779.48</v>
      </c>
      <c r="Z77" s="6">
        <f t="shared" si="19"/>
        <v>1095.0028600000005</v>
      </c>
      <c r="AA77" s="9">
        <f t="shared" si="20"/>
        <v>0.15928512475773349</v>
      </c>
      <c r="AB77" s="9">
        <f>IF(U77&gt;'What-If Analysis'!$F$16, 'What-If Analysis'!$F$16,T77)</f>
        <v>0.114</v>
      </c>
      <c r="AC77" s="42">
        <f>S77*(1-AB77)</f>
        <v>982.06898000000001</v>
      </c>
      <c r="AD77" s="42">
        <f>Q77*(1+'What-If Analysis'!F92)</f>
        <v>825.64</v>
      </c>
      <c r="AE77" s="41">
        <f>W77*(1+'What-If Analysis'!$F$18)</f>
        <v>8.19</v>
      </c>
      <c r="AF77" s="42">
        <f t="shared" si="21"/>
        <v>8043.1449462</v>
      </c>
      <c r="AG77" s="42">
        <f t="shared" si="22"/>
        <v>6761.9915999999994</v>
      </c>
      <c r="AH77" s="42">
        <f t="shared" si="23"/>
        <v>1281.1533462000007</v>
      </c>
      <c r="AI77" s="44">
        <f t="shared" si="24"/>
        <v>0.15928512475773349</v>
      </c>
      <c r="AJ77" s="42">
        <f t="shared" si="25"/>
        <v>1168.6620862</v>
      </c>
      <c r="AK77" s="42">
        <f t="shared" si="26"/>
        <v>1095.0028600000005</v>
      </c>
      <c r="AL77" s="9">
        <f t="shared" si="27"/>
        <v>0</v>
      </c>
      <c r="AM77" s="42"/>
    </row>
    <row r="78" spans="1:39" x14ac:dyDescent="0.25">
      <c r="A78" t="s">
        <v>91</v>
      </c>
      <c r="B78" s="20">
        <v>45532</v>
      </c>
      <c r="C78" s="4">
        <v>45560</v>
      </c>
      <c r="D78" s="4" t="s">
        <v>1443</v>
      </c>
      <c r="E78" s="4">
        <v>45560</v>
      </c>
      <c r="F78" s="11">
        <f t="shared" si="14"/>
        <v>28</v>
      </c>
      <c r="G78" s="11" t="str">
        <f t="shared" si="17"/>
        <v>Does not Meet Target</v>
      </c>
      <c r="H78" t="s">
        <v>648</v>
      </c>
      <c r="I78" t="s">
        <v>655</v>
      </c>
      <c r="J78" t="s">
        <v>692</v>
      </c>
      <c r="K78" t="s">
        <v>703</v>
      </c>
      <c r="L78" t="s">
        <v>708</v>
      </c>
      <c r="M78" t="s">
        <v>1422</v>
      </c>
      <c r="N78" t="s">
        <v>733</v>
      </c>
      <c r="O78" t="str" cm="1">
        <f t="array" ref="O78">_xlfn.IFS(S78&lt;=_xlfn.PERCENTILE.INC(IF(N78:N708=N78, S78:S708), 0.33), "Low", S78&lt;=_xlfn.PERCENTILE.INC(IF(N78:N708=N78, S78:S708), 0.66), "Medium", S78 &gt; _xlfn.PERCENTILE.INC(IF(N78:N708=N78, S78:S708), 0.66), "High")</f>
        <v>High</v>
      </c>
      <c r="P78" t="s">
        <v>810</v>
      </c>
      <c r="Q78" s="6">
        <v>1394.65</v>
      </c>
      <c r="R78" s="6">
        <v>3144.1</v>
      </c>
      <c r="S78" s="6">
        <v>3144.1</v>
      </c>
      <c r="T78" s="9">
        <v>0.13400000000000001</v>
      </c>
      <c r="U78" s="9">
        <f>IF(T78&gt;0.3, $AO$4, T78)</f>
        <v>0.13400000000000001</v>
      </c>
      <c r="V78" s="7" t="str">
        <f t="shared" si="18"/>
        <v>Less than 20%</v>
      </c>
      <c r="W78" s="11">
        <v>13</v>
      </c>
      <c r="X78" s="6">
        <f t="shared" si="15"/>
        <v>35396.277799999996</v>
      </c>
      <c r="Y78" s="6">
        <f t="shared" si="16"/>
        <v>18130.45</v>
      </c>
      <c r="Z78" s="6">
        <f t="shared" si="19"/>
        <v>17265.827799999995</v>
      </c>
      <c r="AA78" s="9">
        <f t="shared" si="20"/>
        <v>0.4877865378263021</v>
      </c>
      <c r="AB78" s="9">
        <f>IF(U78&gt;'What-If Analysis'!$F$16, 'What-If Analysis'!$F$16,T78)</f>
        <v>0.13400000000000001</v>
      </c>
      <c r="AC78" s="42">
        <f>S78*(1-AB78)</f>
        <v>2722.7905999999998</v>
      </c>
      <c r="AD78" s="42">
        <f>Q78*(1+'What-If Analysis'!F93)</f>
        <v>1394.65</v>
      </c>
      <c r="AE78" s="41">
        <f>W78*(1+'What-If Analysis'!$F$18)</f>
        <v>15.209999999999999</v>
      </c>
      <c r="AF78" s="42">
        <f t="shared" si="21"/>
        <v>41413.645025999991</v>
      </c>
      <c r="AG78" s="42">
        <f t="shared" si="22"/>
        <v>21212.626499999998</v>
      </c>
      <c r="AH78" s="42">
        <f t="shared" si="23"/>
        <v>20201.018525999993</v>
      </c>
      <c r="AI78" s="44">
        <f t="shared" si="24"/>
        <v>0.4877865378263021</v>
      </c>
      <c r="AJ78" s="42">
        <f t="shared" si="25"/>
        <v>6017.3672259999948</v>
      </c>
      <c r="AK78" s="42">
        <f t="shared" si="26"/>
        <v>17265.827799999995</v>
      </c>
      <c r="AL78" s="9">
        <f t="shared" si="27"/>
        <v>0</v>
      </c>
      <c r="AM78" s="42"/>
    </row>
    <row r="79" spans="1:39" x14ac:dyDescent="0.25">
      <c r="A79" t="s">
        <v>92</v>
      </c>
      <c r="B79" s="20">
        <v>45473</v>
      </c>
      <c r="C79" s="4">
        <v>45471</v>
      </c>
      <c r="D79" s="4" t="s">
        <v>1439</v>
      </c>
      <c r="E79" s="4">
        <v>45491</v>
      </c>
      <c r="F79" s="11">
        <f t="shared" si="14"/>
        <v>18</v>
      </c>
      <c r="G79" s="11" t="str">
        <f t="shared" si="17"/>
        <v>Does not Meet Target</v>
      </c>
      <c r="H79" t="s">
        <v>648</v>
      </c>
      <c r="I79" t="s">
        <v>655</v>
      </c>
      <c r="J79" t="s">
        <v>692</v>
      </c>
      <c r="K79" t="s">
        <v>705</v>
      </c>
      <c r="L79" t="s">
        <v>711</v>
      </c>
      <c r="M79" t="s">
        <v>716</v>
      </c>
      <c r="N79" t="s">
        <v>733</v>
      </c>
      <c r="O79" t="str" cm="1">
        <f t="array" ref="O79">_xlfn.IFS(S79&lt;=_xlfn.PERCENTILE.INC(IF(N79:N709=N79, S79:S709), 0.33), "Low", S79&lt;=_xlfn.PERCENTILE.INC(IF(N79:N709=N79, S79:S709), 0.66), "Medium", S79 &gt; _xlfn.PERCENTILE.INC(IF(N79:N709=N79, S79:S709), 0.66), "High")</f>
        <v>High</v>
      </c>
      <c r="P79" t="s">
        <v>811</v>
      </c>
      <c r="Q79" s="6">
        <v>1112.98</v>
      </c>
      <c r="R79" s="6">
        <v>2095.73</v>
      </c>
      <c r="S79" s="6">
        <v>2095.73</v>
      </c>
      <c r="T79" s="9">
        <v>7.1999999999999995E-2</v>
      </c>
      <c r="U79" s="9">
        <f>IF(T79&gt;0.3, $AO$4, T79)</f>
        <v>7.1999999999999995E-2</v>
      </c>
      <c r="V79" s="7" t="str">
        <f t="shared" si="18"/>
        <v>Less than 20%</v>
      </c>
      <c r="W79" s="11">
        <v>17</v>
      </c>
      <c r="X79" s="6">
        <f t="shared" si="15"/>
        <v>33062.236480000007</v>
      </c>
      <c r="Y79" s="6">
        <f t="shared" si="16"/>
        <v>18920.66</v>
      </c>
      <c r="Z79" s="6">
        <f t="shared" si="19"/>
        <v>14141.576480000007</v>
      </c>
      <c r="AA79" s="9">
        <f t="shared" si="20"/>
        <v>0.42772594916724777</v>
      </c>
      <c r="AB79" s="9">
        <f>IF(U79&gt;'What-If Analysis'!$F$16, 'What-If Analysis'!$F$16,T79)</f>
        <v>7.1999999999999995E-2</v>
      </c>
      <c r="AC79" s="42">
        <f>S79*(1-AB79)</f>
        <v>1944.83744</v>
      </c>
      <c r="AD79" s="42">
        <f>Q79*(1+'What-If Analysis'!F94)</f>
        <v>1112.98</v>
      </c>
      <c r="AE79" s="41">
        <f>W79*(1+'What-If Analysis'!$F$18)</f>
        <v>19.89</v>
      </c>
      <c r="AF79" s="42">
        <f t="shared" si="21"/>
        <v>38682.816681600001</v>
      </c>
      <c r="AG79" s="42">
        <f t="shared" si="22"/>
        <v>22137.172200000001</v>
      </c>
      <c r="AH79" s="42">
        <f t="shared" si="23"/>
        <v>16545.6444816</v>
      </c>
      <c r="AI79" s="44">
        <f t="shared" si="24"/>
        <v>0.4277259491672476</v>
      </c>
      <c r="AJ79" s="42">
        <f t="shared" si="25"/>
        <v>5620.5802015999943</v>
      </c>
      <c r="AK79" s="42">
        <f t="shared" si="26"/>
        <v>14141.576480000007</v>
      </c>
      <c r="AL79" s="9">
        <f t="shared" si="27"/>
        <v>0</v>
      </c>
      <c r="AM79" s="42"/>
    </row>
    <row r="80" spans="1:39" x14ac:dyDescent="0.25">
      <c r="A80" t="s">
        <v>93</v>
      </c>
      <c r="B80" s="20">
        <v>45091</v>
      </c>
      <c r="C80" s="4">
        <v>45093</v>
      </c>
      <c r="D80" s="4" t="s">
        <v>1442</v>
      </c>
      <c r="E80" s="4">
        <v>45093</v>
      </c>
      <c r="F80" s="11">
        <f t="shared" si="14"/>
        <v>2</v>
      </c>
      <c r="G80" s="11" t="str">
        <f t="shared" si="17"/>
        <v>Meets Target</v>
      </c>
      <c r="H80" t="s">
        <v>649</v>
      </c>
      <c r="I80" t="s">
        <v>658</v>
      </c>
      <c r="J80" t="s">
        <v>693</v>
      </c>
      <c r="K80" t="s">
        <v>703</v>
      </c>
      <c r="L80" t="s">
        <v>711</v>
      </c>
      <c r="M80" t="s">
        <v>723</v>
      </c>
      <c r="N80" t="s">
        <v>727</v>
      </c>
      <c r="O80" t="str" cm="1">
        <f t="array" ref="O80">_xlfn.IFS(S80&lt;=_xlfn.PERCENTILE.INC(IF(N80:N710=N80, S80:S710), 0.33), "Low", S80&lt;=_xlfn.PERCENTILE.INC(IF(N80:N710=N80, S80:S710), 0.66), "Medium", S80 &gt; _xlfn.PERCENTILE.INC(IF(N80:N710=N80, S80:S710), 0.66), "High")</f>
        <v>Medium</v>
      </c>
      <c r="P80" t="s">
        <v>812</v>
      </c>
      <c r="Q80" s="6">
        <v>357.36</v>
      </c>
      <c r="R80" s="6">
        <v>703.62</v>
      </c>
      <c r="S80" s="6">
        <v>703.62</v>
      </c>
      <c r="T80" s="9">
        <v>0.25700000000000001</v>
      </c>
      <c r="U80" s="9">
        <f>IF(T80&gt;0.3, $AO$4, T80)</f>
        <v>0.25700000000000001</v>
      </c>
      <c r="V80" s="7" t="str">
        <f t="shared" si="18"/>
        <v>Greater than 20%</v>
      </c>
      <c r="W80" s="11">
        <v>20</v>
      </c>
      <c r="X80" s="6">
        <f t="shared" si="15"/>
        <v>10455.7932</v>
      </c>
      <c r="Y80" s="6">
        <f t="shared" si="16"/>
        <v>7147.2000000000007</v>
      </c>
      <c r="Z80" s="6">
        <f t="shared" si="19"/>
        <v>3308.5931999999993</v>
      </c>
      <c r="AA80" s="9">
        <f t="shared" si="20"/>
        <v>0.31643636563125593</v>
      </c>
      <c r="AB80" s="9">
        <f>IF(U80&gt;'What-If Analysis'!$F$16, 'What-If Analysis'!$F$16,T80)</f>
        <v>0.17</v>
      </c>
      <c r="AC80" s="42">
        <f>S80*(1-AB80)</f>
        <v>584.00459999999998</v>
      </c>
      <c r="AD80" s="42">
        <f>Q80*(1+'What-If Analysis'!F95)</f>
        <v>357.36</v>
      </c>
      <c r="AE80" s="41">
        <f>W80*(1+'What-If Analysis'!$F$18)</f>
        <v>23.4</v>
      </c>
      <c r="AF80" s="42">
        <f t="shared" si="21"/>
        <v>13665.707639999999</v>
      </c>
      <c r="AG80" s="42">
        <f t="shared" si="22"/>
        <v>8362.2240000000002</v>
      </c>
      <c r="AH80" s="42">
        <f t="shared" si="23"/>
        <v>5303.4836399999986</v>
      </c>
      <c r="AI80" s="44">
        <f t="shared" si="24"/>
        <v>0.38808701164340137</v>
      </c>
      <c r="AJ80" s="42">
        <f t="shared" si="25"/>
        <v>3209.9144399999986</v>
      </c>
      <c r="AK80" s="42">
        <f t="shared" si="26"/>
        <v>3308.5931999999993</v>
      </c>
      <c r="AL80" s="9">
        <f t="shared" si="27"/>
        <v>7.1650646012145436E-2</v>
      </c>
      <c r="AM80" s="42"/>
    </row>
    <row r="81" spans="1:39" x14ac:dyDescent="0.25">
      <c r="A81" t="s">
        <v>94</v>
      </c>
      <c r="B81" s="20">
        <v>45617</v>
      </c>
      <c r="C81" s="4">
        <v>45647</v>
      </c>
      <c r="D81" s="4" t="s">
        <v>1435</v>
      </c>
      <c r="E81" s="4">
        <v>45647</v>
      </c>
      <c r="F81" s="11">
        <f t="shared" si="14"/>
        <v>30</v>
      </c>
      <c r="G81" s="11" t="str">
        <f t="shared" si="17"/>
        <v>Does not Meet Target</v>
      </c>
      <c r="H81" t="s">
        <v>649</v>
      </c>
      <c r="I81" t="s">
        <v>657</v>
      </c>
      <c r="J81" t="s">
        <v>673</v>
      </c>
      <c r="K81" t="s">
        <v>705</v>
      </c>
      <c r="L81" t="s">
        <v>711</v>
      </c>
      <c r="M81" t="s">
        <v>714</v>
      </c>
      <c r="N81" t="s">
        <v>732</v>
      </c>
      <c r="O81" t="str" cm="1">
        <f t="array" ref="O81">_xlfn.IFS(S81&lt;=_xlfn.PERCENTILE.INC(IF(N81:N711=N81, S81:S711), 0.33), "Low", S81&lt;=_xlfn.PERCENTILE.INC(IF(N81:N711=N81, S81:S711), 0.66), "Medium", S81 &gt; _xlfn.PERCENTILE.INC(IF(N81:N711=N81, S81:S711), 0.66), "High")</f>
        <v>High</v>
      </c>
      <c r="P81" t="s">
        <v>813</v>
      </c>
      <c r="Q81" s="6">
        <v>1122.68</v>
      </c>
      <c r="R81" s="6">
        <v>1997.19</v>
      </c>
      <c r="S81" s="6">
        <v>1997.19</v>
      </c>
      <c r="T81" s="9">
        <v>0.186</v>
      </c>
      <c r="U81" s="9">
        <f>IF(T81&gt;0.3, $AO$4, T81)</f>
        <v>0.186</v>
      </c>
      <c r="V81" s="7" t="str">
        <f t="shared" si="18"/>
        <v>Less than 20%</v>
      </c>
      <c r="W81" s="11">
        <v>3</v>
      </c>
      <c r="X81" s="6">
        <f t="shared" si="15"/>
        <v>4877.1379800000004</v>
      </c>
      <c r="Y81" s="6">
        <f t="shared" si="16"/>
        <v>3368.04</v>
      </c>
      <c r="Z81" s="6">
        <f t="shared" si="19"/>
        <v>1509.0979800000005</v>
      </c>
      <c r="AA81" s="9">
        <f t="shared" si="20"/>
        <v>0.30942285951073306</v>
      </c>
      <c r="AB81" s="9">
        <f>IF(U81&gt;'What-If Analysis'!$F$16, 'What-If Analysis'!$F$16,T81)</f>
        <v>0.17</v>
      </c>
      <c r="AC81" s="42">
        <f>S81*(1-AB81)</f>
        <v>1657.6677</v>
      </c>
      <c r="AD81" s="42">
        <f>Q81*(1+'What-If Analysis'!F96)</f>
        <v>1122.68</v>
      </c>
      <c r="AE81" s="41">
        <f>W81*(1+'What-If Analysis'!$F$18)</f>
        <v>3.51</v>
      </c>
      <c r="AF81" s="42">
        <f t="shared" si="21"/>
        <v>5818.4136269999999</v>
      </c>
      <c r="AG81" s="42">
        <f t="shared" si="22"/>
        <v>3940.6068</v>
      </c>
      <c r="AH81" s="42">
        <f t="shared" si="23"/>
        <v>1877.8068269999999</v>
      </c>
      <c r="AI81" s="44">
        <f t="shared" si="24"/>
        <v>0.32273518992980316</v>
      </c>
      <c r="AJ81" s="42">
        <f t="shared" si="25"/>
        <v>941.27564699999948</v>
      </c>
      <c r="AK81" s="42">
        <f t="shared" si="26"/>
        <v>1509.0979800000005</v>
      </c>
      <c r="AL81" s="9">
        <f t="shared" si="27"/>
        <v>1.3312330419070095E-2</v>
      </c>
      <c r="AM81" s="42"/>
    </row>
    <row r="82" spans="1:39" x14ac:dyDescent="0.25">
      <c r="A82" t="s">
        <v>95</v>
      </c>
      <c r="B82" s="20">
        <v>44965</v>
      </c>
      <c r="C82" s="4">
        <v>44968</v>
      </c>
      <c r="D82" s="4" t="s">
        <v>1436</v>
      </c>
      <c r="E82" s="4">
        <v>44968</v>
      </c>
      <c r="F82" s="11">
        <f t="shared" si="14"/>
        <v>3</v>
      </c>
      <c r="G82" s="11" t="str">
        <f t="shared" si="17"/>
        <v>Meets Target</v>
      </c>
      <c r="H82" t="s">
        <v>646</v>
      </c>
      <c r="I82" t="s">
        <v>661</v>
      </c>
      <c r="J82" t="s">
        <v>695</v>
      </c>
      <c r="K82" t="s">
        <v>701</v>
      </c>
      <c r="L82" t="s">
        <v>711</v>
      </c>
      <c r="M82" t="s">
        <v>724</v>
      </c>
      <c r="N82" t="s">
        <v>729</v>
      </c>
      <c r="O82" t="str" cm="1">
        <f t="array" ref="O82">_xlfn.IFS(S82&lt;=_xlfn.PERCENTILE.INC(IF(N82:N712=N82, S82:S712), 0.33), "Low", S82&lt;=_xlfn.PERCENTILE.INC(IF(N82:N712=N82, S82:S712), 0.66), "Medium", S82 &gt; _xlfn.PERCENTILE.INC(IF(N82:N712=N82, S82:S712), 0.66), "High")</f>
        <v>High</v>
      </c>
      <c r="P82" t="s">
        <v>814</v>
      </c>
      <c r="Q82" s="6">
        <v>1410.05</v>
      </c>
      <c r="R82" s="6">
        <v>2763.95</v>
      </c>
      <c r="S82" s="6">
        <v>2763.95</v>
      </c>
      <c r="T82" s="9">
        <v>0.161</v>
      </c>
      <c r="U82" s="9">
        <f>IF(T82&gt;0.3, $AO$4, T82)</f>
        <v>0.161</v>
      </c>
      <c r="V82" s="7" t="str">
        <f t="shared" si="18"/>
        <v>Less than 20%</v>
      </c>
      <c r="W82" s="11">
        <v>26</v>
      </c>
      <c r="X82" s="6">
        <f t="shared" si="15"/>
        <v>60292.805299999993</v>
      </c>
      <c r="Y82" s="6">
        <f t="shared" si="16"/>
        <v>36661.299999999996</v>
      </c>
      <c r="Z82" s="6">
        <f t="shared" si="19"/>
        <v>23631.505299999997</v>
      </c>
      <c r="AA82" s="9">
        <f t="shared" si="20"/>
        <v>0.39194569206750779</v>
      </c>
      <c r="AB82" s="9">
        <f>IF(U82&gt;'What-If Analysis'!$F$16, 'What-If Analysis'!$F$16,T82)</f>
        <v>0.161</v>
      </c>
      <c r="AC82" s="42">
        <f>S82*(1-AB82)</f>
        <v>2318.9540499999998</v>
      </c>
      <c r="AD82" s="42">
        <f>Q82*(1+'What-If Analysis'!F97)</f>
        <v>1410.05</v>
      </c>
      <c r="AE82" s="41">
        <f>W82*(1+'What-If Analysis'!$F$18)</f>
        <v>30.419999999999998</v>
      </c>
      <c r="AF82" s="42">
        <f t="shared" si="21"/>
        <v>70542.582200999997</v>
      </c>
      <c r="AG82" s="42">
        <f t="shared" si="22"/>
        <v>42893.720999999998</v>
      </c>
      <c r="AH82" s="42">
        <f t="shared" si="23"/>
        <v>27648.861201</v>
      </c>
      <c r="AI82" s="44">
        <f t="shared" si="24"/>
        <v>0.39194569206750779</v>
      </c>
      <c r="AJ82" s="42">
        <f t="shared" si="25"/>
        <v>10249.776901000005</v>
      </c>
      <c r="AK82" s="42">
        <f t="shared" si="26"/>
        <v>23631.505299999997</v>
      </c>
      <c r="AL82" s="9">
        <f t="shared" si="27"/>
        <v>0</v>
      </c>
      <c r="AM82" s="42"/>
    </row>
    <row r="83" spans="1:39" x14ac:dyDescent="0.25">
      <c r="A83" t="s">
        <v>96</v>
      </c>
      <c r="B83" s="20">
        <v>45157</v>
      </c>
      <c r="C83" s="4">
        <v>45181</v>
      </c>
      <c r="D83" s="4" t="s">
        <v>1444</v>
      </c>
      <c r="E83" s="4">
        <v>45181</v>
      </c>
      <c r="F83" s="11">
        <f t="shared" si="14"/>
        <v>24</v>
      </c>
      <c r="G83" s="11" t="str">
        <f t="shared" si="17"/>
        <v>Does not Meet Target</v>
      </c>
      <c r="H83" t="s">
        <v>648</v>
      </c>
      <c r="I83" t="s">
        <v>653</v>
      </c>
      <c r="J83" t="s">
        <v>688</v>
      </c>
      <c r="K83" t="s">
        <v>706</v>
      </c>
      <c r="L83" t="s">
        <v>707</v>
      </c>
      <c r="M83" t="s">
        <v>714</v>
      </c>
      <c r="N83" t="s">
        <v>728</v>
      </c>
      <c r="O83" t="str" cm="1">
        <f t="array" ref="O83">_xlfn.IFS(S83&lt;=_xlfn.PERCENTILE.INC(IF(N83:N713=N83, S83:S713), 0.33), "Low", S83&lt;=_xlfn.PERCENTILE.INC(IF(N83:N713=N83, S83:S713), 0.66), "Medium", S83 &gt; _xlfn.PERCENTILE.INC(IF(N83:N713=N83, S83:S713), 0.66), "High")</f>
        <v>High</v>
      </c>
      <c r="P83" t="s">
        <v>815</v>
      </c>
      <c r="Q83" s="6">
        <v>1183.95</v>
      </c>
      <c r="R83" s="6">
        <v>1503.53</v>
      </c>
      <c r="S83" s="6">
        <v>1503.53</v>
      </c>
      <c r="T83" s="9">
        <v>0.24099999999999999</v>
      </c>
      <c r="U83" s="9">
        <f>IF(T83&gt;0.3, $AO$4, T83)</f>
        <v>0.24099999999999999</v>
      </c>
      <c r="V83" s="7" t="str">
        <f t="shared" si="18"/>
        <v>Greater than 20%</v>
      </c>
      <c r="W83" s="11">
        <v>16</v>
      </c>
      <c r="X83" s="6">
        <f t="shared" si="15"/>
        <v>18258.868320000001</v>
      </c>
      <c r="Y83" s="6">
        <f t="shared" si="16"/>
        <v>18943.2</v>
      </c>
      <c r="Z83" s="6">
        <f t="shared" si="19"/>
        <v>-684.33167999999932</v>
      </c>
      <c r="AA83" s="9">
        <f t="shared" si="20"/>
        <v>-3.7479413729623705E-2</v>
      </c>
      <c r="AB83" s="9">
        <f>IF(U83&gt;'What-If Analysis'!$F$16, 'What-If Analysis'!$F$16,T83)</f>
        <v>0.17</v>
      </c>
      <c r="AC83" s="42">
        <f>S83*(1-AB83)</f>
        <v>1247.9298999999999</v>
      </c>
      <c r="AD83" s="42">
        <f>Q83*(1+'What-If Analysis'!F98)</f>
        <v>1183.95</v>
      </c>
      <c r="AE83" s="41">
        <f>W83*(1+'What-If Analysis'!$F$18)</f>
        <v>18.72</v>
      </c>
      <c r="AF83" s="42">
        <f t="shared" si="21"/>
        <v>23361.247727999995</v>
      </c>
      <c r="AG83" s="42">
        <f t="shared" si="22"/>
        <v>22163.543999999998</v>
      </c>
      <c r="AH83" s="42">
        <f t="shared" si="23"/>
        <v>1197.7037279999968</v>
      </c>
      <c r="AI83" s="44">
        <f t="shared" si="24"/>
        <v>5.1268825276163221E-2</v>
      </c>
      <c r="AJ83" s="42">
        <f t="shared" si="25"/>
        <v>5102.3794079999934</v>
      </c>
      <c r="AK83" s="42">
        <f t="shared" si="26"/>
        <v>-684.33167999999932</v>
      </c>
      <c r="AL83" s="9">
        <f t="shared" si="27"/>
        <v>8.8748239005786933E-2</v>
      </c>
      <c r="AM83" s="42"/>
    </row>
    <row r="84" spans="1:39" x14ac:dyDescent="0.25">
      <c r="A84" t="s">
        <v>97</v>
      </c>
      <c r="B84" s="20">
        <v>45791</v>
      </c>
      <c r="C84" s="4">
        <v>45801</v>
      </c>
      <c r="D84" s="4" t="s">
        <v>1440</v>
      </c>
      <c r="E84" s="4">
        <v>45801</v>
      </c>
      <c r="F84" s="11">
        <f t="shared" si="14"/>
        <v>10</v>
      </c>
      <c r="G84" s="11" t="str">
        <f t="shared" si="17"/>
        <v>Does not Meet Target</v>
      </c>
      <c r="H84" t="s">
        <v>649</v>
      </c>
      <c r="I84" t="s">
        <v>657</v>
      </c>
      <c r="J84" t="s">
        <v>690</v>
      </c>
      <c r="K84" t="s">
        <v>705</v>
      </c>
      <c r="L84" t="s">
        <v>709</v>
      </c>
      <c r="M84" t="s">
        <v>723</v>
      </c>
      <c r="N84" t="s">
        <v>727</v>
      </c>
      <c r="O84" t="str" cm="1">
        <f t="array" ref="O84">_xlfn.IFS(S84&lt;=_xlfn.PERCENTILE.INC(IF(N84:N714=N84, S84:S714), 0.33), "Low", S84&lt;=_xlfn.PERCENTILE.INC(IF(N84:N714=N84, S84:S714), 0.66), "Medium", S84 &gt; _xlfn.PERCENTILE.INC(IF(N84:N714=N84, S84:S714), 0.66), "High")</f>
        <v>Low</v>
      </c>
      <c r="P84" t="s">
        <v>816</v>
      </c>
      <c r="Q84" s="6">
        <v>170.39</v>
      </c>
      <c r="R84" s="6">
        <v>388.04</v>
      </c>
      <c r="S84" s="6">
        <v>388.04</v>
      </c>
      <c r="T84" s="9">
        <v>8.4000000000000005E-2</v>
      </c>
      <c r="U84" s="9">
        <f>IF(T84&gt;0.3, $AO$4, T84)</f>
        <v>8.4000000000000005E-2</v>
      </c>
      <c r="V84" s="7" t="str">
        <f t="shared" si="18"/>
        <v>Less than 20%</v>
      </c>
      <c r="W84" s="11">
        <v>15</v>
      </c>
      <c r="X84" s="6">
        <f t="shared" si="15"/>
        <v>5331.6696000000002</v>
      </c>
      <c r="Y84" s="6">
        <f t="shared" si="16"/>
        <v>2555.85</v>
      </c>
      <c r="Z84" s="6">
        <f t="shared" si="19"/>
        <v>2775.8196000000003</v>
      </c>
      <c r="AA84" s="9">
        <f t="shared" si="20"/>
        <v>0.52062858508711796</v>
      </c>
      <c r="AB84" s="9">
        <f>IF(U84&gt;'What-If Analysis'!$F$16, 'What-If Analysis'!$F$16,T84)</f>
        <v>8.4000000000000005E-2</v>
      </c>
      <c r="AC84" s="42">
        <f>S84*(1-AB84)</f>
        <v>355.44464000000005</v>
      </c>
      <c r="AD84" s="42">
        <f>Q84*(1+'What-If Analysis'!F99)</f>
        <v>170.39</v>
      </c>
      <c r="AE84" s="41">
        <f>W84*(1+'What-If Analysis'!$F$18)</f>
        <v>17.549999999999997</v>
      </c>
      <c r="AF84" s="42">
        <f t="shared" si="21"/>
        <v>6238.0534319999997</v>
      </c>
      <c r="AG84" s="42">
        <f t="shared" si="22"/>
        <v>2990.3444999999992</v>
      </c>
      <c r="AH84" s="42">
        <f t="shared" si="23"/>
        <v>3247.7089320000005</v>
      </c>
      <c r="AI84" s="44">
        <f t="shared" si="24"/>
        <v>0.52062858508711807</v>
      </c>
      <c r="AJ84" s="42">
        <f t="shared" si="25"/>
        <v>906.38383199999953</v>
      </c>
      <c r="AK84" s="42">
        <f t="shared" si="26"/>
        <v>2775.8196000000003</v>
      </c>
      <c r="AL84" s="9">
        <f t="shared" si="27"/>
        <v>0</v>
      </c>
      <c r="AM84" s="42"/>
    </row>
    <row r="85" spans="1:39" x14ac:dyDescent="0.25">
      <c r="A85" t="s">
        <v>98</v>
      </c>
      <c r="B85" s="20">
        <v>45770</v>
      </c>
      <c r="C85" s="4">
        <v>45769</v>
      </c>
      <c r="D85" s="4" t="s">
        <v>1440</v>
      </c>
      <c r="E85" s="4">
        <v>45789</v>
      </c>
      <c r="F85" s="11">
        <f t="shared" si="14"/>
        <v>19</v>
      </c>
      <c r="G85" s="11" t="str">
        <f t="shared" si="17"/>
        <v>Does not Meet Target</v>
      </c>
      <c r="H85" t="s">
        <v>648</v>
      </c>
      <c r="I85" t="s">
        <v>660</v>
      </c>
      <c r="J85" t="s">
        <v>686</v>
      </c>
      <c r="K85" t="s">
        <v>703</v>
      </c>
      <c r="L85" t="s">
        <v>710</v>
      </c>
      <c r="M85" t="s">
        <v>726</v>
      </c>
      <c r="N85" t="s">
        <v>732</v>
      </c>
      <c r="O85" t="str" cm="1">
        <f t="array" ref="O85">_xlfn.IFS(S85&lt;=_xlfn.PERCENTILE.INC(IF(N85:N715=N85, S85:S715), 0.33), "Low", S85&lt;=_xlfn.PERCENTILE.INC(IF(N85:N715=N85, S85:S715), 0.66), "Medium", S85 &gt; _xlfn.PERCENTILE.INC(IF(N85:N715=N85, S85:S715), 0.66), "High")</f>
        <v>Low</v>
      </c>
      <c r="P85" t="s">
        <v>817</v>
      </c>
      <c r="Q85" s="6">
        <v>23.24</v>
      </c>
      <c r="R85" s="6">
        <v>44.57</v>
      </c>
      <c r="S85" s="6">
        <v>44.57</v>
      </c>
      <c r="T85" s="9">
        <v>0.215</v>
      </c>
      <c r="U85" s="9">
        <f>IF(T85&gt;0.3, $AO$4, T85)</f>
        <v>0.215</v>
      </c>
      <c r="V85" s="7" t="str">
        <f t="shared" si="18"/>
        <v>Greater than 20%</v>
      </c>
      <c r="W85" s="11">
        <v>15</v>
      </c>
      <c r="X85" s="6">
        <f t="shared" si="15"/>
        <v>524.81174999999996</v>
      </c>
      <c r="Y85" s="6">
        <f t="shared" si="16"/>
        <v>348.59999999999997</v>
      </c>
      <c r="Z85" s="6">
        <f t="shared" si="19"/>
        <v>176.21174999999999</v>
      </c>
      <c r="AA85" s="9">
        <f t="shared" si="20"/>
        <v>0.33576182316802167</v>
      </c>
      <c r="AB85" s="9">
        <f>IF(U85&gt;'What-If Analysis'!$F$16, 'What-If Analysis'!$F$16,T85)</f>
        <v>0.17</v>
      </c>
      <c r="AC85" s="42">
        <f>S85*(1-AB85)</f>
        <v>36.993099999999998</v>
      </c>
      <c r="AD85" s="42">
        <f>Q85*(1+'What-If Analysis'!F100)</f>
        <v>23.24</v>
      </c>
      <c r="AE85" s="41">
        <f>W85*(1+'What-If Analysis'!$F$18)</f>
        <v>17.549999999999997</v>
      </c>
      <c r="AF85" s="42">
        <f t="shared" si="21"/>
        <v>649.22890499999983</v>
      </c>
      <c r="AG85" s="42">
        <f t="shared" si="22"/>
        <v>407.86199999999991</v>
      </c>
      <c r="AH85" s="42">
        <f t="shared" si="23"/>
        <v>241.36690499999992</v>
      </c>
      <c r="AI85" s="44">
        <f t="shared" si="24"/>
        <v>0.37177473636975539</v>
      </c>
      <c r="AJ85" s="42">
        <f t="shared" si="25"/>
        <v>124.41715499999987</v>
      </c>
      <c r="AK85" s="42">
        <f t="shared" si="26"/>
        <v>176.21174999999999</v>
      </c>
      <c r="AL85" s="9">
        <f t="shared" si="27"/>
        <v>3.6012913201733721E-2</v>
      </c>
      <c r="AM85" s="42"/>
    </row>
    <row r="86" spans="1:39" x14ac:dyDescent="0.25">
      <c r="A86" t="s">
        <v>99</v>
      </c>
      <c r="B86" s="20">
        <v>45741</v>
      </c>
      <c r="C86" s="4">
        <v>45764</v>
      </c>
      <c r="D86" s="4" t="s">
        <v>1437</v>
      </c>
      <c r="E86" s="4">
        <v>45764</v>
      </c>
      <c r="F86" s="11">
        <f t="shared" si="14"/>
        <v>23</v>
      </c>
      <c r="G86" s="11" t="str">
        <f t="shared" si="17"/>
        <v>Does not Meet Target</v>
      </c>
      <c r="H86" t="s">
        <v>649</v>
      </c>
      <c r="I86" t="s">
        <v>658</v>
      </c>
      <c r="J86" t="s">
        <v>683</v>
      </c>
      <c r="K86" t="s">
        <v>704</v>
      </c>
      <c r="L86" t="s">
        <v>707</v>
      </c>
      <c r="M86" t="s">
        <v>722</v>
      </c>
      <c r="N86" t="s">
        <v>729</v>
      </c>
      <c r="O86" t="str" cm="1">
        <f t="array" ref="O86">_xlfn.IFS(S86&lt;=_xlfn.PERCENTILE.INC(IF(N86:N716=N86, S86:S716), 0.33), "Low", S86&lt;=_xlfn.PERCENTILE.INC(IF(N86:N716=N86, S86:S716), 0.66), "Medium", S86 &gt; _xlfn.PERCENTILE.INC(IF(N86:N716=N86, S86:S716), 0.66), "High")</f>
        <v>Medium</v>
      </c>
      <c r="P86" t="s">
        <v>818</v>
      </c>
      <c r="Q86" s="6">
        <v>1421.19</v>
      </c>
      <c r="R86" s="6">
        <v>1808.26</v>
      </c>
      <c r="S86" s="6">
        <v>1808.26</v>
      </c>
      <c r="T86" s="9">
        <v>0.104</v>
      </c>
      <c r="U86" s="9">
        <f>IF(T86&gt;0.3, $AO$4, T86)</f>
        <v>0.104</v>
      </c>
      <c r="V86" s="7" t="str">
        <f t="shared" si="18"/>
        <v>Less than 20%</v>
      </c>
      <c r="W86" s="11">
        <v>13</v>
      </c>
      <c r="X86" s="6">
        <f t="shared" si="15"/>
        <v>21062.61248</v>
      </c>
      <c r="Y86" s="6">
        <f t="shared" si="16"/>
        <v>18475.47</v>
      </c>
      <c r="Z86" s="6">
        <f t="shared" si="19"/>
        <v>2587.1424799999986</v>
      </c>
      <c r="AA86" s="9">
        <f t="shared" si="20"/>
        <v>0.12283103449093123</v>
      </c>
      <c r="AB86" s="9">
        <f>IF(U86&gt;'What-If Analysis'!$F$16, 'What-If Analysis'!$F$16,T86)</f>
        <v>0.104</v>
      </c>
      <c r="AC86" s="42">
        <f>S86*(1-AB86)</f>
        <v>1620.2009600000001</v>
      </c>
      <c r="AD86" s="42">
        <f>Q86*(1+'What-If Analysis'!F101)</f>
        <v>1421.19</v>
      </c>
      <c r="AE86" s="41">
        <f>W86*(1+'What-If Analysis'!$F$18)</f>
        <v>15.209999999999999</v>
      </c>
      <c r="AF86" s="42">
        <f t="shared" si="21"/>
        <v>24643.256601600002</v>
      </c>
      <c r="AG86" s="42">
        <f t="shared" si="22"/>
        <v>21616.299899999998</v>
      </c>
      <c r="AH86" s="42">
        <f t="shared" si="23"/>
        <v>3026.9567016000037</v>
      </c>
      <c r="AI86" s="44">
        <f t="shared" si="24"/>
        <v>0.12283103449093144</v>
      </c>
      <c r="AJ86" s="42">
        <f t="shared" si="25"/>
        <v>3580.6441216000021</v>
      </c>
      <c r="AK86" s="42">
        <f t="shared" si="26"/>
        <v>2587.1424799999986</v>
      </c>
      <c r="AL86" s="9">
        <f t="shared" si="27"/>
        <v>2.0816681711721685E-16</v>
      </c>
      <c r="AM86" s="42"/>
    </row>
    <row r="87" spans="1:39" x14ac:dyDescent="0.25">
      <c r="A87" t="s">
        <v>100</v>
      </c>
      <c r="B87" s="20">
        <v>45282</v>
      </c>
      <c r="C87" s="4">
        <v>45283</v>
      </c>
      <c r="D87" s="4" t="s">
        <v>1438</v>
      </c>
      <c r="E87" s="4">
        <v>45283</v>
      </c>
      <c r="F87" s="11">
        <f t="shared" si="14"/>
        <v>1</v>
      </c>
      <c r="G87" s="11" t="str">
        <f t="shared" si="17"/>
        <v>Meets Target</v>
      </c>
      <c r="H87" t="s">
        <v>646</v>
      </c>
      <c r="I87" t="s">
        <v>661</v>
      </c>
      <c r="J87" t="s">
        <v>695</v>
      </c>
      <c r="K87" t="s">
        <v>703</v>
      </c>
      <c r="L87" t="s">
        <v>709</v>
      </c>
      <c r="M87" t="s">
        <v>726</v>
      </c>
      <c r="N87" t="s">
        <v>727</v>
      </c>
      <c r="O87" t="str" cm="1">
        <f t="array" ref="O87">_xlfn.IFS(S87&lt;=_xlfn.PERCENTILE.INC(IF(N87:N717=N87, S87:S717), 0.33), "Low", S87&lt;=_xlfn.PERCENTILE.INC(IF(N87:N717=N87, S87:S717), 0.66), "Medium", S87 &gt; _xlfn.PERCENTILE.INC(IF(N87:N717=N87, S87:S717), 0.66), "High")</f>
        <v>Medium</v>
      </c>
      <c r="P87" t="s">
        <v>819</v>
      </c>
      <c r="Q87" s="6">
        <v>1186.18</v>
      </c>
      <c r="R87" s="6">
        <v>1285.0899999999999</v>
      </c>
      <c r="S87" s="6">
        <v>1285.0899999999999</v>
      </c>
      <c r="T87" s="9">
        <v>7.0000000000000007E-2</v>
      </c>
      <c r="U87" s="9">
        <f>IF(T87&gt;0.3, $AO$4, T87)</f>
        <v>7.0000000000000007E-2</v>
      </c>
      <c r="V87" s="7" t="str">
        <f t="shared" si="18"/>
        <v>Less than 20%</v>
      </c>
      <c r="W87" s="11">
        <v>11</v>
      </c>
      <c r="X87" s="6">
        <f t="shared" si="15"/>
        <v>13146.470699999998</v>
      </c>
      <c r="Y87" s="6">
        <f t="shared" si="16"/>
        <v>13047.980000000001</v>
      </c>
      <c r="Z87" s="6">
        <f t="shared" si="19"/>
        <v>98.49069999999665</v>
      </c>
      <c r="AA87" s="9">
        <f t="shared" si="20"/>
        <v>7.4917977796121861E-3</v>
      </c>
      <c r="AB87" s="9">
        <f>IF(U87&gt;'What-If Analysis'!$F$16, 'What-If Analysis'!$F$16,T87)</f>
        <v>7.0000000000000007E-2</v>
      </c>
      <c r="AC87" s="42">
        <f>S87*(1-AB87)</f>
        <v>1195.1336999999999</v>
      </c>
      <c r="AD87" s="42">
        <f>Q87*(1+'What-If Analysis'!F102)</f>
        <v>1186.18</v>
      </c>
      <c r="AE87" s="41">
        <f>W87*(1+'What-If Analysis'!$F$18)</f>
        <v>12.87</v>
      </c>
      <c r="AF87" s="42">
        <f t="shared" si="21"/>
        <v>15381.370718999997</v>
      </c>
      <c r="AG87" s="42">
        <f t="shared" si="22"/>
        <v>15266.1366</v>
      </c>
      <c r="AH87" s="42">
        <f t="shared" si="23"/>
        <v>115.23411899999701</v>
      </c>
      <c r="AI87" s="44">
        <f t="shared" si="24"/>
        <v>7.4917977796122468E-3</v>
      </c>
      <c r="AJ87" s="42">
        <f t="shared" si="25"/>
        <v>2234.9000189999988</v>
      </c>
      <c r="AK87" s="42">
        <f t="shared" si="26"/>
        <v>98.49069999999665</v>
      </c>
      <c r="AL87" s="9">
        <f t="shared" si="27"/>
        <v>6.0715321659188248E-17</v>
      </c>
      <c r="AM87" s="42"/>
    </row>
    <row r="88" spans="1:39" x14ac:dyDescent="0.25">
      <c r="A88" t="s">
        <v>101</v>
      </c>
      <c r="B88" s="20">
        <v>45388</v>
      </c>
      <c r="C88" s="4">
        <v>45407</v>
      </c>
      <c r="D88" s="4" t="s">
        <v>1439</v>
      </c>
      <c r="E88" s="4">
        <v>45407</v>
      </c>
      <c r="F88" s="11">
        <f t="shared" si="14"/>
        <v>19</v>
      </c>
      <c r="G88" s="11" t="str">
        <f t="shared" si="17"/>
        <v>Does not Meet Target</v>
      </c>
      <c r="H88" t="s">
        <v>647</v>
      </c>
      <c r="I88" t="s">
        <v>659</v>
      </c>
      <c r="J88" t="s">
        <v>685</v>
      </c>
      <c r="K88" t="s">
        <v>701</v>
      </c>
      <c r="L88" t="s">
        <v>707</v>
      </c>
      <c r="M88" t="s">
        <v>723</v>
      </c>
      <c r="N88" t="s">
        <v>727</v>
      </c>
      <c r="O88" t="str" cm="1">
        <f t="array" ref="O88">_xlfn.IFS(S88&lt;=_xlfn.PERCENTILE.INC(IF(N88:N718=N88, S88:S718), 0.33), "Low", S88&lt;=_xlfn.PERCENTILE.INC(IF(N88:N718=N88, S88:S718), 0.66), "Medium", S88 &gt; _xlfn.PERCENTILE.INC(IF(N88:N718=N88, S88:S718), 0.66), "High")</f>
        <v>High</v>
      </c>
      <c r="P88" t="s">
        <v>820</v>
      </c>
      <c r="Q88" s="6">
        <v>1366.48</v>
      </c>
      <c r="R88" s="6">
        <v>1678.14</v>
      </c>
      <c r="S88" s="6">
        <v>1678.14</v>
      </c>
      <c r="T88" s="9">
        <v>0.154</v>
      </c>
      <c r="U88" s="9">
        <f>IF(T88&gt;0.3, $AO$4, T88)</f>
        <v>0.154</v>
      </c>
      <c r="V88" s="7" t="str">
        <f t="shared" si="18"/>
        <v>Less than 20%</v>
      </c>
      <c r="W88" s="11">
        <v>10</v>
      </c>
      <c r="X88" s="6">
        <f t="shared" si="15"/>
        <v>14197.064400000001</v>
      </c>
      <c r="Y88" s="6">
        <f t="shared" si="16"/>
        <v>13664.8</v>
      </c>
      <c r="Z88" s="6">
        <f t="shared" si="19"/>
        <v>532.26440000000184</v>
      </c>
      <c r="AA88" s="9">
        <f t="shared" si="20"/>
        <v>3.7491159087790132E-2</v>
      </c>
      <c r="AB88" s="9">
        <f>IF(U88&gt;'What-If Analysis'!$F$16, 'What-If Analysis'!$F$16,T88)</f>
        <v>0.154</v>
      </c>
      <c r="AC88" s="42">
        <f>S88*(1-AB88)</f>
        <v>1419.7064399999999</v>
      </c>
      <c r="AD88" s="42">
        <f>Q88*(1+'What-If Analysis'!F103)</f>
        <v>1366.48</v>
      </c>
      <c r="AE88" s="41">
        <f>W88*(1+'What-If Analysis'!$F$18)</f>
        <v>11.7</v>
      </c>
      <c r="AF88" s="42">
        <f t="shared" si="21"/>
        <v>16610.565347999996</v>
      </c>
      <c r="AG88" s="42">
        <f t="shared" si="22"/>
        <v>15987.815999999999</v>
      </c>
      <c r="AH88" s="42">
        <f t="shared" si="23"/>
        <v>622.74934799999755</v>
      </c>
      <c r="AI88" s="44">
        <f t="shared" si="24"/>
        <v>3.7491159087789869E-2</v>
      </c>
      <c r="AJ88" s="42">
        <f t="shared" si="25"/>
        <v>2413.5009479999953</v>
      </c>
      <c r="AK88" s="42">
        <f t="shared" si="26"/>
        <v>532.26440000000184</v>
      </c>
      <c r="AL88" s="9">
        <f t="shared" si="27"/>
        <v>-2.6367796834847468E-16</v>
      </c>
      <c r="AM88" s="42"/>
    </row>
    <row r="89" spans="1:39" x14ac:dyDescent="0.25">
      <c r="A89" t="s">
        <v>102</v>
      </c>
      <c r="B89" s="20">
        <v>45876</v>
      </c>
      <c r="C89" s="4">
        <v>45888</v>
      </c>
      <c r="D89" s="4" t="s">
        <v>1441</v>
      </c>
      <c r="E89" s="4">
        <v>45888</v>
      </c>
      <c r="F89" s="11">
        <f t="shared" si="14"/>
        <v>12</v>
      </c>
      <c r="G89" s="11" t="str">
        <f t="shared" si="17"/>
        <v>Does not Meet Target</v>
      </c>
      <c r="H89" t="s">
        <v>646</v>
      </c>
      <c r="I89" t="s">
        <v>650</v>
      </c>
      <c r="J89" t="s">
        <v>678</v>
      </c>
      <c r="K89" t="s">
        <v>701</v>
      </c>
      <c r="L89" t="s">
        <v>1422</v>
      </c>
      <c r="M89" t="s">
        <v>724</v>
      </c>
      <c r="N89" t="s">
        <v>727</v>
      </c>
      <c r="O89" t="str" cm="1">
        <f t="array" ref="O89">_xlfn.IFS(S89&lt;=_xlfn.PERCENTILE.INC(IF(N89:N719=N89, S89:S719), 0.33), "Low", S89&lt;=_xlfn.PERCENTILE.INC(IF(N89:N719=N89, S89:S719), 0.66), "Medium", S89 &gt; _xlfn.PERCENTILE.INC(IF(N89:N719=N89, S89:S719), 0.66), "High")</f>
        <v>Low</v>
      </c>
      <c r="P89" t="s">
        <v>821</v>
      </c>
      <c r="Q89" s="6">
        <v>601.51</v>
      </c>
      <c r="R89" s="6">
        <v>679.35</v>
      </c>
      <c r="S89" s="6">
        <v>679.35</v>
      </c>
      <c r="T89" s="9">
        <v>0.188</v>
      </c>
      <c r="U89" s="9">
        <f>IF(T89&gt;0.3, $AO$4, T89)</f>
        <v>0.188</v>
      </c>
      <c r="V89" s="7" t="str">
        <f t="shared" si="18"/>
        <v>Less than 20%</v>
      </c>
      <c r="W89" s="11">
        <v>3</v>
      </c>
      <c r="X89" s="6">
        <f t="shared" si="15"/>
        <v>1654.8966000000003</v>
      </c>
      <c r="Y89" s="6">
        <f t="shared" si="16"/>
        <v>1804.53</v>
      </c>
      <c r="Z89" s="6">
        <f t="shared" si="19"/>
        <v>-149.63339999999971</v>
      </c>
      <c r="AA89" s="9">
        <f t="shared" si="20"/>
        <v>-9.0418579626062243E-2</v>
      </c>
      <c r="AB89" s="9">
        <f>IF(U89&gt;'What-If Analysis'!$F$16, 'What-If Analysis'!$F$16,T89)</f>
        <v>0.17</v>
      </c>
      <c r="AC89" s="42">
        <f>S89*(1-AB89)</f>
        <v>563.8605</v>
      </c>
      <c r="AD89" s="42">
        <f>Q89*(1+'What-If Analysis'!F104)</f>
        <v>601.51</v>
      </c>
      <c r="AE89" s="41">
        <f>W89*(1+'What-If Analysis'!$F$18)</f>
        <v>3.51</v>
      </c>
      <c r="AF89" s="42">
        <f t="shared" si="21"/>
        <v>1979.150355</v>
      </c>
      <c r="AG89" s="42">
        <f t="shared" si="22"/>
        <v>2111.3000999999999</v>
      </c>
      <c r="AH89" s="42">
        <f t="shared" si="23"/>
        <v>-132.14974499999994</v>
      </c>
      <c r="AI89" s="44">
        <f t="shared" si="24"/>
        <v>-6.6770947778750214E-2</v>
      </c>
      <c r="AJ89" s="42">
        <f t="shared" si="25"/>
        <v>324.25375499999973</v>
      </c>
      <c r="AK89" s="42">
        <f t="shared" si="26"/>
        <v>-149.63339999999971</v>
      </c>
      <c r="AL89" s="9">
        <f t="shared" si="27"/>
        <v>2.3647631847312028E-2</v>
      </c>
      <c r="AM89" s="42"/>
    </row>
    <row r="90" spans="1:39" x14ac:dyDescent="0.25">
      <c r="A90" t="s">
        <v>103</v>
      </c>
      <c r="B90" s="20">
        <v>45312</v>
      </c>
      <c r="C90" s="4">
        <v>45316</v>
      </c>
      <c r="D90" s="4" t="s">
        <v>1434</v>
      </c>
      <c r="E90" s="4">
        <v>45316</v>
      </c>
      <c r="F90" s="11">
        <f t="shared" si="14"/>
        <v>4</v>
      </c>
      <c r="G90" s="11" t="str">
        <f t="shared" si="17"/>
        <v>Meets Target</v>
      </c>
      <c r="H90" t="s">
        <v>647</v>
      </c>
      <c r="I90" t="s">
        <v>654</v>
      </c>
      <c r="J90" t="s">
        <v>680</v>
      </c>
      <c r="K90" t="s">
        <v>704</v>
      </c>
      <c r="L90" t="s">
        <v>711</v>
      </c>
      <c r="M90" t="s">
        <v>712</v>
      </c>
      <c r="N90" t="s">
        <v>732</v>
      </c>
      <c r="O90" t="str" cm="1">
        <f t="array" ref="O90">_xlfn.IFS(S90&lt;=_xlfn.PERCENTILE.INC(IF(N90:N720=N90, S90:S720), 0.33), "Low", S90&lt;=_xlfn.PERCENTILE.INC(IF(N90:N720=N90, S90:S720), 0.66), "Medium", S90 &gt; _xlfn.PERCENTILE.INC(IF(N90:N720=N90, S90:S720), 0.66), "High")</f>
        <v>Medium</v>
      </c>
      <c r="P90" t="s">
        <v>822</v>
      </c>
      <c r="Q90" s="6">
        <v>523.70000000000005</v>
      </c>
      <c r="R90" s="6">
        <v>1109.92</v>
      </c>
      <c r="S90" s="6">
        <v>1109.92</v>
      </c>
      <c r="T90" s="9">
        <v>0.03</v>
      </c>
      <c r="U90" s="9">
        <f>IF(T90&gt;0.3, $AO$4, T90)</f>
        <v>0.03</v>
      </c>
      <c r="V90" s="7" t="str">
        <f t="shared" si="18"/>
        <v>Less than 20%</v>
      </c>
      <c r="W90" s="11">
        <v>11</v>
      </c>
      <c r="X90" s="6">
        <f t="shared" si="15"/>
        <v>11842.8464</v>
      </c>
      <c r="Y90" s="6">
        <f t="shared" si="16"/>
        <v>5760.7000000000007</v>
      </c>
      <c r="Z90" s="6">
        <f t="shared" si="19"/>
        <v>6082.1463999999996</v>
      </c>
      <c r="AA90" s="9">
        <f t="shared" si="20"/>
        <v>0.51357133197302973</v>
      </c>
      <c r="AB90" s="9">
        <f>IF(U90&gt;'What-If Analysis'!$F$16, 'What-If Analysis'!$F$16,T90)</f>
        <v>0.03</v>
      </c>
      <c r="AC90" s="42">
        <f>S90*(1-AB90)</f>
        <v>1076.6224</v>
      </c>
      <c r="AD90" s="42">
        <f>Q90*(1+'What-If Analysis'!F105)</f>
        <v>523.70000000000005</v>
      </c>
      <c r="AE90" s="41">
        <f>W90*(1+'What-If Analysis'!$F$18)</f>
        <v>12.87</v>
      </c>
      <c r="AF90" s="42">
        <f t="shared" si="21"/>
        <v>13856.130287999998</v>
      </c>
      <c r="AG90" s="42">
        <f t="shared" si="22"/>
        <v>6740.0190000000002</v>
      </c>
      <c r="AH90" s="42">
        <f t="shared" si="23"/>
        <v>7116.1112879999982</v>
      </c>
      <c r="AI90" s="44">
        <f t="shared" si="24"/>
        <v>0.51357133197302962</v>
      </c>
      <c r="AJ90" s="42">
        <f t="shared" si="25"/>
        <v>2013.2838879999981</v>
      </c>
      <c r="AK90" s="42">
        <f t="shared" si="26"/>
        <v>6082.1463999999996</v>
      </c>
      <c r="AL90" s="9">
        <f t="shared" si="27"/>
        <v>0</v>
      </c>
      <c r="AM90" s="42"/>
    </row>
    <row r="91" spans="1:39" x14ac:dyDescent="0.25">
      <c r="A91" t="s">
        <v>104</v>
      </c>
      <c r="B91" s="20">
        <v>45106</v>
      </c>
      <c r="C91" s="4">
        <v>45109</v>
      </c>
      <c r="D91" s="4" t="s">
        <v>1442</v>
      </c>
      <c r="E91" s="4">
        <v>45109</v>
      </c>
      <c r="F91" s="11">
        <f t="shared" si="14"/>
        <v>3</v>
      </c>
      <c r="G91" s="11" t="str">
        <f t="shared" si="17"/>
        <v>Meets Target</v>
      </c>
      <c r="H91" t="s">
        <v>647</v>
      </c>
      <c r="I91" t="s">
        <v>652</v>
      </c>
      <c r="J91" t="s">
        <v>694</v>
      </c>
      <c r="K91" t="s">
        <v>702</v>
      </c>
      <c r="L91" t="s">
        <v>709</v>
      </c>
      <c r="M91" t="s">
        <v>721</v>
      </c>
      <c r="N91" t="s">
        <v>732</v>
      </c>
      <c r="O91" t="str" cm="1">
        <f t="array" ref="O91">_xlfn.IFS(S91&lt;=_xlfn.PERCENTILE.INC(IF(N91:N721=N91, S91:S721), 0.33), "Low", S91&lt;=_xlfn.PERCENTILE.INC(IF(N91:N721=N91, S91:S721), 0.66), "Medium", S91 &gt; _xlfn.PERCENTILE.INC(IF(N91:N721=N91, S91:S721), 0.66), "High")</f>
        <v>Low</v>
      </c>
      <c r="P91" t="s">
        <v>823</v>
      </c>
      <c r="Q91" s="6">
        <v>55.65</v>
      </c>
      <c r="R91" s="6">
        <v>83.57</v>
      </c>
      <c r="S91" s="6">
        <v>83.57</v>
      </c>
      <c r="T91" s="9">
        <v>6.6000000000000003E-2</v>
      </c>
      <c r="U91" s="9">
        <f>IF(T91&gt;0.3, $AO$4, T91)</f>
        <v>6.6000000000000003E-2</v>
      </c>
      <c r="V91" s="7" t="str">
        <f t="shared" si="18"/>
        <v>Less than 20%</v>
      </c>
      <c r="W91" s="11">
        <v>8</v>
      </c>
      <c r="X91" s="6">
        <f t="shared" si="15"/>
        <v>624.43503999999996</v>
      </c>
      <c r="Y91" s="6">
        <f t="shared" si="16"/>
        <v>445.2</v>
      </c>
      <c r="Z91" s="6">
        <f t="shared" si="19"/>
        <v>179.23503999999997</v>
      </c>
      <c r="AA91" s="9">
        <f t="shared" si="20"/>
        <v>0.2870355257449998</v>
      </c>
      <c r="AB91" s="9">
        <f>IF(U91&gt;'What-If Analysis'!$F$16, 'What-If Analysis'!$F$16,T91)</f>
        <v>6.6000000000000003E-2</v>
      </c>
      <c r="AC91" s="42">
        <f>S91*(1-AB91)</f>
        <v>78.054379999999995</v>
      </c>
      <c r="AD91" s="42">
        <f>Q91*(1+'What-If Analysis'!F106)</f>
        <v>55.65</v>
      </c>
      <c r="AE91" s="41">
        <f>W91*(1+'What-If Analysis'!$F$18)</f>
        <v>9.36</v>
      </c>
      <c r="AF91" s="42">
        <f t="shared" si="21"/>
        <v>730.5889967999999</v>
      </c>
      <c r="AG91" s="42">
        <f t="shared" si="22"/>
        <v>520.8839999999999</v>
      </c>
      <c r="AH91" s="42">
        <f t="shared" si="23"/>
        <v>209.7049968</v>
      </c>
      <c r="AI91" s="44">
        <f t="shared" si="24"/>
        <v>0.28703552574499985</v>
      </c>
      <c r="AJ91" s="42">
        <f t="shared" si="25"/>
        <v>106.15395679999995</v>
      </c>
      <c r="AK91" s="42">
        <f t="shared" si="26"/>
        <v>179.23503999999997</v>
      </c>
      <c r="AL91" s="9">
        <f t="shared" si="27"/>
        <v>0</v>
      </c>
      <c r="AM91" s="42"/>
    </row>
    <row r="92" spans="1:39" x14ac:dyDescent="0.25">
      <c r="A92" t="s">
        <v>105</v>
      </c>
      <c r="B92" s="20">
        <v>45775</v>
      </c>
      <c r="C92" s="4">
        <v>45792</v>
      </c>
      <c r="D92" s="4" t="s">
        <v>1440</v>
      </c>
      <c r="E92" s="4">
        <v>45792</v>
      </c>
      <c r="F92" s="11">
        <f t="shared" si="14"/>
        <v>17</v>
      </c>
      <c r="G92" s="11" t="str">
        <f t="shared" si="17"/>
        <v>Does not Meet Target</v>
      </c>
      <c r="H92" t="s">
        <v>647</v>
      </c>
      <c r="I92" t="s">
        <v>652</v>
      </c>
      <c r="J92" t="s">
        <v>694</v>
      </c>
      <c r="K92" t="s">
        <v>702</v>
      </c>
      <c r="L92" t="s">
        <v>711</v>
      </c>
      <c r="M92" t="s">
        <v>725</v>
      </c>
      <c r="N92" t="s">
        <v>729</v>
      </c>
      <c r="O92" t="str" cm="1">
        <f t="array" ref="O92">_xlfn.IFS(S92&lt;=_xlfn.PERCENTILE.INC(IF(N92:N722=N92, S92:S722), 0.33), "Low", S92&lt;=_xlfn.PERCENTILE.INC(IF(N92:N722=N92, S92:S722), 0.66), "Medium", S92 &gt; _xlfn.PERCENTILE.INC(IF(N92:N722=N92, S92:S722), 0.66), "High")</f>
        <v>Medium</v>
      </c>
      <c r="P92" t="s">
        <v>824</v>
      </c>
      <c r="Q92" s="6">
        <v>691.19</v>
      </c>
      <c r="R92" s="6">
        <v>1284.3</v>
      </c>
      <c r="S92" s="6">
        <v>1284.3</v>
      </c>
      <c r="T92" s="9">
        <v>7.3999999999999996E-2</v>
      </c>
      <c r="U92" s="9">
        <f>IF(T92&gt;0.3, $AO$4, T92)</f>
        <v>7.3999999999999996E-2</v>
      </c>
      <c r="V92" s="7" t="str">
        <f t="shared" si="18"/>
        <v>Less than 20%</v>
      </c>
      <c r="W92" s="11">
        <v>7</v>
      </c>
      <c r="X92" s="6">
        <f t="shared" si="15"/>
        <v>8324.8326000000015</v>
      </c>
      <c r="Y92" s="6">
        <f t="shared" si="16"/>
        <v>4838.33</v>
      </c>
      <c r="Z92" s="6">
        <f t="shared" si="19"/>
        <v>3486.5026000000016</v>
      </c>
      <c r="AA92" s="9">
        <f t="shared" si="20"/>
        <v>0.41880753253825198</v>
      </c>
      <c r="AB92" s="9">
        <f>IF(U92&gt;'What-If Analysis'!$F$16, 'What-If Analysis'!$F$16,T92)</f>
        <v>7.3999999999999996E-2</v>
      </c>
      <c r="AC92" s="42">
        <f>S92*(1-AB92)</f>
        <v>1189.2618</v>
      </c>
      <c r="AD92" s="42">
        <f>Q92*(1+'What-If Analysis'!F107)</f>
        <v>691.19</v>
      </c>
      <c r="AE92" s="41">
        <f>W92*(1+'What-If Analysis'!$F$18)</f>
        <v>8.19</v>
      </c>
      <c r="AF92" s="42">
        <f t="shared" si="21"/>
        <v>9740.054141999999</v>
      </c>
      <c r="AG92" s="42">
        <f t="shared" si="22"/>
        <v>5660.8460999999998</v>
      </c>
      <c r="AH92" s="42">
        <f t="shared" si="23"/>
        <v>4079.2080419999993</v>
      </c>
      <c r="AI92" s="44">
        <f t="shared" si="24"/>
        <v>0.41880753253825187</v>
      </c>
      <c r="AJ92" s="42">
        <f t="shared" si="25"/>
        <v>1415.2215419999975</v>
      </c>
      <c r="AK92" s="42">
        <f t="shared" si="26"/>
        <v>3486.5026000000016</v>
      </c>
      <c r="AL92" s="9">
        <f t="shared" si="27"/>
        <v>0</v>
      </c>
      <c r="AM92" s="42"/>
    </row>
    <row r="93" spans="1:39" x14ac:dyDescent="0.25">
      <c r="A93" t="s">
        <v>106</v>
      </c>
      <c r="B93" s="20">
        <v>45817</v>
      </c>
      <c r="C93" s="4">
        <v>45833</v>
      </c>
      <c r="D93" s="4" t="s">
        <v>1440</v>
      </c>
      <c r="E93" s="4">
        <v>45833</v>
      </c>
      <c r="F93" s="11">
        <f t="shared" si="14"/>
        <v>16</v>
      </c>
      <c r="G93" s="11" t="str">
        <f t="shared" si="17"/>
        <v>Does not Meet Target</v>
      </c>
      <c r="H93" t="s">
        <v>647</v>
      </c>
      <c r="I93" t="s">
        <v>654</v>
      </c>
      <c r="J93" t="s">
        <v>696</v>
      </c>
      <c r="K93" t="s">
        <v>706</v>
      </c>
      <c r="L93" t="s">
        <v>710</v>
      </c>
      <c r="M93" t="s">
        <v>724</v>
      </c>
      <c r="N93" t="s">
        <v>730</v>
      </c>
      <c r="O93" t="str" cm="1">
        <f t="array" ref="O93">_xlfn.IFS(S93&lt;=_xlfn.PERCENTILE.INC(IF(N93:N723=N93, S93:S723), 0.33), "Low", S93&lt;=_xlfn.PERCENTILE.INC(IF(N93:N723=N93, S93:S723), 0.66), "Medium", S93 &gt; _xlfn.PERCENTILE.INC(IF(N93:N723=N93, S93:S723), 0.66), "High")</f>
        <v>Medium</v>
      </c>
      <c r="P93" t="s">
        <v>825</v>
      </c>
      <c r="Q93" s="6">
        <v>527.33000000000004</v>
      </c>
      <c r="R93" s="6">
        <v>911.72</v>
      </c>
      <c r="S93" s="6">
        <v>911.72</v>
      </c>
      <c r="T93" s="9">
        <v>0.14399999999999999</v>
      </c>
      <c r="U93" s="9">
        <f>IF(T93&gt;0.3, $AO$4, T93)</f>
        <v>0.14399999999999999</v>
      </c>
      <c r="V93" s="7" t="str">
        <f t="shared" si="18"/>
        <v>Less than 20%</v>
      </c>
      <c r="W93" s="11">
        <v>25</v>
      </c>
      <c r="X93" s="6">
        <f t="shared" si="15"/>
        <v>19510.808000000001</v>
      </c>
      <c r="Y93" s="6">
        <f t="shared" si="16"/>
        <v>13183.250000000002</v>
      </c>
      <c r="Z93" s="6">
        <f t="shared" si="19"/>
        <v>6327.5579999999991</v>
      </c>
      <c r="AA93" s="9">
        <f t="shared" si="20"/>
        <v>0.32431040272652978</v>
      </c>
      <c r="AB93" s="9">
        <f>IF(U93&gt;'What-If Analysis'!$F$16, 'What-If Analysis'!$F$16,T93)</f>
        <v>0.14399999999999999</v>
      </c>
      <c r="AC93" s="42">
        <f>S93*(1-AB93)</f>
        <v>780.43232</v>
      </c>
      <c r="AD93" s="42">
        <f>Q93*(1+'What-If Analysis'!F108)</f>
        <v>527.33000000000004</v>
      </c>
      <c r="AE93" s="41">
        <f>W93*(1+'What-If Analysis'!$F$18)</f>
        <v>29.25</v>
      </c>
      <c r="AF93" s="42">
        <f t="shared" si="21"/>
        <v>22827.645359999999</v>
      </c>
      <c r="AG93" s="42">
        <f t="shared" si="22"/>
        <v>15424.402500000002</v>
      </c>
      <c r="AH93" s="42">
        <f t="shared" si="23"/>
        <v>7403.2428599999967</v>
      </c>
      <c r="AI93" s="44">
        <f t="shared" si="24"/>
        <v>0.32431040272652972</v>
      </c>
      <c r="AJ93" s="42">
        <f t="shared" si="25"/>
        <v>3316.8373599999977</v>
      </c>
      <c r="AK93" s="42">
        <f t="shared" si="26"/>
        <v>6327.5579999999991</v>
      </c>
      <c r="AL93" s="9">
        <f t="shared" si="27"/>
        <v>0</v>
      </c>
      <c r="AM93" s="42"/>
    </row>
    <row r="94" spans="1:39" x14ac:dyDescent="0.25">
      <c r="A94" t="s">
        <v>107</v>
      </c>
      <c r="B94" s="20">
        <v>45101</v>
      </c>
      <c r="C94" s="4">
        <v>45100</v>
      </c>
      <c r="D94" s="4" t="s">
        <v>1442</v>
      </c>
      <c r="E94" s="4">
        <v>45120</v>
      </c>
      <c r="F94" s="11">
        <f t="shared" si="14"/>
        <v>19</v>
      </c>
      <c r="G94" s="11" t="str">
        <f t="shared" si="17"/>
        <v>Does not Meet Target</v>
      </c>
      <c r="H94" t="s">
        <v>648</v>
      </c>
      <c r="I94" t="s">
        <v>655</v>
      </c>
      <c r="J94" t="s">
        <v>692</v>
      </c>
      <c r="K94" t="s">
        <v>703</v>
      </c>
      <c r="L94" t="s">
        <v>707</v>
      </c>
      <c r="M94" t="s">
        <v>718</v>
      </c>
      <c r="N94" t="s">
        <v>728</v>
      </c>
      <c r="O94" t="str" cm="1">
        <f t="array" ref="O94">_xlfn.IFS(S94&lt;=_xlfn.PERCENTILE.INC(IF(N94:N724=N94, S94:S724), 0.33), "Low", S94&lt;=_xlfn.PERCENTILE.INC(IF(N94:N724=N94, S94:S724), 0.66), "Medium", S94 &gt; _xlfn.PERCENTILE.INC(IF(N94:N724=N94, S94:S724), 0.66), "High")</f>
        <v>Medium</v>
      </c>
      <c r="P94" t="s">
        <v>826</v>
      </c>
      <c r="Q94" s="6">
        <v>804.01</v>
      </c>
      <c r="R94" s="6">
        <v>1405.07</v>
      </c>
      <c r="S94" s="6">
        <v>1405.07</v>
      </c>
      <c r="T94" s="9">
        <v>9.6000000000000002E-2</v>
      </c>
      <c r="U94" s="9">
        <f>IF(T94&gt;0.3, $AO$4, T94)</f>
        <v>9.6000000000000002E-2</v>
      </c>
      <c r="V94" s="7" t="str">
        <f t="shared" si="18"/>
        <v>Less than 20%</v>
      </c>
      <c r="W94" s="11">
        <v>8</v>
      </c>
      <c r="X94" s="6">
        <f t="shared" si="15"/>
        <v>10161.46624</v>
      </c>
      <c r="Y94" s="6">
        <f t="shared" si="16"/>
        <v>6432.08</v>
      </c>
      <c r="Z94" s="6">
        <f t="shared" si="19"/>
        <v>3729.3862399999998</v>
      </c>
      <c r="AA94" s="9">
        <f t="shared" si="20"/>
        <v>0.36701260939287439</v>
      </c>
      <c r="AB94" s="9">
        <f>IF(U94&gt;'What-If Analysis'!$F$16, 'What-If Analysis'!$F$16,T94)</f>
        <v>9.6000000000000002E-2</v>
      </c>
      <c r="AC94" s="42">
        <f>S94*(1-AB94)</f>
        <v>1270.18328</v>
      </c>
      <c r="AD94" s="42">
        <f>Q94*(1+'What-If Analysis'!F109)</f>
        <v>804.01</v>
      </c>
      <c r="AE94" s="41">
        <f>W94*(1+'What-If Analysis'!$F$18)</f>
        <v>9.36</v>
      </c>
      <c r="AF94" s="42">
        <f t="shared" si="21"/>
        <v>11888.9155008</v>
      </c>
      <c r="AG94" s="42">
        <f t="shared" si="22"/>
        <v>7525.5335999999998</v>
      </c>
      <c r="AH94" s="42">
        <f t="shared" si="23"/>
        <v>4363.3819008</v>
      </c>
      <c r="AI94" s="44">
        <f t="shared" si="24"/>
        <v>0.36701260939287439</v>
      </c>
      <c r="AJ94" s="42">
        <f t="shared" si="25"/>
        <v>1727.4492608</v>
      </c>
      <c r="AK94" s="42">
        <f t="shared" si="26"/>
        <v>3729.3862399999998</v>
      </c>
      <c r="AL94" s="9">
        <f t="shared" si="27"/>
        <v>0</v>
      </c>
      <c r="AM94" s="42"/>
    </row>
    <row r="95" spans="1:39" x14ac:dyDescent="0.25">
      <c r="A95" t="s">
        <v>108</v>
      </c>
      <c r="B95" s="20">
        <v>45569</v>
      </c>
      <c r="C95" s="4">
        <v>45598</v>
      </c>
      <c r="D95" s="4" t="s">
        <v>1435</v>
      </c>
      <c r="E95" s="4">
        <v>45598</v>
      </c>
      <c r="F95" s="11">
        <f t="shared" si="14"/>
        <v>29</v>
      </c>
      <c r="G95" s="11" t="str">
        <f t="shared" si="17"/>
        <v>Does not Meet Target</v>
      </c>
      <c r="H95" t="s">
        <v>646</v>
      </c>
      <c r="I95" t="s">
        <v>651</v>
      </c>
      <c r="J95" t="s">
        <v>669</v>
      </c>
      <c r="K95" t="s">
        <v>701</v>
      </c>
      <c r="L95" t="s">
        <v>710</v>
      </c>
      <c r="M95" t="s">
        <v>721</v>
      </c>
      <c r="N95" t="s">
        <v>733</v>
      </c>
      <c r="O95" t="str" cm="1">
        <f t="array" ref="O95">_xlfn.IFS(S95&lt;=_xlfn.PERCENTILE.INC(IF(N95:N725=N95, S95:S725), 0.33), "Low", S95&lt;=_xlfn.PERCENTILE.INC(IF(N95:N725=N95, S95:S725), 0.66), "Medium", S95 &gt; _xlfn.PERCENTILE.INC(IF(N95:N725=N95, S95:S725), 0.66), "High")</f>
        <v>Medium</v>
      </c>
      <c r="P95" t="s">
        <v>827</v>
      </c>
      <c r="Q95" s="6">
        <v>412.09</v>
      </c>
      <c r="R95" s="6">
        <v>968.94</v>
      </c>
      <c r="S95" s="6">
        <v>968.94</v>
      </c>
      <c r="T95" s="9">
        <v>9.9000000000000005E-2</v>
      </c>
      <c r="U95" s="9">
        <f>IF(T95&gt;0.3, $AO$4, T95)</f>
        <v>9.9000000000000005E-2</v>
      </c>
      <c r="V95" s="7" t="str">
        <f t="shared" si="18"/>
        <v>Less than 20%</v>
      </c>
      <c r="W95" s="11">
        <v>23</v>
      </c>
      <c r="X95" s="6">
        <f t="shared" si="15"/>
        <v>20079.343620000003</v>
      </c>
      <c r="Y95" s="6">
        <f t="shared" si="16"/>
        <v>9478.07</v>
      </c>
      <c r="Z95" s="6">
        <f t="shared" si="19"/>
        <v>10601.273620000004</v>
      </c>
      <c r="AA95" s="9">
        <f t="shared" si="20"/>
        <v>0.52796913189137418</v>
      </c>
      <c r="AB95" s="9">
        <f>IF(U95&gt;'What-If Analysis'!$F$16, 'What-If Analysis'!$F$16,T95)</f>
        <v>9.9000000000000005E-2</v>
      </c>
      <c r="AC95" s="42">
        <f>S95*(1-AB95)</f>
        <v>873.01494000000002</v>
      </c>
      <c r="AD95" s="42">
        <f>Q95*(1+'What-If Analysis'!F110)</f>
        <v>412.09</v>
      </c>
      <c r="AE95" s="41">
        <f>W95*(1+'What-If Analysis'!$F$18)</f>
        <v>26.909999999999997</v>
      </c>
      <c r="AF95" s="42">
        <f t="shared" si="21"/>
        <v>23492.832035399999</v>
      </c>
      <c r="AG95" s="42">
        <f t="shared" si="22"/>
        <v>11089.341899999998</v>
      </c>
      <c r="AH95" s="42">
        <f t="shared" si="23"/>
        <v>12403.490135400001</v>
      </c>
      <c r="AI95" s="44">
        <f t="shared" si="24"/>
        <v>0.52796913189137418</v>
      </c>
      <c r="AJ95" s="42">
        <f t="shared" si="25"/>
        <v>3413.4884153999956</v>
      </c>
      <c r="AK95" s="42">
        <f t="shared" si="26"/>
        <v>10601.273620000004</v>
      </c>
      <c r="AL95" s="9">
        <f t="shared" si="27"/>
        <v>0</v>
      </c>
      <c r="AM95" s="42"/>
    </row>
    <row r="96" spans="1:39" x14ac:dyDescent="0.25">
      <c r="A96" t="s">
        <v>109</v>
      </c>
      <c r="B96" s="20">
        <v>45910</v>
      </c>
      <c r="C96" s="4">
        <v>45930</v>
      </c>
      <c r="D96" s="4" t="s">
        <v>1441</v>
      </c>
      <c r="E96" s="4">
        <v>45930</v>
      </c>
      <c r="F96" s="11">
        <f t="shared" si="14"/>
        <v>20</v>
      </c>
      <c r="G96" s="11" t="str">
        <f t="shared" si="17"/>
        <v>Does not Meet Target</v>
      </c>
      <c r="H96" t="s">
        <v>646</v>
      </c>
      <c r="I96" t="s">
        <v>650</v>
      </c>
      <c r="J96" t="s">
        <v>675</v>
      </c>
      <c r="K96" t="s">
        <v>701</v>
      </c>
      <c r="L96" t="s">
        <v>711</v>
      </c>
      <c r="M96" t="s">
        <v>716</v>
      </c>
      <c r="N96" t="s">
        <v>730</v>
      </c>
      <c r="O96" t="str" cm="1">
        <f t="array" ref="O96">_xlfn.IFS(S96&lt;=_xlfn.PERCENTILE.INC(IF(N96:N726=N96, S96:S726), 0.33), "Low", S96&lt;=_xlfn.PERCENTILE.INC(IF(N96:N726=N96, S96:S726), 0.66), "Medium", S96 &gt; _xlfn.PERCENTILE.INC(IF(N96:N726=N96, S96:S726), 0.66), "High")</f>
        <v>Medium</v>
      </c>
      <c r="P96" t="s">
        <v>828</v>
      </c>
      <c r="Q96" s="6">
        <v>1009.48</v>
      </c>
      <c r="R96" s="6">
        <v>1088.81</v>
      </c>
      <c r="S96" s="6">
        <v>1088.81</v>
      </c>
      <c r="T96" s="9">
        <v>0.16</v>
      </c>
      <c r="U96" s="9">
        <f>IF(T96&gt;0.3, $AO$4, T96)</f>
        <v>0.16</v>
      </c>
      <c r="V96" s="7" t="str">
        <f t="shared" si="18"/>
        <v>Less than 20%</v>
      </c>
      <c r="W96" s="11">
        <v>6</v>
      </c>
      <c r="X96" s="6">
        <f t="shared" si="15"/>
        <v>5487.6023999999998</v>
      </c>
      <c r="Y96" s="6">
        <f t="shared" si="16"/>
        <v>6056.88</v>
      </c>
      <c r="Z96" s="6">
        <f t="shared" si="19"/>
        <v>-569.27760000000035</v>
      </c>
      <c r="AA96" s="9">
        <f t="shared" si="20"/>
        <v>-0.10373885688219693</v>
      </c>
      <c r="AB96" s="9">
        <f>IF(U96&gt;'What-If Analysis'!$F$16, 'What-If Analysis'!$F$16,T96)</f>
        <v>0.16</v>
      </c>
      <c r="AC96" s="42">
        <f>S96*(1-AB96)</f>
        <v>914.60039999999992</v>
      </c>
      <c r="AD96" s="42">
        <f>Q96*(1+'What-If Analysis'!F111)</f>
        <v>1009.48</v>
      </c>
      <c r="AE96" s="41">
        <f>W96*(1+'What-If Analysis'!$F$18)</f>
        <v>7.02</v>
      </c>
      <c r="AF96" s="42">
        <f t="shared" si="21"/>
        <v>6420.4948079999995</v>
      </c>
      <c r="AG96" s="42">
        <f t="shared" si="22"/>
        <v>7086.5495999999994</v>
      </c>
      <c r="AH96" s="42">
        <f t="shared" si="23"/>
        <v>-666.05479199999991</v>
      </c>
      <c r="AI96" s="44">
        <f t="shared" si="24"/>
        <v>-0.10373885688219685</v>
      </c>
      <c r="AJ96" s="42">
        <f t="shared" si="25"/>
        <v>932.8924079999997</v>
      </c>
      <c r="AK96" s="42">
        <f t="shared" si="26"/>
        <v>-569.27760000000035</v>
      </c>
      <c r="AL96" s="9">
        <f t="shared" si="27"/>
        <v>0</v>
      </c>
      <c r="AM96" s="42"/>
    </row>
    <row r="97" spans="1:39" x14ac:dyDescent="0.25">
      <c r="A97" t="s">
        <v>110</v>
      </c>
      <c r="B97" s="20">
        <v>45022</v>
      </c>
      <c r="C97" s="4">
        <v>45043</v>
      </c>
      <c r="D97" s="4" t="s">
        <v>1442</v>
      </c>
      <c r="E97" s="4">
        <v>45043</v>
      </c>
      <c r="F97" s="11">
        <f t="shared" si="14"/>
        <v>21</v>
      </c>
      <c r="G97" s="11" t="str">
        <f t="shared" si="17"/>
        <v>Does not Meet Target</v>
      </c>
      <c r="H97" t="s">
        <v>649</v>
      </c>
      <c r="I97" t="s">
        <v>658</v>
      </c>
      <c r="J97" t="s">
        <v>693</v>
      </c>
      <c r="K97" t="s">
        <v>706</v>
      </c>
      <c r="L97" t="s">
        <v>710</v>
      </c>
      <c r="M97" t="s">
        <v>714</v>
      </c>
      <c r="N97" t="s">
        <v>728</v>
      </c>
      <c r="O97" t="str" cm="1">
        <f t="array" ref="O97">_xlfn.IFS(S97&lt;=_xlfn.PERCENTILE.INC(IF(N97:N727=N97, S97:S727), 0.33), "Low", S97&lt;=_xlfn.PERCENTILE.INC(IF(N97:N727=N97, S97:S727), 0.66), "Medium", S97 &gt; _xlfn.PERCENTILE.INC(IF(N97:N727=N97, S97:S727), 0.66), "High")</f>
        <v>High</v>
      </c>
      <c r="P97" t="s">
        <v>829</v>
      </c>
      <c r="Q97" s="6">
        <v>1084.79</v>
      </c>
      <c r="R97" s="6">
        <v>2484.9899999999998</v>
      </c>
      <c r="S97" s="6">
        <v>2484.9899999999998</v>
      </c>
      <c r="T97" s="9">
        <v>3.4000000000000002E-2</v>
      </c>
      <c r="U97" s="9">
        <f>IF(T97&gt;0.3, $AO$4, T97)</f>
        <v>3.4000000000000002E-2</v>
      </c>
      <c r="V97" s="7" t="str">
        <f t="shared" si="18"/>
        <v>Less than 20%</v>
      </c>
      <c r="W97" s="11">
        <v>18</v>
      </c>
      <c r="X97" s="6">
        <f t="shared" si="15"/>
        <v>43209.006119999991</v>
      </c>
      <c r="Y97" s="6">
        <f t="shared" si="16"/>
        <v>19526.22</v>
      </c>
      <c r="Z97" s="6">
        <f t="shared" si="19"/>
        <v>23682.78611999999</v>
      </c>
      <c r="AA97" s="9">
        <f t="shared" si="20"/>
        <v>0.54809837685755114</v>
      </c>
      <c r="AB97" s="9">
        <f>IF(U97&gt;'What-If Analysis'!$F$16, 'What-If Analysis'!$F$16,T97)</f>
        <v>3.4000000000000002E-2</v>
      </c>
      <c r="AC97" s="42">
        <f>S97*(1-AB97)</f>
        <v>2400.5003399999996</v>
      </c>
      <c r="AD97" s="42">
        <f>Q97*(1+'What-If Analysis'!F112)</f>
        <v>1084.79</v>
      </c>
      <c r="AE97" s="41">
        <f>W97*(1+'What-If Analysis'!$F$18)</f>
        <v>21.06</v>
      </c>
      <c r="AF97" s="42">
        <f t="shared" si="21"/>
        <v>50554.537160399988</v>
      </c>
      <c r="AG97" s="42">
        <f t="shared" si="22"/>
        <v>22845.677399999997</v>
      </c>
      <c r="AH97" s="42">
        <f t="shared" si="23"/>
        <v>27708.859760399992</v>
      </c>
      <c r="AI97" s="44">
        <f t="shared" si="24"/>
        <v>0.54809837685755125</v>
      </c>
      <c r="AJ97" s="42">
        <f t="shared" si="25"/>
        <v>7345.5310403999974</v>
      </c>
      <c r="AK97" s="42">
        <f t="shared" si="26"/>
        <v>23682.78611999999</v>
      </c>
      <c r="AL97" s="9">
        <f t="shared" si="27"/>
        <v>0</v>
      </c>
      <c r="AM97" s="42"/>
    </row>
    <row r="98" spans="1:39" x14ac:dyDescent="0.25">
      <c r="A98" t="s">
        <v>111</v>
      </c>
      <c r="B98" s="20">
        <v>45870</v>
      </c>
      <c r="C98" s="4">
        <v>45885</v>
      </c>
      <c r="D98" s="4" t="s">
        <v>1441</v>
      </c>
      <c r="E98" s="4">
        <v>45885</v>
      </c>
      <c r="F98" s="11">
        <f t="shared" si="14"/>
        <v>15</v>
      </c>
      <c r="G98" s="11" t="str">
        <f t="shared" si="17"/>
        <v>Does not Meet Target</v>
      </c>
      <c r="H98" t="s">
        <v>647</v>
      </c>
      <c r="I98" t="s">
        <v>654</v>
      </c>
      <c r="J98" t="s">
        <v>1422</v>
      </c>
      <c r="K98" t="s">
        <v>706</v>
      </c>
      <c r="L98" t="s">
        <v>711</v>
      </c>
      <c r="M98" t="s">
        <v>719</v>
      </c>
      <c r="N98" t="s">
        <v>732</v>
      </c>
      <c r="O98" t="str" cm="1">
        <f t="array" ref="O98">_xlfn.IFS(S98&lt;=_xlfn.PERCENTILE.INC(IF(N98:N728=N98, S98:S728), 0.33), "Low", S98&lt;=_xlfn.PERCENTILE.INC(IF(N98:N728=N98, S98:S728), 0.66), "Medium", S98 &gt; _xlfn.PERCENTILE.INC(IF(N98:N728=N98, S98:S728), 0.66), "High")</f>
        <v>Low</v>
      </c>
      <c r="P98" t="s">
        <v>830</v>
      </c>
      <c r="Q98" s="6">
        <v>24.44</v>
      </c>
      <c r="R98" s="6">
        <v>28.69</v>
      </c>
      <c r="S98" s="6">
        <v>28.69</v>
      </c>
      <c r="T98" s="9">
        <v>0.14599999999999999</v>
      </c>
      <c r="U98" s="9">
        <f>IF(T98&gt;0.3, $AO$4, T98)</f>
        <v>0.14599999999999999</v>
      </c>
      <c r="V98" s="7" t="str">
        <f t="shared" si="18"/>
        <v>Less than 20%</v>
      </c>
      <c r="W98" s="11">
        <v>6</v>
      </c>
      <c r="X98" s="6">
        <f t="shared" si="15"/>
        <v>147.00756000000001</v>
      </c>
      <c r="Y98" s="6">
        <f t="shared" si="16"/>
        <v>146.64000000000001</v>
      </c>
      <c r="Z98" s="6">
        <f t="shared" si="19"/>
        <v>0.36755999999999744</v>
      </c>
      <c r="AA98" s="9">
        <f t="shared" si="20"/>
        <v>2.5002795774584476E-3</v>
      </c>
      <c r="AB98" s="9">
        <f>IF(U98&gt;'What-If Analysis'!$F$16, 'What-If Analysis'!$F$16,T98)</f>
        <v>0.14599999999999999</v>
      </c>
      <c r="AC98" s="42">
        <f>S98*(1-AB98)</f>
        <v>24.501260000000002</v>
      </c>
      <c r="AD98" s="42">
        <f>Q98*(1+'What-If Analysis'!F113)</f>
        <v>24.44</v>
      </c>
      <c r="AE98" s="41">
        <f>W98*(1+'What-If Analysis'!$F$18)</f>
        <v>7.02</v>
      </c>
      <c r="AF98" s="42">
        <f t="shared" si="21"/>
        <v>171.99884520000001</v>
      </c>
      <c r="AG98" s="42">
        <f t="shared" si="22"/>
        <v>171.56880000000001</v>
      </c>
      <c r="AH98" s="42">
        <f t="shared" si="23"/>
        <v>0.43004519999999502</v>
      </c>
      <c r="AI98" s="44">
        <f t="shared" si="24"/>
        <v>2.5002795774584363E-3</v>
      </c>
      <c r="AJ98" s="42">
        <f t="shared" si="25"/>
        <v>24.991285199999993</v>
      </c>
      <c r="AK98" s="42">
        <f t="shared" si="26"/>
        <v>0.36755999999999744</v>
      </c>
      <c r="AL98" s="9">
        <f t="shared" si="27"/>
        <v>-1.1275702593849246E-17</v>
      </c>
      <c r="AM98" s="42"/>
    </row>
    <row r="99" spans="1:39" x14ac:dyDescent="0.25">
      <c r="A99" t="s">
        <v>112</v>
      </c>
      <c r="B99" s="20">
        <v>45440</v>
      </c>
      <c r="C99" s="4">
        <v>45438</v>
      </c>
      <c r="D99" s="4" t="s">
        <v>1439</v>
      </c>
      <c r="E99" s="4">
        <v>45458</v>
      </c>
      <c r="F99" s="11">
        <f t="shared" si="14"/>
        <v>18</v>
      </c>
      <c r="G99" s="11" t="str">
        <f t="shared" si="17"/>
        <v>Does not Meet Target</v>
      </c>
      <c r="H99" t="s">
        <v>646</v>
      </c>
      <c r="I99" t="s">
        <v>651</v>
      </c>
      <c r="J99" t="s">
        <v>669</v>
      </c>
      <c r="K99" t="s">
        <v>706</v>
      </c>
      <c r="L99" t="s">
        <v>708</v>
      </c>
      <c r="M99" t="s">
        <v>721</v>
      </c>
      <c r="N99" t="s">
        <v>733</v>
      </c>
      <c r="O99" t="str" cm="1">
        <f t="array" ref="O99">_xlfn.IFS(S99&lt;=_xlfn.PERCENTILE.INC(IF(N99:N729=N99, S99:S729), 0.33), "Low", S99&lt;=_xlfn.PERCENTILE.INC(IF(N99:N729=N99, S99:S729), 0.66), "Medium", S99 &gt; _xlfn.PERCENTILE.INC(IF(N99:N729=N99, S99:S729), 0.66), "High")</f>
        <v>High</v>
      </c>
      <c r="P99" t="s">
        <v>831</v>
      </c>
      <c r="Q99" s="6">
        <v>1227.08</v>
      </c>
      <c r="R99" s="6">
        <v>1896.62</v>
      </c>
      <c r="S99" s="6">
        <v>1896.62</v>
      </c>
      <c r="T99" s="9">
        <v>0</v>
      </c>
      <c r="U99" s="9">
        <f>IF(T99&gt;0.3, $AO$4, T99)</f>
        <v>0</v>
      </c>
      <c r="V99" s="7" t="str">
        <f t="shared" si="18"/>
        <v>Less than 20%</v>
      </c>
      <c r="W99" s="11">
        <v>18</v>
      </c>
      <c r="X99" s="6">
        <f t="shared" si="15"/>
        <v>34139.159999999996</v>
      </c>
      <c r="Y99" s="6">
        <f t="shared" si="16"/>
        <v>22087.439999999999</v>
      </c>
      <c r="Z99" s="6">
        <f t="shared" si="19"/>
        <v>12051.719999999998</v>
      </c>
      <c r="AA99" s="9">
        <f t="shared" si="20"/>
        <v>0.353017473189147</v>
      </c>
      <c r="AB99" s="9">
        <f>IF(U99&gt;'What-If Analysis'!$F$16, 'What-If Analysis'!$F$16,T99)</f>
        <v>0</v>
      </c>
      <c r="AC99" s="42">
        <f>S99*(1-AB99)</f>
        <v>1896.62</v>
      </c>
      <c r="AD99" s="42">
        <f>Q99*(1+'What-If Analysis'!F114)</f>
        <v>1227.08</v>
      </c>
      <c r="AE99" s="41">
        <f>W99*(1+'What-If Analysis'!$F$18)</f>
        <v>21.06</v>
      </c>
      <c r="AF99" s="42">
        <f t="shared" si="21"/>
        <v>39942.817199999998</v>
      </c>
      <c r="AG99" s="42">
        <f t="shared" si="22"/>
        <v>25842.304799999998</v>
      </c>
      <c r="AH99" s="42">
        <f t="shared" si="23"/>
        <v>14100.5124</v>
      </c>
      <c r="AI99" s="44">
        <f t="shared" si="24"/>
        <v>0.353017473189147</v>
      </c>
      <c r="AJ99" s="42">
        <f t="shared" si="25"/>
        <v>5803.6572000000015</v>
      </c>
      <c r="AK99" s="42">
        <f t="shared" si="26"/>
        <v>12051.719999999998</v>
      </c>
      <c r="AL99" s="9">
        <f t="shared" si="27"/>
        <v>0</v>
      </c>
      <c r="AM99" s="42"/>
    </row>
    <row r="100" spans="1:39" x14ac:dyDescent="0.25">
      <c r="A100" t="s">
        <v>113</v>
      </c>
      <c r="B100" s="20">
        <v>45860</v>
      </c>
      <c r="C100" s="4">
        <v>45887</v>
      </c>
      <c r="D100" s="4" t="s">
        <v>1441</v>
      </c>
      <c r="E100" s="4">
        <v>45887</v>
      </c>
      <c r="F100" s="11">
        <f t="shared" si="14"/>
        <v>27</v>
      </c>
      <c r="G100" s="11" t="str">
        <f t="shared" si="17"/>
        <v>Does not Meet Target</v>
      </c>
      <c r="H100" t="s">
        <v>647</v>
      </c>
      <c r="I100" t="s">
        <v>659</v>
      </c>
      <c r="J100" t="s">
        <v>676</v>
      </c>
      <c r="K100" t="s">
        <v>703</v>
      </c>
      <c r="L100" t="s">
        <v>709</v>
      </c>
      <c r="M100" t="s">
        <v>724</v>
      </c>
      <c r="N100" t="s">
        <v>729</v>
      </c>
      <c r="O100" t="str" cm="1">
        <f t="array" ref="O100">_xlfn.IFS(S100&lt;=_xlfn.PERCENTILE.INC(IF(N100:N730=N100, S100:S730), 0.33), "Low", S100&lt;=_xlfn.PERCENTILE.INC(IF(N100:N730=N100, S100:S730), 0.66), "Medium", S100 &gt; _xlfn.PERCENTILE.INC(IF(N100:N730=N100, S100:S730), 0.66), "High")</f>
        <v>Low</v>
      </c>
      <c r="P100" t="s">
        <v>832</v>
      </c>
      <c r="Q100" s="6">
        <v>547.32000000000005</v>
      </c>
      <c r="R100" s="6">
        <v>419.17</v>
      </c>
      <c r="S100" s="6">
        <v>419.17</v>
      </c>
      <c r="T100" s="9">
        <v>9.1999999999999998E-2</v>
      </c>
      <c r="U100" s="9">
        <f>IF(T100&gt;0.3, $AO$4, T100)</f>
        <v>9.1999999999999998E-2</v>
      </c>
      <c r="V100" s="7" t="str">
        <f t="shared" si="18"/>
        <v>Less than 20%</v>
      </c>
      <c r="W100" s="11">
        <v>14</v>
      </c>
      <c r="X100" s="6">
        <f t="shared" si="15"/>
        <v>5328.4890400000004</v>
      </c>
      <c r="Y100" s="6">
        <f t="shared" si="16"/>
        <v>7662.4800000000005</v>
      </c>
      <c r="Z100" s="6">
        <f t="shared" si="19"/>
        <v>-2333.9909600000001</v>
      </c>
      <c r="AA100" s="9">
        <f t="shared" si="20"/>
        <v>-0.43802116181137907</v>
      </c>
      <c r="AB100" s="9">
        <f>IF(U100&gt;'What-If Analysis'!$F$16, 'What-If Analysis'!$F$16,T100)</f>
        <v>9.1999999999999998E-2</v>
      </c>
      <c r="AC100" s="42">
        <f>S100*(1-AB100)</f>
        <v>380.60636000000005</v>
      </c>
      <c r="AD100" s="42">
        <f>Q100*(1+'What-If Analysis'!F115)</f>
        <v>547.32000000000005</v>
      </c>
      <c r="AE100" s="41">
        <f>W100*(1+'What-If Analysis'!$F$18)</f>
        <v>16.38</v>
      </c>
      <c r="AF100" s="42">
        <f t="shared" si="21"/>
        <v>6234.3321768000005</v>
      </c>
      <c r="AG100" s="42">
        <f t="shared" si="22"/>
        <v>8965.1016</v>
      </c>
      <c r="AH100" s="42">
        <f t="shared" si="23"/>
        <v>-2730.7694231999994</v>
      </c>
      <c r="AI100" s="44">
        <f t="shared" si="24"/>
        <v>-0.43802116181137896</v>
      </c>
      <c r="AJ100" s="42">
        <f t="shared" si="25"/>
        <v>905.84313680000014</v>
      </c>
      <c r="AK100" s="42">
        <f t="shared" si="26"/>
        <v>-2333.9909600000001</v>
      </c>
      <c r="AL100" s="9">
        <f t="shared" si="27"/>
        <v>0</v>
      </c>
      <c r="AM100" s="42"/>
    </row>
    <row r="101" spans="1:39" x14ac:dyDescent="0.25">
      <c r="A101" t="s">
        <v>114</v>
      </c>
      <c r="B101" s="20">
        <v>44985</v>
      </c>
      <c r="C101" s="4">
        <v>45005</v>
      </c>
      <c r="D101" s="4" t="s">
        <v>1436</v>
      </c>
      <c r="E101" s="4">
        <v>45005</v>
      </c>
      <c r="F101" s="11">
        <f t="shared" si="14"/>
        <v>20</v>
      </c>
      <c r="G101" s="11" t="str">
        <f t="shared" si="17"/>
        <v>Does not Meet Target</v>
      </c>
      <c r="H101" t="s">
        <v>649</v>
      </c>
      <c r="I101" t="s">
        <v>656</v>
      </c>
      <c r="J101" t="s">
        <v>671</v>
      </c>
      <c r="K101" t="s">
        <v>705</v>
      </c>
      <c r="L101" t="s">
        <v>711</v>
      </c>
      <c r="M101" t="s">
        <v>722</v>
      </c>
      <c r="N101" t="s">
        <v>731</v>
      </c>
      <c r="O101" t="str" cm="1">
        <f t="array" ref="O101">_xlfn.IFS(S101&lt;=_xlfn.PERCENTILE.INC(IF(N101:N731=N101, S101:S731), 0.33), "Low", S101&lt;=_xlfn.PERCENTILE.INC(IF(N101:N731=N101, S101:S731), 0.66), "Medium", S101 &gt; _xlfn.PERCENTILE.INC(IF(N101:N731=N101, S101:S731), 0.66), "High")</f>
        <v>High</v>
      </c>
      <c r="P101" t="s">
        <v>833</v>
      </c>
      <c r="Q101" s="6">
        <v>1200.78</v>
      </c>
      <c r="R101" s="6">
        <v>2001.17</v>
      </c>
      <c r="S101" s="6">
        <v>2001.17</v>
      </c>
      <c r="T101" s="9">
        <v>0.29199999999999998</v>
      </c>
      <c r="U101" s="9">
        <f>IF(T101&gt;0.3, $AO$4, T101)</f>
        <v>0.29199999999999998</v>
      </c>
      <c r="V101" s="7" t="str">
        <f t="shared" si="18"/>
        <v>Greater than 20%</v>
      </c>
      <c r="W101" s="11">
        <v>18</v>
      </c>
      <c r="X101" s="6">
        <f t="shared" si="15"/>
        <v>25502.910479999999</v>
      </c>
      <c r="Y101" s="6">
        <f t="shared" si="16"/>
        <v>21614.04</v>
      </c>
      <c r="Z101" s="6">
        <f t="shared" si="19"/>
        <v>3888.8704799999978</v>
      </c>
      <c r="AA101" s="9">
        <f t="shared" si="20"/>
        <v>0.15248732034132906</v>
      </c>
      <c r="AB101" s="9">
        <f>IF(U101&gt;'What-If Analysis'!$F$16, 'What-If Analysis'!$F$16,T101)</f>
        <v>0.17</v>
      </c>
      <c r="AC101" s="42">
        <f>S101*(1-AB101)</f>
        <v>1660.9711</v>
      </c>
      <c r="AD101" s="42">
        <f>Q101*(1+'What-If Analysis'!F116)</f>
        <v>1200.78</v>
      </c>
      <c r="AE101" s="41">
        <f>W101*(1+'What-If Analysis'!$F$18)</f>
        <v>21.06</v>
      </c>
      <c r="AF101" s="42">
        <f t="shared" si="21"/>
        <v>34980.051366</v>
      </c>
      <c r="AG101" s="42">
        <f t="shared" si="22"/>
        <v>25288.426799999997</v>
      </c>
      <c r="AH101" s="42">
        <f t="shared" si="23"/>
        <v>9691.6245660000022</v>
      </c>
      <c r="AI101" s="44">
        <f t="shared" si="24"/>
        <v>0.27706147325501335</v>
      </c>
      <c r="AJ101" s="42">
        <f t="shared" si="25"/>
        <v>9477.140886000001</v>
      </c>
      <c r="AK101" s="42">
        <f t="shared" si="26"/>
        <v>3888.8704799999978</v>
      </c>
      <c r="AL101" s="9">
        <f t="shared" si="27"/>
        <v>0.12457415291368429</v>
      </c>
      <c r="AM101" s="42"/>
    </row>
    <row r="102" spans="1:39" x14ac:dyDescent="0.25">
      <c r="A102" t="s">
        <v>115</v>
      </c>
      <c r="B102" s="20">
        <v>45684</v>
      </c>
      <c r="C102" s="4">
        <v>45703</v>
      </c>
      <c r="D102" s="4" t="s">
        <v>1437</v>
      </c>
      <c r="E102" s="4">
        <v>45703</v>
      </c>
      <c r="F102" s="11">
        <f t="shared" si="14"/>
        <v>19</v>
      </c>
      <c r="G102" s="11" t="str">
        <f t="shared" si="17"/>
        <v>Does not Meet Target</v>
      </c>
      <c r="H102" t="s">
        <v>647</v>
      </c>
      <c r="I102" t="s">
        <v>659</v>
      </c>
      <c r="J102" t="s">
        <v>676</v>
      </c>
      <c r="K102" t="s">
        <v>703</v>
      </c>
      <c r="L102" t="s">
        <v>711</v>
      </c>
      <c r="M102" t="s">
        <v>716</v>
      </c>
      <c r="N102" t="s">
        <v>730</v>
      </c>
      <c r="O102" t="str" cm="1">
        <f t="array" ref="O102">_xlfn.IFS(S102&lt;=_xlfn.PERCENTILE.INC(IF(N102:N732=N102, S102:S732), 0.33), "Low", S102&lt;=_xlfn.PERCENTILE.INC(IF(N102:N732=N102, S102:S732), 0.66), "Medium", S102 &gt; _xlfn.PERCENTILE.INC(IF(N102:N732=N102, S102:S732), 0.66), "High")</f>
        <v>High</v>
      </c>
      <c r="P102" t="s">
        <v>834</v>
      </c>
      <c r="Q102" s="6">
        <v>1253.22</v>
      </c>
      <c r="R102" s="6">
        <v>3104.71</v>
      </c>
      <c r="S102" s="6">
        <v>3104.71</v>
      </c>
      <c r="T102" s="9">
        <v>0</v>
      </c>
      <c r="U102" s="9">
        <f>IF(T102&gt;0.3, $AO$4, T102)</f>
        <v>0</v>
      </c>
      <c r="V102" s="7" t="str">
        <f t="shared" si="18"/>
        <v>Less than 20%</v>
      </c>
      <c r="W102" s="11">
        <v>17</v>
      </c>
      <c r="X102" s="6">
        <f t="shared" si="15"/>
        <v>52780.07</v>
      </c>
      <c r="Y102" s="6">
        <f t="shared" si="16"/>
        <v>21304.74</v>
      </c>
      <c r="Z102" s="6">
        <f t="shared" si="19"/>
        <v>31475.329999999998</v>
      </c>
      <c r="AA102" s="9">
        <f t="shared" si="20"/>
        <v>0.59634877331538205</v>
      </c>
      <c r="AB102" s="9">
        <f>IF(U102&gt;'What-If Analysis'!$F$16, 'What-If Analysis'!$F$16,T102)</f>
        <v>0</v>
      </c>
      <c r="AC102" s="42">
        <f>S102*(1-AB102)</f>
        <v>3104.71</v>
      </c>
      <c r="AD102" s="42">
        <f>Q102*(1+'What-If Analysis'!F117)</f>
        <v>1253.22</v>
      </c>
      <c r="AE102" s="41">
        <f>W102*(1+'What-If Analysis'!$F$18)</f>
        <v>19.89</v>
      </c>
      <c r="AF102" s="42">
        <f t="shared" si="21"/>
        <v>61752.681900000003</v>
      </c>
      <c r="AG102" s="42">
        <f t="shared" si="22"/>
        <v>24926.5458</v>
      </c>
      <c r="AH102" s="42">
        <f t="shared" si="23"/>
        <v>36826.136100000003</v>
      </c>
      <c r="AI102" s="44">
        <f t="shared" si="24"/>
        <v>0.59634877331538216</v>
      </c>
      <c r="AJ102" s="42">
        <f t="shared" si="25"/>
        <v>8972.6119000000035</v>
      </c>
      <c r="AK102" s="42">
        <f t="shared" si="26"/>
        <v>31475.329999999998</v>
      </c>
      <c r="AL102" s="9">
        <f t="shared" si="27"/>
        <v>0</v>
      </c>
      <c r="AM102" s="42"/>
    </row>
    <row r="103" spans="1:39" x14ac:dyDescent="0.25">
      <c r="A103" t="s">
        <v>116</v>
      </c>
      <c r="B103" s="20">
        <v>45304</v>
      </c>
      <c r="C103" s="4">
        <v>45313</v>
      </c>
      <c r="D103" s="4" t="s">
        <v>1434</v>
      </c>
      <c r="E103" s="4">
        <v>45313</v>
      </c>
      <c r="F103" s="11">
        <f t="shared" si="14"/>
        <v>9</v>
      </c>
      <c r="G103" s="11" t="str">
        <f t="shared" si="17"/>
        <v>Does not Meet Target</v>
      </c>
      <c r="H103" t="s">
        <v>647</v>
      </c>
      <c r="I103" t="s">
        <v>654</v>
      </c>
      <c r="J103" t="s">
        <v>691</v>
      </c>
      <c r="K103" t="s">
        <v>706</v>
      </c>
      <c r="L103" t="s">
        <v>709</v>
      </c>
      <c r="M103" t="s">
        <v>713</v>
      </c>
      <c r="N103" t="s">
        <v>727</v>
      </c>
      <c r="O103" t="str" cm="1">
        <f t="array" ref="O103">_xlfn.IFS(S103&lt;=_xlfn.PERCENTILE.INC(IF(N103:N733=N103, S103:S733), 0.33), "Low", S103&lt;=_xlfn.PERCENTILE.INC(IF(N103:N733=N103, S103:S733), 0.66), "Medium", S103 &gt; _xlfn.PERCENTILE.INC(IF(N103:N733=N103, S103:S733), 0.66), "High")</f>
        <v>Low</v>
      </c>
      <c r="P103" t="s">
        <v>835</v>
      </c>
      <c r="Q103" s="6">
        <v>313.60000000000002</v>
      </c>
      <c r="R103" s="6">
        <v>334.28</v>
      </c>
      <c r="S103" s="6">
        <v>334.28</v>
      </c>
      <c r="T103" s="9">
        <v>0.14000000000000001</v>
      </c>
      <c r="U103" s="9">
        <f>IF(T103&gt;0.3, $AO$4, T103)</f>
        <v>0.14000000000000001</v>
      </c>
      <c r="V103" s="7" t="str">
        <f t="shared" si="18"/>
        <v>Less than 20%</v>
      </c>
      <c r="W103" s="11">
        <v>22</v>
      </c>
      <c r="X103" s="6">
        <f t="shared" si="15"/>
        <v>6324.5775999999996</v>
      </c>
      <c r="Y103" s="6">
        <f t="shared" si="16"/>
        <v>6899.2000000000007</v>
      </c>
      <c r="Z103" s="6">
        <f t="shared" si="19"/>
        <v>-574.62240000000111</v>
      </c>
      <c r="AA103" s="9">
        <f t="shared" si="20"/>
        <v>-9.0855458868905517E-2</v>
      </c>
      <c r="AB103" s="9">
        <f>IF(U103&gt;'What-If Analysis'!$F$16, 'What-If Analysis'!$F$16,T103)</f>
        <v>0.14000000000000001</v>
      </c>
      <c r="AC103" s="42">
        <f>S103*(1-AB103)</f>
        <v>287.48079999999999</v>
      </c>
      <c r="AD103" s="42">
        <f>Q103*(1+'What-If Analysis'!F118)</f>
        <v>313.60000000000002</v>
      </c>
      <c r="AE103" s="41">
        <f>W103*(1+'What-If Analysis'!$F$18)</f>
        <v>25.74</v>
      </c>
      <c r="AF103" s="42">
        <f t="shared" si="21"/>
        <v>7399.755791999999</v>
      </c>
      <c r="AG103" s="42">
        <f t="shared" si="22"/>
        <v>8072.0640000000003</v>
      </c>
      <c r="AH103" s="42">
        <f t="shared" si="23"/>
        <v>-672.30820800000129</v>
      </c>
      <c r="AI103" s="44">
        <f t="shared" si="24"/>
        <v>-9.0855458868905517E-2</v>
      </c>
      <c r="AJ103" s="42">
        <f t="shared" si="25"/>
        <v>1075.1781919999994</v>
      </c>
      <c r="AK103" s="42">
        <f t="shared" si="26"/>
        <v>-574.62240000000111</v>
      </c>
      <c r="AL103" s="9">
        <f t="shared" si="27"/>
        <v>0</v>
      </c>
      <c r="AM103" s="42"/>
    </row>
    <row r="104" spans="1:39" x14ac:dyDescent="0.25">
      <c r="A104" t="s">
        <v>117</v>
      </c>
      <c r="B104" s="20">
        <v>45747</v>
      </c>
      <c r="C104" s="4">
        <v>45751</v>
      </c>
      <c r="D104" s="4" t="s">
        <v>1437</v>
      </c>
      <c r="E104" s="4">
        <v>45751</v>
      </c>
      <c r="F104" s="11">
        <f t="shared" si="14"/>
        <v>4</v>
      </c>
      <c r="G104" s="11" t="str">
        <f t="shared" si="17"/>
        <v>Meets Target</v>
      </c>
      <c r="H104" t="s">
        <v>646</v>
      </c>
      <c r="I104" t="s">
        <v>650</v>
      </c>
      <c r="J104" t="s">
        <v>678</v>
      </c>
      <c r="K104" t="s">
        <v>701</v>
      </c>
      <c r="L104" t="s">
        <v>711</v>
      </c>
      <c r="M104" t="s">
        <v>712</v>
      </c>
      <c r="N104" t="s">
        <v>731</v>
      </c>
      <c r="O104" t="str" cm="1">
        <f t="array" ref="O104">_xlfn.IFS(S104&lt;=_xlfn.PERCENTILE.INC(IF(N104:N734=N104, S104:S734), 0.33), "Low", S104&lt;=_xlfn.PERCENTILE.INC(IF(N104:N734=N104, S104:S734), 0.66), "Medium", S104 &gt; _xlfn.PERCENTILE.INC(IF(N104:N734=N104, S104:S734), 0.66), "High")</f>
        <v>High</v>
      </c>
      <c r="P104" t="s">
        <v>836</v>
      </c>
      <c r="Q104" s="6">
        <v>862.08</v>
      </c>
      <c r="R104" s="6">
        <v>1952.83</v>
      </c>
      <c r="S104" s="6">
        <v>1952.83</v>
      </c>
      <c r="T104" s="9">
        <v>0</v>
      </c>
      <c r="U104" s="9">
        <f>IF(T104&gt;0.3, $AO$4, T104)</f>
        <v>0</v>
      </c>
      <c r="V104" s="7" t="str">
        <f t="shared" si="18"/>
        <v>Less than 20%</v>
      </c>
      <c r="W104" s="11">
        <v>7</v>
      </c>
      <c r="X104" s="6">
        <f t="shared" si="15"/>
        <v>13669.81</v>
      </c>
      <c r="Y104" s="6">
        <f t="shared" si="16"/>
        <v>6034.56</v>
      </c>
      <c r="Z104" s="6">
        <f t="shared" si="19"/>
        <v>7635.2499999999991</v>
      </c>
      <c r="AA104" s="9">
        <f t="shared" si="20"/>
        <v>0.5585483631447693</v>
      </c>
      <c r="AB104" s="9">
        <f>IF(U104&gt;'What-If Analysis'!$F$16, 'What-If Analysis'!$F$16,T104)</f>
        <v>0</v>
      </c>
      <c r="AC104" s="42">
        <f>S104*(1-AB104)</f>
        <v>1952.83</v>
      </c>
      <c r="AD104" s="42">
        <f>Q104*(1+'What-If Analysis'!F119)</f>
        <v>862.08</v>
      </c>
      <c r="AE104" s="41">
        <f>W104*(1+'What-If Analysis'!$F$18)</f>
        <v>8.19</v>
      </c>
      <c r="AF104" s="42">
        <f t="shared" si="21"/>
        <v>15993.677699999998</v>
      </c>
      <c r="AG104" s="42">
        <f t="shared" si="22"/>
        <v>7060.4351999999999</v>
      </c>
      <c r="AH104" s="42">
        <f t="shared" si="23"/>
        <v>8933.2424999999985</v>
      </c>
      <c r="AI104" s="44">
        <f t="shared" si="24"/>
        <v>0.5585483631447693</v>
      </c>
      <c r="AJ104" s="42">
        <f t="shared" si="25"/>
        <v>2323.8676999999989</v>
      </c>
      <c r="AK104" s="42">
        <f t="shared" si="26"/>
        <v>7635.2499999999991</v>
      </c>
      <c r="AL104" s="9">
        <f t="shared" si="27"/>
        <v>0</v>
      </c>
      <c r="AM104" s="42"/>
    </row>
    <row r="105" spans="1:39" x14ac:dyDescent="0.25">
      <c r="A105" t="s">
        <v>118</v>
      </c>
      <c r="B105" s="20">
        <v>45631</v>
      </c>
      <c r="C105" s="4">
        <v>45654</v>
      </c>
      <c r="D105" s="4" t="s">
        <v>1435</v>
      </c>
      <c r="E105" s="4">
        <v>45654</v>
      </c>
      <c r="F105" s="11">
        <f t="shared" si="14"/>
        <v>23</v>
      </c>
      <c r="G105" s="11" t="str">
        <f t="shared" si="17"/>
        <v>Does not Meet Target</v>
      </c>
      <c r="H105" t="s">
        <v>648</v>
      </c>
      <c r="I105" t="s">
        <v>653</v>
      </c>
      <c r="J105" t="s">
        <v>688</v>
      </c>
      <c r="K105" t="s">
        <v>701</v>
      </c>
      <c r="L105" t="s">
        <v>711</v>
      </c>
      <c r="M105" t="s">
        <v>721</v>
      </c>
      <c r="N105" t="s">
        <v>733</v>
      </c>
      <c r="O105" t="str" cm="1">
        <f t="array" ref="O105">_xlfn.IFS(S105&lt;=_xlfn.PERCENTILE.INC(IF(N105:N735=N105, S105:S735), 0.33), "Low", S105&lt;=_xlfn.PERCENTILE.INC(IF(N105:N735=N105, S105:S735), 0.66), "Medium", S105 &gt; _xlfn.PERCENTILE.INC(IF(N105:N735=N105, S105:S735), 0.66), "High")</f>
        <v>Low</v>
      </c>
      <c r="P105" t="s">
        <v>837</v>
      </c>
      <c r="Q105" s="6">
        <v>107.03</v>
      </c>
      <c r="R105" s="6">
        <v>242.29</v>
      </c>
      <c r="S105" s="6">
        <v>242.29</v>
      </c>
      <c r="T105" s="9">
        <v>0.18</v>
      </c>
      <c r="U105" s="9">
        <f>IF(T105&gt;0.3, $AO$4, T105)</f>
        <v>0.18</v>
      </c>
      <c r="V105" s="7" t="str">
        <f t="shared" si="18"/>
        <v>Less than 20%</v>
      </c>
      <c r="W105" s="11">
        <v>30</v>
      </c>
      <c r="X105" s="6">
        <f t="shared" si="15"/>
        <v>5960.3340000000007</v>
      </c>
      <c r="Y105" s="6">
        <f t="shared" si="16"/>
        <v>3210.9</v>
      </c>
      <c r="Z105" s="6">
        <f t="shared" si="19"/>
        <v>2749.4340000000007</v>
      </c>
      <c r="AA105" s="9">
        <f t="shared" si="20"/>
        <v>0.46128857879440988</v>
      </c>
      <c r="AB105" s="9">
        <f>IF(U105&gt;'What-If Analysis'!$F$16, 'What-If Analysis'!$F$16,T105)</f>
        <v>0.17</v>
      </c>
      <c r="AC105" s="42">
        <f>S105*(1-AB105)</f>
        <v>201.10069999999999</v>
      </c>
      <c r="AD105" s="42">
        <f>Q105*(1+'What-If Analysis'!F120)</f>
        <v>107.03</v>
      </c>
      <c r="AE105" s="41">
        <f>W105*(1+'What-If Analysis'!$F$18)</f>
        <v>35.099999999999994</v>
      </c>
      <c r="AF105" s="42">
        <f t="shared" si="21"/>
        <v>7058.6345699999983</v>
      </c>
      <c r="AG105" s="42">
        <f t="shared" si="22"/>
        <v>3756.7529999999992</v>
      </c>
      <c r="AH105" s="42">
        <f t="shared" si="23"/>
        <v>3301.8815699999991</v>
      </c>
      <c r="AI105" s="44">
        <f t="shared" si="24"/>
        <v>0.4677790778450796</v>
      </c>
      <c r="AJ105" s="42">
        <f t="shared" si="25"/>
        <v>1098.3005699999976</v>
      </c>
      <c r="AK105" s="42">
        <f t="shared" si="26"/>
        <v>2749.4340000000007</v>
      </c>
      <c r="AL105" s="9">
        <f t="shared" si="27"/>
        <v>6.4904990506697291E-3</v>
      </c>
      <c r="AM105" s="42"/>
    </row>
    <row r="106" spans="1:39" x14ac:dyDescent="0.25">
      <c r="A106" t="s">
        <v>119</v>
      </c>
      <c r="B106" s="20">
        <v>45549</v>
      </c>
      <c r="C106" s="4">
        <v>45570</v>
      </c>
      <c r="D106" s="4" t="s">
        <v>1443</v>
      </c>
      <c r="E106" s="4">
        <v>45570</v>
      </c>
      <c r="F106" s="11">
        <f t="shared" si="14"/>
        <v>21</v>
      </c>
      <c r="G106" s="11" t="str">
        <f t="shared" si="17"/>
        <v>Does not Meet Target</v>
      </c>
      <c r="H106" t="s">
        <v>647</v>
      </c>
      <c r="I106" t="s">
        <v>659</v>
      </c>
      <c r="J106" t="s">
        <v>685</v>
      </c>
      <c r="K106" t="s">
        <v>705</v>
      </c>
      <c r="L106" t="s">
        <v>708</v>
      </c>
      <c r="M106" t="s">
        <v>722</v>
      </c>
      <c r="N106" t="s">
        <v>731</v>
      </c>
      <c r="O106" t="str" cm="1">
        <f t="array" ref="O106">_xlfn.IFS(S106&lt;=_xlfn.PERCENTILE.INC(IF(N106:N736=N106, S106:S736), 0.33), "Low", S106&lt;=_xlfn.PERCENTILE.INC(IF(N106:N736=N106, S106:S736), 0.66), "Medium", S106 &gt; _xlfn.PERCENTILE.INC(IF(N106:N736=N106, S106:S736), 0.66), "High")</f>
        <v>High</v>
      </c>
      <c r="P106" t="s">
        <v>838</v>
      </c>
      <c r="Q106" s="6">
        <v>1405.56</v>
      </c>
      <c r="R106" s="6">
        <v>2968.87</v>
      </c>
      <c r="S106" s="6">
        <v>2968.87</v>
      </c>
      <c r="T106" s="9">
        <v>0.16900000000000001</v>
      </c>
      <c r="U106" s="9">
        <f>IF(T106&gt;0.3, $AO$4, T106)</f>
        <v>0.16900000000000001</v>
      </c>
      <c r="V106" s="7" t="str">
        <f t="shared" si="18"/>
        <v>Less than 20%</v>
      </c>
      <c r="W106" s="11">
        <v>5</v>
      </c>
      <c r="X106" s="6">
        <f t="shared" si="15"/>
        <v>12335.654849999999</v>
      </c>
      <c r="Y106" s="6">
        <f t="shared" si="16"/>
        <v>7027.7999999999993</v>
      </c>
      <c r="Z106" s="6">
        <f t="shared" si="19"/>
        <v>5307.8548499999997</v>
      </c>
      <c r="AA106" s="9">
        <f t="shared" si="20"/>
        <v>0.4302856163327235</v>
      </c>
      <c r="AB106" s="9">
        <f>IF(U106&gt;'What-If Analysis'!$F$16, 'What-If Analysis'!$F$16,T106)</f>
        <v>0.16900000000000001</v>
      </c>
      <c r="AC106" s="42">
        <f>S106*(1-AB106)</f>
        <v>2467.1309699999997</v>
      </c>
      <c r="AD106" s="42">
        <f>Q106*(1+'What-If Analysis'!F121)</f>
        <v>1405.56</v>
      </c>
      <c r="AE106" s="41">
        <f>W106*(1+'What-If Analysis'!$F$18)</f>
        <v>5.85</v>
      </c>
      <c r="AF106" s="42">
        <f t="shared" si="21"/>
        <v>14432.716174499998</v>
      </c>
      <c r="AG106" s="42">
        <f t="shared" si="22"/>
        <v>8222.5259999999998</v>
      </c>
      <c r="AH106" s="42">
        <f t="shared" si="23"/>
        <v>6210.1901744999977</v>
      </c>
      <c r="AI106" s="44">
        <f t="shared" si="24"/>
        <v>0.43028561633272344</v>
      </c>
      <c r="AJ106" s="42">
        <f t="shared" si="25"/>
        <v>2097.0613244999986</v>
      </c>
      <c r="AK106" s="42">
        <f t="shared" si="26"/>
        <v>5307.8548499999997</v>
      </c>
      <c r="AL106" s="9">
        <f t="shared" si="27"/>
        <v>0</v>
      </c>
      <c r="AM106" s="42"/>
    </row>
    <row r="107" spans="1:39" x14ac:dyDescent="0.25">
      <c r="A107" t="s">
        <v>120</v>
      </c>
      <c r="B107" s="20">
        <v>45433</v>
      </c>
      <c r="C107" s="4">
        <v>45439</v>
      </c>
      <c r="D107" s="4" t="s">
        <v>1439</v>
      </c>
      <c r="E107" s="4">
        <v>45439</v>
      </c>
      <c r="F107" s="11">
        <f t="shared" si="14"/>
        <v>6</v>
      </c>
      <c r="G107" s="11" t="str">
        <f t="shared" si="17"/>
        <v>Meets Target</v>
      </c>
      <c r="H107" t="s">
        <v>646</v>
      </c>
      <c r="I107" t="s">
        <v>661</v>
      </c>
      <c r="J107" t="s">
        <v>682</v>
      </c>
      <c r="K107" t="s">
        <v>703</v>
      </c>
      <c r="L107" t="s">
        <v>708</v>
      </c>
      <c r="M107" t="s">
        <v>724</v>
      </c>
      <c r="N107" t="s">
        <v>727</v>
      </c>
      <c r="O107" t="str" cm="1">
        <f t="array" ref="O107">_xlfn.IFS(S107&lt;=_xlfn.PERCENTILE.INC(IF(N107:N737=N107, S107:S737), 0.33), "Low", S107&lt;=_xlfn.PERCENTILE.INC(IF(N107:N737=N107, S107:S737), 0.66), "Medium", S107 &gt; _xlfn.PERCENTILE.INC(IF(N107:N737=N107, S107:S737), 0.66), "High")</f>
        <v>Medium</v>
      </c>
      <c r="P107" t="s">
        <v>839</v>
      </c>
      <c r="Q107" s="6">
        <v>1157.51</v>
      </c>
      <c r="R107" s="6">
        <v>1394.3</v>
      </c>
      <c r="S107" s="6">
        <v>1394.3</v>
      </c>
      <c r="T107" s="9">
        <v>0.27800000000000002</v>
      </c>
      <c r="U107" s="9">
        <f>IF(T107&gt;0.3, $AO$4, T107)</f>
        <v>0.27800000000000002</v>
      </c>
      <c r="V107" s="7" t="str">
        <f t="shared" si="18"/>
        <v>Greater than 20%</v>
      </c>
      <c r="W107" s="11">
        <v>12</v>
      </c>
      <c r="X107" s="6">
        <f t="shared" si="15"/>
        <v>12080.215199999999</v>
      </c>
      <c r="Y107" s="6">
        <f t="shared" si="16"/>
        <v>13890.119999999999</v>
      </c>
      <c r="Z107" s="6">
        <f t="shared" si="19"/>
        <v>-1809.9048000000003</v>
      </c>
      <c r="AA107" s="9">
        <f t="shared" si="20"/>
        <v>-0.14982388724333326</v>
      </c>
      <c r="AB107" s="9">
        <f>IF(U107&gt;'What-If Analysis'!$F$16, 'What-If Analysis'!$F$16,T107)</f>
        <v>0.17</v>
      </c>
      <c r="AC107" s="42">
        <f>S107*(1-AB107)</f>
        <v>1157.269</v>
      </c>
      <c r="AD107" s="42">
        <f>Q107*(1+'What-If Analysis'!F122)</f>
        <v>1157.51</v>
      </c>
      <c r="AE107" s="41">
        <f>W107*(1+'What-If Analysis'!$F$18)</f>
        <v>14.04</v>
      </c>
      <c r="AF107" s="42">
        <f t="shared" si="21"/>
        <v>16248.056759999999</v>
      </c>
      <c r="AG107" s="42">
        <f t="shared" si="22"/>
        <v>16251.440399999999</v>
      </c>
      <c r="AH107" s="42">
        <f t="shared" si="23"/>
        <v>-3.383640000000014</v>
      </c>
      <c r="AI107" s="44">
        <f t="shared" si="24"/>
        <v>-2.0824890323684555E-4</v>
      </c>
      <c r="AJ107" s="42">
        <f t="shared" si="25"/>
        <v>4167.8415600000008</v>
      </c>
      <c r="AK107" s="42">
        <f t="shared" si="26"/>
        <v>-1809.9048000000003</v>
      </c>
      <c r="AL107" s="9">
        <f t="shared" si="27"/>
        <v>0.14961563834009642</v>
      </c>
      <c r="AM107" s="42"/>
    </row>
    <row r="108" spans="1:39" x14ac:dyDescent="0.25">
      <c r="A108" t="s">
        <v>121</v>
      </c>
      <c r="B108" s="20">
        <v>45057</v>
      </c>
      <c r="C108" s="4">
        <v>45084</v>
      </c>
      <c r="D108" s="4" t="s">
        <v>1442</v>
      </c>
      <c r="E108" s="4">
        <v>45084</v>
      </c>
      <c r="F108" s="11">
        <f t="shared" si="14"/>
        <v>27</v>
      </c>
      <c r="G108" s="11" t="str">
        <f t="shared" si="17"/>
        <v>Does not Meet Target</v>
      </c>
      <c r="H108" t="s">
        <v>646</v>
      </c>
      <c r="I108" t="s">
        <v>650</v>
      </c>
      <c r="J108" t="s">
        <v>675</v>
      </c>
      <c r="K108" t="s">
        <v>701</v>
      </c>
      <c r="L108" t="s">
        <v>708</v>
      </c>
      <c r="M108" t="s">
        <v>713</v>
      </c>
      <c r="N108" t="s">
        <v>730</v>
      </c>
      <c r="O108" t="str" cm="1">
        <f t="array" ref="O108">_xlfn.IFS(S108&lt;=_xlfn.PERCENTILE.INC(IF(N108:N738=N108, S108:S738), 0.33), "Low", S108&lt;=_xlfn.PERCENTILE.INC(IF(N108:N738=N108, S108:S738), 0.66), "Medium", S108 &gt; _xlfn.PERCENTILE.INC(IF(N108:N738=N108, S108:S738), 0.66), "High")</f>
        <v>Low</v>
      </c>
      <c r="P108" t="s">
        <v>840</v>
      </c>
      <c r="Q108" s="6">
        <v>12.85</v>
      </c>
      <c r="R108" s="6">
        <v>15.41</v>
      </c>
      <c r="S108" s="6">
        <v>15.41</v>
      </c>
      <c r="T108" s="9">
        <v>0.13700000000000001</v>
      </c>
      <c r="U108" s="9">
        <f>IF(T108&gt;0.3, $AO$4, T108)</f>
        <v>0.13700000000000001</v>
      </c>
      <c r="V108" s="7" t="str">
        <f t="shared" si="18"/>
        <v>Less than 20%</v>
      </c>
      <c r="W108" s="11">
        <v>39</v>
      </c>
      <c r="X108" s="6">
        <f t="shared" si="15"/>
        <v>518.65436999999997</v>
      </c>
      <c r="Y108" s="6">
        <f t="shared" si="16"/>
        <v>501.15</v>
      </c>
      <c r="Z108" s="6">
        <f t="shared" si="19"/>
        <v>17.504369999999994</v>
      </c>
      <c r="AA108" s="9">
        <f t="shared" si="20"/>
        <v>3.3749585489851353E-2</v>
      </c>
      <c r="AB108" s="9">
        <f>IF(U108&gt;'What-If Analysis'!$F$16, 'What-If Analysis'!$F$16,T108)</f>
        <v>0.13700000000000001</v>
      </c>
      <c r="AC108" s="42">
        <f>S108*(1-AB108)</f>
        <v>13.298830000000001</v>
      </c>
      <c r="AD108" s="42">
        <f>Q108*(1+'What-If Analysis'!F123)</f>
        <v>12.85</v>
      </c>
      <c r="AE108" s="41">
        <f>W108*(1+'What-If Analysis'!$F$18)</f>
        <v>45.629999999999995</v>
      </c>
      <c r="AF108" s="42">
        <f t="shared" si="21"/>
        <v>606.82561290000001</v>
      </c>
      <c r="AG108" s="42">
        <f t="shared" si="22"/>
        <v>586.3454999999999</v>
      </c>
      <c r="AH108" s="42">
        <f t="shared" si="23"/>
        <v>20.480112900000108</v>
      </c>
      <c r="AI108" s="44">
        <f t="shared" si="24"/>
        <v>3.374958548985154E-2</v>
      </c>
      <c r="AJ108" s="42">
        <f t="shared" si="25"/>
        <v>88.171242900000038</v>
      </c>
      <c r="AK108" s="42">
        <f t="shared" si="26"/>
        <v>17.504369999999994</v>
      </c>
      <c r="AL108" s="9">
        <f t="shared" si="27"/>
        <v>1.8735013540549517E-16</v>
      </c>
      <c r="AM108" s="42"/>
    </row>
    <row r="109" spans="1:39" x14ac:dyDescent="0.25">
      <c r="A109" t="s">
        <v>122</v>
      </c>
      <c r="B109" s="20">
        <v>45518</v>
      </c>
      <c r="C109" s="4">
        <v>45539</v>
      </c>
      <c r="D109" s="4" t="s">
        <v>1443</v>
      </c>
      <c r="E109" s="4">
        <v>45539</v>
      </c>
      <c r="F109" s="11">
        <f t="shared" si="14"/>
        <v>21</v>
      </c>
      <c r="G109" s="11" t="str">
        <f t="shared" si="17"/>
        <v>Does not Meet Target</v>
      </c>
      <c r="H109" t="s">
        <v>649</v>
      </c>
      <c r="I109" t="s">
        <v>658</v>
      </c>
      <c r="J109" t="s">
        <v>693</v>
      </c>
      <c r="K109" t="s">
        <v>703</v>
      </c>
      <c r="L109" t="s">
        <v>708</v>
      </c>
      <c r="M109" t="s">
        <v>713</v>
      </c>
      <c r="N109" t="s">
        <v>730</v>
      </c>
      <c r="O109" t="str" cm="1">
        <f t="array" ref="O109">_xlfn.IFS(S109&lt;=_xlfn.PERCENTILE.INC(IF(N109:N739=N109, S109:S739), 0.33), "Low", S109&lt;=_xlfn.PERCENTILE.INC(IF(N109:N739=N109, S109:S739), 0.66), "Medium", S109 &gt; _xlfn.PERCENTILE.INC(IF(N109:N739=N109, S109:S739), 0.66), "High")</f>
        <v>High</v>
      </c>
      <c r="P109" t="s">
        <v>841</v>
      </c>
      <c r="Q109" s="6">
        <v>1138.8</v>
      </c>
      <c r="R109" s="6">
        <v>2250.81</v>
      </c>
      <c r="S109" s="6">
        <v>2250.81</v>
      </c>
      <c r="T109" s="9">
        <v>0.123</v>
      </c>
      <c r="U109" s="9">
        <f>IF(T109&gt;0.3, $AO$4, T109)</f>
        <v>0.123</v>
      </c>
      <c r="V109" s="7" t="str">
        <f t="shared" si="18"/>
        <v>Less than 20%</v>
      </c>
      <c r="W109" s="11">
        <v>12</v>
      </c>
      <c r="X109" s="6">
        <f t="shared" si="15"/>
        <v>23687.524440000001</v>
      </c>
      <c r="Y109" s="6">
        <f t="shared" si="16"/>
        <v>13665.599999999999</v>
      </c>
      <c r="Z109" s="6">
        <f t="shared" si="19"/>
        <v>10021.924440000003</v>
      </c>
      <c r="AA109" s="9">
        <f t="shared" si="20"/>
        <v>0.42308872188756258</v>
      </c>
      <c r="AB109" s="9">
        <f>IF(U109&gt;'What-If Analysis'!$F$16, 'What-If Analysis'!$F$16,T109)</f>
        <v>0.123</v>
      </c>
      <c r="AC109" s="42">
        <f>S109*(1-AB109)</f>
        <v>1973.96037</v>
      </c>
      <c r="AD109" s="42">
        <f>Q109*(1+'What-If Analysis'!F124)</f>
        <v>1138.8</v>
      </c>
      <c r="AE109" s="41">
        <f>W109*(1+'What-If Analysis'!$F$18)</f>
        <v>14.04</v>
      </c>
      <c r="AF109" s="42">
        <f t="shared" si="21"/>
        <v>27714.403594799998</v>
      </c>
      <c r="AG109" s="42">
        <f t="shared" si="22"/>
        <v>15988.751999999999</v>
      </c>
      <c r="AH109" s="42">
        <f t="shared" si="23"/>
        <v>11725.6515948</v>
      </c>
      <c r="AI109" s="44">
        <f t="shared" si="24"/>
        <v>0.42308872188756252</v>
      </c>
      <c r="AJ109" s="42">
        <f t="shared" si="25"/>
        <v>4026.8791547999972</v>
      </c>
      <c r="AK109" s="42">
        <f t="shared" si="26"/>
        <v>10021.924440000003</v>
      </c>
      <c r="AL109" s="9">
        <f t="shared" si="27"/>
        <v>0</v>
      </c>
      <c r="AM109" s="42"/>
    </row>
    <row r="110" spans="1:39" x14ac:dyDescent="0.25">
      <c r="A110" t="s">
        <v>123</v>
      </c>
      <c r="B110" s="20">
        <v>45581</v>
      </c>
      <c r="C110" s="4">
        <v>45604</v>
      </c>
      <c r="D110" s="4" t="s">
        <v>1435</v>
      </c>
      <c r="E110" s="4">
        <v>45604</v>
      </c>
      <c r="F110" s="11">
        <f t="shared" si="14"/>
        <v>23</v>
      </c>
      <c r="G110" s="11" t="str">
        <f t="shared" si="17"/>
        <v>Does not Meet Target</v>
      </c>
      <c r="H110" t="s">
        <v>647</v>
      </c>
      <c r="I110" t="s">
        <v>652</v>
      </c>
      <c r="J110" t="s">
        <v>666</v>
      </c>
      <c r="K110" t="s">
        <v>705</v>
      </c>
      <c r="L110" t="s">
        <v>707</v>
      </c>
      <c r="M110" t="s">
        <v>713</v>
      </c>
      <c r="N110" t="s">
        <v>729</v>
      </c>
      <c r="O110" t="str" cm="1">
        <f t="array" ref="O110">_xlfn.IFS(S110&lt;=_xlfn.PERCENTILE.INC(IF(N110:N740=N110, S110:S740), 0.33), "Low", S110&lt;=_xlfn.PERCENTILE.INC(IF(N110:N740=N110, S110:S740), 0.66), "Medium", S110 &gt; _xlfn.PERCENTILE.INC(IF(N110:N740=N110, S110:S740), 0.66), "High")</f>
        <v>Low</v>
      </c>
      <c r="P110" t="s">
        <v>842</v>
      </c>
      <c r="Q110" s="6">
        <v>82.14</v>
      </c>
      <c r="R110" s="6">
        <v>166.04</v>
      </c>
      <c r="S110" s="6">
        <v>166.04</v>
      </c>
      <c r="T110" s="9">
        <v>0</v>
      </c>
      <c r="U110" s="9">
        <f>IF(T110&gt;0.3, $AO$4, T110)</f>
        <v>0</v>
      </c>
      <c r="V110" s="7" t="str">
        <f t="shared" si="18"/>
        <v>Less than 20%</v>
      </c>
      <c r="W110" s="11">
        <v>10</v>
      </c>
      <c r="X110" s="6">
        <f t="shared" si="15"/>
        <v>1660.3999999999999</v>
      </c>
      <c r="Y110" s="6">
        <f t="shared" si="16"/>
        <v>821.4</v>
      </c>
      <c r="Z110" s="6">
        <f t="shared" si="19"/>
        <v>838.99999999999989</v>
      </c>
      <c r="AA110" s="9">
        <f t="shared" si="20"/>
        <v>0.50529992772825827</v>
      </c>
      <c r="AB110" s="9">
        <f>IF(U110&gt;'What-If Analysis'!$F$16, 'What-If Analysis'!$F$16,T110)</f>
        <v>0</v>
      </c>
      <c r="AC110" s="42">
        <f>S110*(1-AB110)</f>
        <v>166.04</v>
      </c>
      <c r="AD110" s="42">
        <f>Q110*(1+'What-If Analysis'!F125)</f>
        <v>82.14</v>
      </c>
      <c r="AE110" s="41">
        <f>W110*(1+'What-If Analysis'!$F$18)</f>
        <v>11.7</v>
      </c>
      <c r="AF110" s="42">
        <f t="shared" si="21"/>
        <v>1942.6679999999999</v>
      </c>
      <c r="AG110" s="42">
        <f t="shared" si="22"/>
        <v>961.0379999999999</v>
      </c>
      <c r="AH110" s="42">
        <f t="shared" si="23"/>
        <v>981.63</v>
      </c>
      <c r="AI110" s="44">
        <f t="shared" si="24"/>
        <v>0.50529992772825827</v>
      </c>
      <c r="AJ110" s="42">
        <f t="shared" si="25"/>
        <v>282.26800000000003</v>
      </c>
      <c r="AK110" s="42">
        <f t="shared" si="26"/>
        <v>838.99999999999989</v>
      </c>
      <c r="AL110" s="9">
        <f t="shared" si="27"/>
        <v>0</v>
      </c>
      <c r="AM110" s="42"/>
    </row>
    <row r="111" spans="1:39" x14ac:dyDescent="0.25">
      <c r="A111" t="s">
        <v>124</v>
      </c>
      <c r="B111" s="20">
        <v>45445</v>
      </c>
      <c r="C111" s="4">
        <v>45451</v>
      </c>
      <c r="D111" s="4" t="s">
        <v>1439</v>
      </c>
      <c r="E111" s="4">
        <v>45451</v>
      </c>
      <c r="F111" s="11">
        <f t="shared" si="14"/>
        <v>6</v>
      </c>
      <c r="G111" s="11" t="str">
        <f t="shared" si="17"/>
        <v>Meets Target</v>
      </c>
      <c r="H111" t="s">
        <v>646</v>
      </c>
      <c r="I111" t="s">
        <v>650</v>
      </c>
      <c r="J111" t="s">
        <v>662</v>
      </c>
      <c r="K111" t="s">
        <v>704</v>
      </c>
      <c r="L111" t="s">
        <v>709</v>
      </c>
      <c r="M111" t="s">
        <v>720</v>
      </c>
      <c r="N111" t="s">
        <v>733</v>
      </c>
      <c r="O111" t="str" cm="1">
        <f t="array" ref="O111">_xlfn.IFS(S111&lt;=_xlfn.PERCENTILE.INC(IF(N111:N741=N111, S111:S741), 0.33), "Low", S111&lt;=_xlfn.PERCENTILE.INC(IF(N111:N741=N111, S111:S741), 0.66), "Medium", S111 &gt; _xlfn.PERCENTILE.INC(IF(N111:N741=N111, S111:S741), 0.66), "High")</f>
        <v>Low</v>
      </c>
      <c r="P111" t="s">
        <v>843</v>
      </c>
      <c r="Q111" s="6">
        <v>292.94</v>
      </c>
      <c r="R111" s="6">
        <v>356.55</v>
      </c>
      <c r="S111" s="6">
        <v>356.55</v>
      </c>
      <c r="T111" s="9">
        <v>0.22900000000000001</v>
      </c>
      <c r="U111" s="9">
        <f>IF(T111&gt;0.3, $AO$4, T111)</f>
        <v>0.22900000000000001</v>
      </c>
      <c r="V111" s="7" t="str">
        <f t="shared" si="18"/>
        <v>Greater than 20%</v>
      </c>
      <c r="W111" s="11">
        <v>2</v>
      </c>
      <c r="X111" s="6">
        <f t="shared" si="15"/>
        <v>549.80010000000004</v>
      </c>
      <c r="Y111" s="6">
        <f t="shared" si="16"/>
        <v>585.88</v>
      </c>
      <c r="Z111" s="6">
        <f t="shared" si="19"/>
        <v>-36.079899999999952</v>
      </c>
      <c r="AA111" s="9">
        <f t="shared" si="20"/>
        <v>-6.5623669402751925E-2</v>
      </c>
      <c r="AB111" s="9">
        <f>IF(U111&gt;'What-If Analysis'!$F$16, 'What-If Analysis'!$F$16,T111)</f>
        <v>0.17</v>
      </c>
      <c r="AC111" s="42">
        <f>S111*(1-AB111)</f>
        <v>295.93649999999997</v>
      </c>
      <c r="AD111" s="42">
        <f>Q111*(1+'What-If Analysis'!F126)</f>
        <v>292.94</v>
      </c>
      <c r="AE111" s="41">
        <f>W111*(1+'What-If Analysis'!$F$18)</f>
        <v>2.34</v>
      </c>
      <c r="AF111" s="42">
        <f t="shared" si="21"/>
        <v>692.49140999999986</v>
      </c>
      <c r="AG111" s="42">
        <f t="shared" si="22"/>
        <v>685.4796</v>
      </c>
      <c r="AH111" s="42">
        <f t="shared" si="23"/>
        <v>7.0118099999998549</v>
      </c>
      <c r="AI111" s="44">
        <f t="shared" si="24"/>
        <v>1.0125483000575929E-2</v>
      </c>
      <c r="AJ111" s="42">
        <f t="shared" si="25"/>
        <v>142.69130999999982</v>
      </c>
      <c r="AK111" s="42">
        <f t="shared" si="26"/>
        <v>-36.079899999999952</v>
      </c>
      <c r="AL111" s="9">
        <f t="shared" si="27"/>
        <v>7.5749152403327857E-2</v>
      </c>
      <c r="AM111" s="42"/>
    </row>
    <row r="112" spans="1:39" x14ac:dyDescent="0.25">
      <c r="A112" t="s">
        <v>125</v>
      </c>
      <c r="B112" s="20">
        <v>45452</v>
      </c>
      <c r="C112" s="4">
        <v>45480</v>
      </c>
      <c r="D112" s="4" t="s">
        <v>1439</v>
      </c>
      <c r="E112" s="4">
        <v>45480</v>
      </c>
      <c r="F112" s="11">
        <f t="shared" si="14"/>
        <v>28</v>
      </c>
      <c r="G112" s="11" t="str">
        <f t="shared" si="17"/>
        <v>Does not Meet Target</v>
      </c>
      <c r="H112" t="s">
        <v>647</v>
      </c>
      <c r="I112" t="s">
        <v>659</v>
      </c>
      <c r="J112" t="s">
        <v>676</v>
      </c>
      <c r="K112" t="s">
        <v>701</v>
      </c>
      <c r="L112" t="s">
        <v>708</v>
      </c>
      <c r="M112" t="s">
        <v>713</v>
      </c>
      <c r="N112" t="s">
        <v>727</v>
      </c>
      <c r="O112" t="str" cm="1">
        <f t="array" ref="O112">_xlfn.IFS(S112&lt;=_xlfn.PERCENTILE.INC(IF(N112:N742=N112, S112:S742), 0.33), "Low", S112&lt;=_xlfn.PERCENTILE.INC(IF(N112:N742=N112, S112:S742), 0.66), "Medium", S112 &gt; _xlfn.PERCENTILE.INC(IF(N112:N742=N112, S112:S742), 0.66), "High")</f>
        <v>Medium</v>
      </c>
      <c r="P112" t="s">
        <v>844</v>
      </c>
      <c r="Q112" s="6">
        <v>550.22</v>
      </c>
      <c r="R112" s="6">
        <v>1025.05</v>
      </c>
      <c r="S112" s="6">
        <v>1025.05</v>
      </c>
      <c r="T112" s="9">
        <v>0</v>
      </c>
      <c r="U112" s="9">
        <f>IF(T112&gt;0.3, $AO$4, T112)</f>
        <v>0</v>
      </c>
      <c r="V112" s="7" t="str">
        <f t="shared" si="18"/>
        <v>Less than 20%</v>
      </c>
      <c r="W112" s="11">
        <v>27</v>
      </c>
      <c r="X112" s="6">
        <f t="shared" si="15"/>
        <v>27676.35</v>
      </c>
      <c r="Y112" s="6">
        <f t="shared" si="16"/>
        <v>14855.94</v>
      </c>
      <c r="Z112" s="6">
        <f t="shared" si="19"/>
        <v>12820.409999999998</v>
      </c>
      <c r="AA112" s="9">
        <f t="shared" si="20"/>
        <v>0.46322618408858102</v>
      </c>
      <c r="AB112" s="9">
        <f>IF(U112&gt;'What-If Analysis'!$F$16, 'What-If Analysis'!$F$16,T112)</f>
        <v>0</v>
      </c>
      <c r="AC112" s="42">
        <f>S112*(1-AB112)</f>
        <v>1025.05</v>
      </c>
      <c r="AD112" s="42">
        <f>Q112*(1+'What-If Analysis'!F127)</f>
        <v>550.22</v>
      </c>
      <c r="AE112" s="41">
        <f>W112*(1+'What-If Analysis'!$F$18)</f>
        <v>31.589999999999996</v>
      </c>
      <c r="AF112" s="42">
        <f t="shared" si="21"/>
        <v>32381.329499999996</v>
      </c>
      <c r="AG112" s="42">
        <f t="shared" si="22"/>
        <v>17381.449799999999</v>
      </c>
      <c r="AH112" s="42">
        <f t="shared" si="23"/>
        <v>14999.879699999998</v>
      </c>
      <c r="AI112" s="44">
        <f t="shared" si="24"/>
        <v>0.46322618408858102</v>
      </c>
      <c r="AJ112" s="42">
        <f t="shared" si="25"/>
        <v>4704.9794999999976</v>
      </c>
      <c r="AK112" s="42">
        <f t="shared" si="26"/>
        <v>12820.409999999998</v>
      </c>
      <c r="AL112" s="9">
        <f t="shared" si="27"/>
        <v>0</v>
      </c>
      <c r="AM112" s="42"/>
    </row>
    <row r="113" spans="1:39" x14ac:dyDescent="0.25">
      <c r="A113" t="s">
        <v>126</v>
      </c>
      <c r="B113" s="20">
        <v>45453</v>
      </c>
      <c r="C113" s="4">
        <v>45454</v>
      </c>
      <c r="D113" s="4" t="s">
        <v>1439</v>
      </c>
      <c r="E113" s="4">
        <v>45454</v>
      </c>
      <c r="F113" s="11">
        <f t="shared" si="14"/>
        <v>1</v>
      </c>
      <c r="G113" s="11" t="str">
        <f t="shared" si="17"/>
        <v>Meets Target</v>
      </c>
      <c r="H113" t="s">
        <v>649</v>
      </c>
      <c r="I113" t="s">
        <v>658</v>
      </c>
      <c r="J113" t="s">
        <v>674</v>
      </c>
      <c r="K113" t="s">
        <v>705</v>
      </c>
      <c r="L113" t="s">
        <v>709</v>
      </c>
      <c r="M113" t="s">
        <v>724</v>
      </c>
      <c r="N113" t="s">
        <v>731</v>
      </c>
      <c r="O113" t="str" cm="1">
        <f t="array" ref="O113">_xlfn.IFS(S113&lt;=_xlfn.PERCENTILE.INC(IF(N113:N743=N113, S113:S743), 0.33), "Low", S113&lt;=_xlfn.PERCENTILE.INC(IF(N113:N743=N113, S113:S743), 0.66), "Medium", S113 &gt; _xlfn.PERCENTILE.INC(IF(N113:N743=N113, S113:S743), 0.66), "High")</f>
        <v>Medium</v>
      </c>
      <c r="P113" t="s">
        <v>845</v>
      </c>
      <c r="Q113" s="6">
        <v>1187.1300000000001</v>
      </c>
      <c r="R113" s="6">
        <v>1795.17</v>
      </c>
      <c r="S113" s="6">
        <v>1795.17</v>
      </c>
      <c r="T113" s="9">
        <v>1.2E-2</v>
      </c>
      <c r="U113" s="9">
        <f>IF(T113&gt;0.3, $AO$4, T113)</f>
        <v>1.2E-2</v>
      </c>
      <c r="V113" s="7" t="str">
        <f t="shared" si="18"/>
        <v>Less than 20%</v>
      </c>
      <c r="W113" s="11">
        <v>17</v>
      </c>
      <c r="X113" s="6">
        <f t="shared" si="15"/>
        <v>30151.675319999998</v>
      </c>
      <c r="Y113" s="6">
        <f t="shared" si="16"/>
        <v>20181.210000000003</v>
      </c>
      <c r="Z113" s="6">
        <f t="shared" si="19"/>
        <v>9970.4653199999957</v>
      </c>
      <c r="AA113" s="9">
        <f t="shared" si="20"/>
        <v>0.33067699271046663</v>
      </c>
      <c r="AB113" s="9">
        <f>IF(U113&gt;'What-If Analysis'!$F$16, 'What-If Analysis'!$F$16,T113)</f>
        <v>1.2E-2</v>
      </c>
      <c r="AC113" s="42">
        <f>S113*(1-AB113)</f>
        <v>1773.62796</v>
      </c>
      <c r="AD113" s="42">
        <f>Q113*(1+'What-If Analysis'!F128)</f>
        <v>1187.1300000000001</v>
      </c>
      <c r="AE113" s="41">
        <f>W113*(1+'What-If Analysis'!$F$18)</f>
        <v>19.89</v>
      </c>
      <c r="AF113" s="42">
        <f t="shared" si="21"/>
        <v>35277.4601244</v>
      </c>
      <c r="AG113" s="42">
        <f t="shared" si="22"/>
        <v>23612.015700000004</v>
      </c>
      <c r="AH113" s="42">
        <f t="shared" si="23"/>
        <v>11665.444424399997</v>
      </c>
      <c r="AI113" s="44">
        <f t="shared" si="24"/>
        <v>0.33067699271046663</v>
      </c>
      <c r="AJ113" s="42">
        <f t="shared" si="25"/>
        <v>5125.784804400002</v>
      </c>
      <c r="AK113" s="42">
        <f t="shared" si="26"/>
        <v>9970.4653199999957</v>
      </c>
      <c r="AL113" s="9">
        <f t="shared" si="27"/>
        <v>0</v>
      </c>
      <c r="AM113" s="42"/>
    </row>
    <row r="114" spans="1:39" x14ac:dyDescent="0.25">
      <c r="A114" t="s">
        <v>127</v>
      </c>
      <c r="B114" s="20">
        <v>45472</v>
      </c>
      <c r="C114" s="4">
        <v>45499</v>
      </c>
      <c r="D114" s="4" t="s">
        <v>1439</v>
      </c>
      <c r="E114" s="4">
        <v>45499</v>
      </c>
      <c r="F114" s="11">
        <f t="shared" si="14"/>
        <v>27</v>
      </c>
      <c r="G114" s="11" t="str">
        <f t="shared" si="17"/>
        <v>Does not Meet Target</v>
      </c>
      <c r="H114" t="s">
        <v>646</v>
      </c>
      <c r="I114" t="s">
        <v>661</v>
      </c>
      <c r="J114" t="s">
        <v>687</v>
      </c>
      <c r="K114" t="s">
        <v>706</v>
      </c>
      <c r="L114" t="s">
        <v>710</v>
      </c>
      <c r="M114" t="s">
        <v>717</v>
      </c>
      <c r="N114" t="s">
        <v>729</v>
      </c>
      <c r="O114" t="str" cm="1">
        <f t="array" ref="O114">_xlfn.IFS(S114&lt;=_xlfn.PERCENTILE.INC(IF(N114:N744=N114, S114:S744), 0.33), "Low", S114&lt;=_xlfn.PERCENTILE.INC(IF(N114:N744=N114, S114:S744), 0.66), "Medium", S114 &gt; _xlfn.PERCENTILE.INC(IF(N114:N744=N114, S114:S744), 0.66), "High")</f>
        <v>Low</v>
      </c>
      <c r="P114" t="s">
        <v>846</v>
      </c>
      <c r="Q114" s="6">
        <v>5.36</v>
      </c>
      <c r="R114" s="6">
        <v>4.37</v>
      </c>
      <c r="S114" s="6">
        <v>4.37</v>
      </c>
      <c r="T114" s="9">
        <v>0.11799999999999999</v>
      </c>
      <c r="U114" s="9">
        <f>IF(T114&gt;0.3, $AO$4, T114)</f>
        <v>0.11799999999999999</v>
      </c>
      <c r="V114" s="7" t="str">
        <f t="shared" si="18"/>
        <v>Less than 20%</v>
      </c>
      <c r="W114" s="11">
        <v>9</v>
      </c>
      <c r="X114" s="6">
        <f t="shared" si="15"/>
        <v>34.689059999999998</v>
      </c>
      <c r="Y114" s="6">
        <f t="shared" si="16"/>
        <v>48.24</v>
      </c>
      <c r="Z114" s="6">
        <f t="shared" si="19"/>
        <v>-13.550940000000004</v>
      </c>
      <c r="AA114" s="9">
        <f t="shared" si="20"/>
        <v>-0.39064016148030545</v>
      </c>
      <c r="AB114" s="9">
        <f>IF(U114&gt;'What-If Analysis'!$F$16, 'What-If Analysis'!$F$16,T114)</f>
        <v>0.11799999999999999</v>
      </c>
      <c r="AC114" s="42">
        <f>S114*(1-AB114)</f>
        <v>3.8543400000000001</v>
      </c>
      <c r="AD114" s="42">
        <f>Q114*(1+'What-If Analysis'!F129)</f>
        <v>5.36</v>
      </c>
      <c r="AE114" s="41">
        <f>W114*(1+'What-If Analysis'!$F$18)</f>
        <v>10.53</v>
      </c>
      <c r="AF114" s="42">
        <f t="shared" si="21"/>
        <v>40.5862002</v>
      </c>
      <c r="AG114" s="42">
        <f t="shared" si="22"/>
        <v>56.440800000000003</v>
      </c>
      <c r="AH114" s="42">
        <f t="shared" si="23"/>
        <v>-15.854599800000003</v>
      </c>
      <c r="AI114" s="44">
        <f t="shared" si="24"/>
        <v>-0.39064016148030539</v>
      </c>
      <c r="AJ114" s="42">
        <f t="shared" si="25"/>
        <v>5.8971402000000026</v>
      </c>
      <c r="AK114" s="42">
        <f t="shared" si="26"/>
        <v>-13.550940000000004</v>
      </c>
      <c r="AL114" s="9">
        <f t="shared" si="27"/>
        <v>0</v>
      </c>
      <c r="AM114" s="42"/>
    </row>
    <row r="115" spans="1:39" x14ac:dyDescent="0.25">
      <c r="A115" t="s">
        <v>128</v>
      </c>
      <c r="B115" s="20">
        <v>45674</v>
      </c>
      <c r="C115" s="4">
        <v>45681</v>
      </c>
      <c r="D115" s="4" t="s">
        <v>1437</v>
      </c>
      <c r="E115" s="4">
        <v>45681</v>
      </c>
      <c r="F115" s="11">
        <f t="shared" si="14"/>
        <v>7</v>
      </c>
      <c r="G115" s="11" t="str">
        <f t="shared" si="17"/>
        <v>Meets Target</v>
      </c>
      <c r="H115" t="s">
        <v>648</v>
      </c>
      <c r="I115" t="s">
        <v>660</v>
      </c>
      <c r="J115" t="s">
        <v>697</v>
      </c>
      <c r="K115" t="s">
        <v>706</v>
      </c>
      <c r="L115" t="s">
        <v>708</v>
      </c>
      <c r="M115" t="s">
        <v>715</v>
      </c>
      <c r="N115" t="s">
        <v>733</v>
      </c>
      <c r="O115" t="str" cm="1">
        <f t="array" ref="O115">_xlfn.IFS(S115&lt;=_xlfn.PERCENTILE.INC(IF(N115:N745=N115, S115:S745), 0.33), "Low", S115&lt;=_xlfn.PERCENTILE.INC(IF(N115:N745=N115, S115:S745), 0.66), "Medium", S115 &gt; _xlfn.PERCENTILE.INC(IF(N115:N745=N115, S115:S745), 0.66), "High")</f>
        <v>Low</v>
      </c>
      <c r="P115" t="s">
        <v>847</v>
      </c>
      <c r="Q115" s="6">
        <v>142.09</v>
      </c>
      <c r="R115" s="6">
        <v>218.5</v>
      </c>
      <c r="S115" s="6">
        <v>218.5</v>
      </c>
      <c r="T115" s="9">
        <v>0.11899999999999999</v>
      </c>
      <c r="U115" s="9">
        <f>IF(T115&gt;0.3, $AO$4, T115)</f>
        <v>0.11899999999999999</v>
      </c>
      <c r="V115" s="7" t="str">
        <f t="shared" si="18"/>
        <v>Less than 20%</v>
      </c>
      <c r="W115" s="11">
        <v>11</v>
      </c>
      <c r="X115" s="6">
        <f t="shared" si="15"/>
        <v>2117.4834999999998</v>
      </c>
      <c r="Y115" s="6">
        <f t="shared" si="16"/>
        <v>1562.99</v>
      </c>
      <c r="Z115" s="6">
        <f t="shared" si="19"/>
        <v>554.49349999999981</v>
      </c>
      <c r="AA115" s="9">
        <f t="shared" si="20"/>
        <v>0.26186437816398561</v>
      </c>
      <c r="AB115" s="9">
        <f>IF(U115&gt;'What-If Analysis'!$F$16, 'What-If Analysis'!$F$16,T115)</f>
        <v>0.11899999999999999</v>
      </c>
      <c r="AC115" s="42">
        <f>S115*(1-AB115)</f>
        <v>192.49850000000001</v>
      </c>
      <c r="AD115" s="42">
        <f>Q115*(1+'What-If Analysis'!F130)</f>
        <v>142.09</v>
      </c>
      <c r="AE115" s="41">
        <f>W115*(1+'What-If Analysis'!$F$18)</f>
        <v>12.87</v>
      </c>
      <c r="AF115" s="42">
        <f t="shared" si="21"/>
        <v>2477.4556950000001</v>
      </c>
      <c r="AG115" s="42">
        <f t="shared" si="22"/>
        <v>1828.6983</v>
      </c>
      <c r="AH115" s="42">
        <f t="shared" si="23"/>
        <v>648.75739500000009</v>
      </c>
      <c r="AI115" s="44">
        <f t="shared" si="24"/>
        <v>0.26186437816398572</v>
      </c>
      <c r="AJ115" s="42">
        <f t="shared" si="25"/>
        <v>359.97219500000028</v>
      </c>
      <c r="AK115" s="42">
        <f t="shared" si="26"/>
        <v>554.49349999999981</v>
      </c>
      <c r="AL115" s="9">
        <f t="shared" si="27"/>
        <v>0</v>
      </c>
      <c r="AM115" s="42"/>
    </row>
    <row r="116" spans="1:39" x14ac:dyDescent="0.25">
      <c r="A116" t="s">
        <v>129</v>
      </c>
      <c r="B116" s="20">
        <v>45250</v>
      </c>
      <c r="C116" s="4">
        <v>45265</v>
      </c>
      <c r="D116" s="4" t="s">
        <v>1438</v>
      </c>
      <c r="E116" s="4">
        <v>45265</v>
      </c>
      <c r="F116" s="11">
        <f t="shared" si="14"/>
        <v>15</v>
      </c>
      <c r="G116" s="11" t="str">
        <f t="shared" si="17"/>
        <v>Does not Meet Target</v>
      </c>
      <c r="H116" t="s">
        <v>647</v>
      </c>
      <c r="I116" t="s">
        <v>652</v>
      </c>
      <c r="J116" t="s">
        <v>689</v>
      </c>
      <c r="K116" t="s">
        <v>706</v>
      </c>
      <c r="L116" t="s">
        <v>707</v>
      </c>
      <c r="M116" t="s">
        <v>716</v>
      </c>
      <c r="N116" t="s">
        <v>729</v>
      </c>
      <c r="O116" t="str" cm="1">
        <f t="array" ref="O116">_xlfn.IFS(S116&lt;=_xlfn.PERCENTILE.INC(IF(N116:N746=N116, S116:S746), 0.33), "Low", S116&lt;=_xlfn.PERCENTILE.INC(IF(N116:N746=N116, S116:S746), 0.66), "Medium", S116 &gt; _xlfn.PERCENTILE.INC(IF(N116:N746=N116, S116:S746), 0.66), "High")</f>
        <v>Low</v>
      </c>
      <c r="P116" t="s">
        <v>848</v>
      </c>
      <c r="Q116" s="6">
        <v>354.24</v>
      </c>
      <c r="R116" s="6">
        <v>249.87</v>
      </c>
      <c r="S116" s="6">
        <v>249.87</v>
      </c>
      <c r="T116" s="9">
        <v>0</v>
      </c>
      <c r="U116" s="9">
        <f>IF(T116&gt;0.3, $AO$4, T116)</f>
        <v>0</v>
      </c>
      <c r="V116" s="7" t="str">
        <f t="shared" si="18"/>
        <v>Less than 20%</v>
      </c>
      <c r="W116" s="11">
        <v>6</v>
      </c>
      <c r="X116" s="6">
        <f t="shared" si="15"/>
        <v>1499.22</v>
      </c>
      <c r="Y116" s="6">
        <f t="shared" si="16"/>
        <v>2125.44</v>
      </c>
      <c r="Z116" s="6">
        <f t="shared" si="19"/>
        <v>-626.22</v>
      </c>
      <c r="AA116" s="9">
        <f t="shared" si="20"/>
        <v>-0.41769720254532355</v>
      </c>
      <c r="AB116" s="9">
        <f>IF(U116&gt;'What-If Analysis'!$F$16, 'What-If Analysis'!$F$16,T116)</f>
        <v>0</v>
      </c>
      <c r="AC116" s="42">
        <f>S116*(1-AB116)</f>
        <v>249.87</v>
      </c>
      <c r="AD116" s="42">
        <f>Q116*(1+'What-If Analysis'!F131)</f>
        <v>354.24</v>
      </c>
      <c r="AE116" s="41">
        <f>W116*(1+'What-If Analysis'!$F$18)</f>
        <v>7.02</v>
      </c>
      <c r="AF116" s="42">
        <f t="shared" si="21"/>
        <v>1754.0873999999999</v>
      </c>
      <c r="AG116" s="42">
        <f t="shared" si="22"/>
        <v>2486.7647999999999</v>
      </c>
      <c r="AH116" s="42">
        <f t="shared" si="23"/>
        <v>-732.67740000000003</v>
      </c>
      <c r="AI116" s="44">
        <f t="shared" si="24"/>
        <v>-0.41769720254532361</v>
      </c>
      <c r="AJ116" s="42">
        <f t="shared" si="25"/>
        <v>254.86739999999986</v>
      </c>
      <c r="AK116" s="42">
        <f t="shared" si="26"/>
        <v>-626.22</v>
      </c>
      <c r="AL116" s="9">
        <f t="shared" si="27"/>
        <v>0</v>
      </c>
      <c r="AM116" s="42"/>
    </row>
    <row r="117" spans="1:39" x14ac:dyDescent="0.25">
      <c r="A117" t="s">
        <v>130</v>
      </c>
      <c r="B117" s="20">
        <v>44987</v>
      </c>
      <c r="C117" s="4">
        <v>44990</v>
      </c>
      <c r="D117" s="4" t="s">
        <v>1436</v>
      </c>
      <c r="E117" s="4">
        <v>44990</v>
      </c>
      <c r="F117" s="11">
        <f t="shared" si="14"/>
        <v>3</v>
      </c>
      <c r="G117" s="11" t="str">
        <f t="shared" si="17"/>
        <v>Meets Target</v>
      </c>
      <c r="H117" t="s">
        <v>648</v>
      </c>
      <c r="I117" t="s">
        <v>655</v>
      </c>
      <c r="J117" t="s">
        <v>672</v>
      </c>
      <c r="K117" t="s">
        <v>706</v>
      </c>
      <c r="L117" t="s">
        <v>711</v>
      </c>
      <c r="M117" t="s">
        <v>715</v>
      </c>
      <c r="N117" t="s">
        <v>732</v>
      </c>
      <c r="O117" t="str" cm="1">
        <f t="array" ref="O117">_xlfn.IFS(S117&lt;=_xlfn.PERCENTILE.INC(IF(N117:N747=N117, S117:S747), 0.33), "Low", S117&lt;=_xlfn.PERCENTILE.INC(IF(N117:N747=N117, S117:S747), 0.66), "Medium", S117 &gt; _xlfn.PERCENTILE.INC(IF(N117:N747=N117, S117:S747), 0.66), "High")</f>
        <v>High</v>
      </c>
      <c r="P117" t="s">
        <v>849</v>
      </c>
      <c r="Q117" s="6">
        <v>1473.58</v>
      </c>
      <c r="R117" s="6">
        <v>3436.52</v>
      </c>
      <c r="S117" s="6">
        <v>3436.52</v>
      </c>
      <c r="T117" s="9">
        <v>0.108</v>
      </c>
      <c r="U117" s="9">
        <f>IF(T117&gt;0.3, $AO$4, T117)</f>
        <v>0.108</v>
      </c>
      <c r="V117" s="7" t="str">
        <f t="shared" si="18"/>
        <v>Less than 20%</v>
      </c>
      <c r="W117" s="11">
        <v>8</v>
      </c>
      <c r="X117" s="6">
        <f t="shared" si="15"/>
        <v>24523.006720000001</v>
      </c>
      <c r="Y117" s="6">
        <f t="shared" si="16"/>
        <v>11788.64</v>
      </c>
      <c r="Z117" s="6">
        <f t="shared" si="19"/>
        <v>12734.366720000002</v>
      </c>
      <c r="AA117" s="9">
        <f t="shared" si="20"/>
        <v>0.51928243813652564</v>
      </c>
      <c r="AB117" s="9">
        <f>IF(U117&gt;'What-If Analysis'!$F$16, 'What-If Analysis'!$F$16,T117)</f>
        <v>0.108</v>
      </c>
      <c r="AC117" s="42">
        <f>S117*(1-AB117)</f>
        <v>3065.3758400000002</v>
      </c>
      <c r="AD117" s="42">
        <f>Q117*(1+'What-If Analysis'!F132)</f>
        <v>1473.58</v>
      </c>
      <c r="AE117" s="41">
        <f>W117*(1+'What-If Analysis'!$F$18)</f>
        <v>9.36</v>
      </c>
      <c r="AF117" s="42">
        <f t="shared" si="21"/>
        <v>28691.917862400001</v>
      </c>
      <c r="AG117" s="42">
        <f t="shared" si="22"/>
        <v>13792.708799999999</v>
      </c>
      <c r="AH117" s="42">
        <f t="shared" si="23"/>
        <v>14899.209062400003</v>
      </c>
      <c r="AI117" s="44">
        <f t="shared" si="24"/>
        <v>0.51928243813652564</v>
      </c>
      <c r="AJ117" s="42">
        <f t="shared" si="25"/>
        <v>4168.9111424000002</v>
      </c>
      <c r="AK117" s="42">
        <f t="shared" si="26"/>
        <v>12734.366720000002</v>
      </c>
      <c r="AL117" s="9">
        <f t="shared" si="27"/>
        <v>0</v>
      </c>
      <c r="AM117" s="42"/>
    </row>
    <row r="118" spans="1:39" x14ac:dyDescent="0.25">
      <c r="A118" t="s">
        <v>131</v>
      </c>
      <c r="B118" s="20">
        <v>45811</v>
      </c>
      <c r="C118" s="4">
        <v>45818</v>
      </c>
      <c r="D118" s="4" t="s">
        <v>1440</v>
      </c>
      <c r="E118" s="4">
        <v>45818</v>
      </c>
      <c r="F118" s="11">
        <f t="shared" si="14"/>
        <v>7</v>
      </c>
      <c r="G118" s="11" t="str">
        <f t="shared" si="17"/>
        <v>Meets Target</v>
      </c>
      <c r="H118" t="s">
        <v>648</v>
      </c>
      <c r="I118" t="s">
        <v>653</v>
      </c>
      <c r="J118" t="s">
        <v>667</v>
      </c>
      <c r="K118" t="s">
        <v>704</v>
      </c>
      <c r="L118" t="s">
        <v>710</v>
      </c>
      <c r="M118" t="s">
        <v>719</v>
      </c>
      <c r="N118" t="s">
        <v>728</v>
      </c>
      <c r="O118" t="str" cm="1">
        <f t="array" ref="O118">_xlfn.IFS(S118&lt;=_xlfn.PERCENTILE.INC(IF(N118:N748=N118, S118:S748), 0.33), "Low", S118&lt;=_xlfn.PERCENTILE.INC(IF(N118:N748=N118, S118:S748), 0.66), "Medium", S118 &gt; _xlfn.PERCENTILE.INC(IF(N118:N748=N118, S118:S748), 0.66), "High")</f>
        <v>Low</v>
      </c>
      <c r="P118" t="s">
        <v>850</v>
      </c>
      <c r="Q118" s="6">
        <v>75.180000000000007</v>
      </c>
      <c r="R118" s="6">
        <v>53.45</v>
      </c>
      <c r="S118" s="6">
        <v>53.45</v>
      </c>
      <c r="T118" s="9">
        <v>0.157</v>
      </c>
      <c r="U118" s="9">
        <f>IF(T118&gt;0.3, $AO$4, T118)</f>
        <v>0.157</v>
      </c>
      <c r="V118" s="7" t="str">
        <f t="shared" si="18"/>
        <v>Less than 20%</v>
      </c>
      <c r="W118" s="11">
        <v>17</v>
      </c>
      <c r="X118" s="6">
        <f t="shared" si="15"/>
        <v>765.99195000000009</v>
      </c>
      <c r="Y118" s="6">
        <f t="shared" si="16"/>
        <v>1278.0600000000002</v>
      </c>
      <c r="Z118" s="6">
        <f t="shared" si="19"/>
        <v>-512.06805000000008</v>
      </c>
      <c r="AA118" s="9">
        <f t="shared" si="20"/>
        <v>-0.66850317421743144</v>
      </c>
      <c r="AB118" s="9">
        <f>IF(U118&gt;'What-If Analysis'!$F$16, 'What-If Analysis'!$F$16,T118)</f>
        <v>0.157</v>
      </c>
      <c r="AC118" s="42">
        <f>S118*(1-AB118)</f>
        <v>45.058350000000004</v>
      </c>
      <c r="AD118" s="42">
        <f>Q118*(1+'What-If Analysis'!F133)</f>
        <v>75.180000000000007</v>
      </c>
      <c r="AE118" s="41">
        <f>W118*(1+'What-If Analysis'!$F$18)</f>
        <v>19.89</v>
      </c>
      <c r="AF118" s="42">
        <f t="shared" si="21"/>
        <v>896.2105815000001</v>
      </c>
      <c r="AG118" s="42">
        <f t="shared" si="22"/>
        <v>1495.3302000000001</v>
      </c>
      <c r="AH118" s="42">
        <f t="shared" si="23"/>
        <v>-599.1196185</v>
      </c>
      <c r="AI118" s="44">
        <f t="shared" si="24"/>
        <v>-0.66850317421743133</v>
      </c>
      <c r="AJ118" s="42">
        <f t="shared" si="25"/>
        <v>130.21863150000001</v>
      </c>
      <c r="AK118" s="42">
        <f t="shared" si="26"/>
        <v>-512.06805000000008</v>
      </c>
      <c r="AL118" s="9">
        <f t="shared" si="27"/>
        <v>0</v>
      </c>
      <c r="AM118" s="42"/>
    </row>
    <row r="119" spans="1:39" x14ac:dyDescent="0.25">
      <c r="A119" t="s">
        <v>132</v>
      </c>
      <c r="B119" s="20">
        <v>45653</v>
      </c>
      <c r="C119" s="4">
        <v>45659</v>
      </c>
      <c r="D119" s="4" t="s">
        <v>1435</v>
      </c>
      <c r="E119" s="4">
        <v>45659</v>
      </c>
      <c r="F119" s="11">
        <f t="shared" si="14"/>
        <v>6</v>
      </c>
      <c r="G119" s="11" t="str">
        <f t="shared" si="17"/>
        <v>Meets Target</v>
      </c>
      <c r="H119" t="s">
        <v>649</v>
      </c>
      <c r="I119" t="s">
        <v>656</v>
      </c>
      <c r="J119" t="s">
        <v>698</v>
      </c>
      <c r="K119" t="s">
        <v>702</v>
      </c>
      <c r="L119" t="s">
        <v>711</v>
      </c>
      <c r="M119" t="s">
        <v>721</v>
      </c>
      <c r="N119" t="s">
        <v>731</v>
      </c>
      <c r="O119" t="str" cm="1">
        <f t="array" ref="O119">_xlfn.IFS(S119&lt;=_xlfn.PERCENTILE.INC(IF(N119:N749=N119, S119:S749), 0.33), "Low", S119&lt;=_xlfn.PERCENTILE.INC(IF(N119:N749=N119, S119:S749), 0.66), "Medium", S119 &gt; _xlfn.PERCENTILE.INC(IF(N119:N749=N119, S119:S749), 0.66), "High")</f>
        <v>High</v>
      </c>
      <c r="P119" t="s">
        <v>851</v>
      </c>
      <c r="Q119" s="6">
        <v>1391.99</v>
      </c>
      <c r="R119" s="6">
        <v>3469.7</v>
      </c>
      <c r="S119" s="6">
        <v>3469.7</v>
      </c>
      <c r="T119" s="9">
        <v>0.184</v>
      </c>
      <c r="U119" s="9">
        <f>IF(T119&gt;0.3, $AO$4, T119)</f>
        <v>0.184</v>
      </c>
      <c r="V119" s="7" t="str">
        <f t="shared" si="18"/>
        <v>Less than 20%</v>
      </c>
      <c r="W119" s="11">
        <v>23</v>
      </c>
      <c r="X119" s="6">
        <f t="shared" si="15"/>
        <v>65119.329599999997</v>
      </c>
      <c r="Y119" s="6">
        <f t="shared" si="16"/>
        <v>32015.77</v>
      </c>
      <c r="Z119" s="6">
        <f t="shared" si="19"/>
        <v>33103.559599999993</v>
      </c>
      <c r="AA119" s="9">
        <f t="shared" si="20"/>
        <v>0.50835227886006973</v>
      </c>
      <c r="AB119" s="9">
        <f>IF(U119&gt;'What-If Analysis'!$F$16, 'What-If Analysis'!$F$16,T119)</f>
        <v>0.17</v>
      </c>
      <c r="AC119" s="42">
        <f>S119*(1-AB119)</f>
        <v>2879.8509999999997</v>
      </c>
      <c r="AD119" s="42">
        <f>Q119*(1+'What-If Analysis'!F134)</f>
        <v>1391.99</v>
      </c>
      <c r="AE119" s="41">
        <f>W119*(1+'What-If Analysis'!$F$18)</f>
        <v>26.909999999999997</v>
      </c>
      <c r="AF119" s="42">
        <f t="shared" si="21"/>
        <v>77496.790409999987</v>
      </c>
      <c r="AG119" s="42">
        <f t="shared" si="22"/>
        <v>37458.450899999996</v>
      </c>
      <c r="AH119" s="42">
        <f t="shared" si="23"/>
        <v>40038.339509999991</v>
      </c>
      <c r="AI119" s="44">
        <f t="shared" si="24"/>
        <v>0.51664513198773132</v>
      </c>
      <c r="AJ119" s="42">
        <f t="shared" si="25"/>
        <v>12377.46080999999</v>
      </c>
      <c r="AK119" s="42">
        <f t="shared" si="26"/>
        <v>33103.559599999993</v>
      </c>
      <c r="AL119" s="9">
        <f t="shared" si="27"/>
        <v>8.2928531276615924E-3</v>
      </c>
      <c r="AM119" s="42"/>
    </row>
    <row r="120" spans="1:39" x14ac:dyDescent="0.25">
      <c r="A120" t="s">
        <v>133</v>
      </c>
      <c r="B120" s="20">
        <v>45086</v>
      </c>
      <c r="C120" s="4">
        <v>45096</v>
      </c>
      <c r="D120" s="4" t="s">
        <v>1442</v>
      </c>
      <c r="E120" s="4">
        <v>45096</v>
      </c>
      <c r="F120" s="11">
        <f t="shared" si="14"/>
        <v>10</v>
      </c>
      <c r="G120" s="11" t="str">
        <f t="shared" si="17"/>
        <v>Does not Meet Target</v>
      </c>
      <c r="H120" t="s">
        <v>647</v>
      </c>
      <c r="I120" t="s">
        <v>659</v>
      </c>
      <c r="J120" t="s">
        <v>699</v>
      </c>
      <c r="K120" t="s">
        <v>706</v>
      </c>
      <c r="L120" t="s">
        <v>707</v>
      </c>
      <c r="M120" t="s">
        <v>721</v>
      </c>
      <c r="N120" t="s">
        <v>732</v>
      </c>
      <c r="O120" t="str" cm="1">
        <f t="array" ref="O120">_xlfn.IFS(S120&lt;=_xlfn.PERCENTILE.INC(IF(N120:N750=N120, S120:S750), 0.33), "Low", S120&lt;=_xlfn.PERCENTILE.INC(IF(N120:N750=N120, S120:S750), 0.66), "Medium", S120 &gt; _xlfn.PERCENTILE.INC(IF(N120:N750=N120, S120:S750), 0.66), "High")</f>
        <v>Low</v>
      </c>
      <c r="P120" t="s">
        <v>852</v>
      </c>
      <c r="Q120" s="6">
        <v>339.61</v>
      </c>
      <c r="R120" s="6">
        <v>621.02</v>
      </c>
      <c r="S120" s="6">
        <v>621.02</v>
      </c>
      <c r="T120" s="9">
        <v>7.0999999999999994E-2</v>
      </c>
      <c r="U120" s="9">
        <f>IF(T120&gt;0.3, $AO$4, T120)</f>
        <v>7.0999999999999994E-2</v>
      </c>
      <c r="V120" s="7" t="str">
        <f t="shared" si="18"/>
        <v>Less than 20%</v>
      </c>
      <c r="W120" s="11">
        <v>10</v>
      </c>
      <c r="X120" s="6">
        <f t="shared" si="15"/>
        <v>5769.2758000000003</v>
      </c>
      <c r="Y120" s="6">
        <f t="shared" si="16"/>
        <v>3396.1000000000004</v>
      </c>
      <c r="Z120" s="6">
        <f t="shared" si="19"/>
        <v>2373.1758</v>
      </c>
      <c r="AA120" s="9">
        <f t="shared" si="20"/>
        <v>0.41134726129750981</v>
      </c>
      <c r="AB120" s="9">
        <f>IF(U120&gt;'What-If Analysis'!$F$16, 'What-If Analysis'!$F$16,T120)</f>
        <v>7.0999999999999994E-2</v>
      </c>
      <c r="AC120" s="42">
        <f>S120*(1-AB120)</f>
        <v>576.92758000000003</v>
      </c>
      <c r="AD120" s="42">
        <f>Q120*(1+'What-If Analysis'!F135)</f>
        <v>339.61</v>
      </c>
      <c r="AE120" s="41">
        <f>W120*(1+'What-If Analysis'!$F$18)</f>
        <v>11.7</v>
      </c>
      <c r="AF120" s="42">
        <f t="shared" si="21"/>
        <v>6750.052686</v>
      </c>
      <c r="AG120" s="42">
        <f t="shared" si="22"/>
        <v>3973.4369999999999</v>
      </c>
      <c r="AH120" s="42">
        <f t="shared" si="23"/>
        <v>2776.6156860000001</v>
      </c>
      <c r="AI120" s="44">
        <f t="shared" si="24"/>
        <v>0.41134726129750981</v>
      </c>
      <c r="AJ120" s="42">
        <f t="shared" si="25"/>
        <v>980.77688599999965</v>
      </c>
      <c r="AK120" s="42">
        <f t="shared" si="26"/>
        <v>2373.1758</v>
      </c>
      <c r="AL120" s="9">
        <f t="shared" si="27"/>
        <v>0</v>
      </c>
      <c r="AM120" s="42"/>
    </row>
    <row r="121" spans="1:39" x14ac:dyDescent="0.25">
      <c r="A121" t="s">
        <v>134</v>
      </c>
      <c r="B121" s="20">
        <v>45847</v>
      </c>
      <c r="C121" s="4">
        <v>45856</v>
      </c>
      <c r="D121" s="4" t="s">
        <v>1441</v>
      </c>
      <c r="E121" s="4">
        <v>45856</v>
      </c>
      <c r="F121" s="11">
        <f t="shared" si="14"/>
        <v>9</v>
      </c>
      <c r="G121" s="11" t="str">
        <f t="shared" si="17"/>
        <v>Does not Meet Target</v>
      </c>
      <c r="H121" t="s">
        <v>648</v>
      </c>
      <c r="I121" t="s">
        <v>653</v>
      </c>
      <c r="J121" t="s">
        <v>688</v>
      </c>
      <c r="K121" t="s">
        <v>702</v>
      </c>
      <c r="L121" t="s">
        <v>710</v>
      </c>
      <c r="M121" t="s">
        <v>714</v>
      </c>
      <c r="N121" t="s">
        <v>731</v>
      </c>
      <c r="O121" t="str" cm="1">
        <f t="array" ref="O121">_xlfn.IFS(S121&lt;=_xlfn.PERCENTILE.INC(IF(N121:N751=N121, S121:S751), 0.33), "Low", S121&lt;=_xlfn.PERCENTILE.INC(IF(N121:N751=N121, S121:S751), 0.66), "Medium", S121 &gt; _xlfn.PERCENTILE.INC(IF(N121:N751=N121, S121:S751), 0.66), "High")</f>
        <v>Low</v>
      </c>
      <c r="P121" t="s">
        <v>853</v>
      </c>
      <c r="Q121" s="6">
        <v>57.96</v>
      </c>
      <c r="R121" s="6">
        <v>88.51</v>
      </c>
      <c r="S121" s="6">
        <v>88.51</v>
      </c>
      <c r="T121" s="9">
        <v>4.2999999999999997E-2</v>
      </c>
      <c r="U121" s="9">
        <f>IF(T121&gt;0.3, $AO$4, T121)</f>
        <v>4.2999999999999997E-2</v>
      </c>
      <c r="V121" s="7" t="str">
        <f t="shared" si="18"/>
        <v>Less than 20%</v>
      </c>
      <c r="W121" s="11">
        <v>7</v>
      </c>
      <c r="X121" s="6">
        <f t="shared" si="15"/>
        <v>592.92849000000001</v>
      </c>
      <c r="Y121" s="6">
        <f t="shared" si="16"/>
        <v>405.72</v>
      </c>
      <c r="Z121" s="6">
        <f t="shared" si="19"/>
        <v>187.20848999999998</v>
      </c>
      <c r="AA121" s="9">
        <f t="shared" si="20"/>
        <v>0.3157353595877978</v>
      </c>
      <c r="AB121" s="9">
        <f>IF(U121&gt;'What-If Analysis'!$F$16, 'What-If Analysis'!$F$16,T121)</f>
        <v>4.2999999999999997E-2</v>
      </c>
      <c r="AC121" s="42">
        <f>S121*(1-AB121)</f>
        <v>84.704070000000002</v>
      </c>
      <c r="AD121" s="42">
        <f>Q121*(1+'What-If Analysis'!F136)</f>
        <v>57.96</v>
      </c>
      <c r="AE121" s="41">
        <f>W121*(1+'What-If Analysis'!$F$18)</f>
        <v>8.19</v>
      </c>
      <c r="AF121" s="42">
        <f t="shared" si="21"/>
        <v>693.72633329999996</v>
      </c>
      <c r="AG121" s="42">
        <f t="shared" si="22"/>
        <v>474.69239999999996</v>
      </c>
      <c r="AH121" s="42">
        <f t="shared" si="23"/>
        <v>219.0339333</v>
      </c>
      <c r="AI121" s="44">
        <f t="shared" si="24"/>
        <v>0.31573535958779786</v>
      </c>
      <c r="AJ121" s="42">
        <f t="shared" si="25"/>
        <v>100.79784329999995</v>
      </c>
      <c r="AK121" s="42">
        <f t="shared" si="26"/>
        <v>187.20848999999998</v>
      </c>
      <c r="AL121" s="9">
        <f t="shared" si="27"/>
        <v>0</v>
      </c>
      <c r="AM121" s="42"/>
    </row>
    <row r="122" spans="1:39" x14ac:dyDescent="0.25">
      <c r="A122" t="s">
        <v>135</v>
      </c>
      <c r="B122" s="20">
        <v>45827</v>
      </c>
      <c r="C122" s="4">
        <v>45850</v>
      </c>
      <c r="D122" s="4" t="s">
        <v>1440</v>
      </c>
      <c r="E122" s="4">
        <v>45850</v>
      </c>
      <c r="F122" s="11">
        <f t="shared" si="14"/>
        <v>23</v>
      </c>
      <c r="G122" s="11" t="str">
        <f t="shared" si="17"/>
        <v>Does not Meet Target</v>
      </c>
      <c r="H122" t="s">
        <v>649</v>
      </c>
      <c r="I122" t="s">
        <v>658</v>
      </c>
      <c r="J122" t="s">
        <v>1422</v>
      </c>
      <c r="K122" t="s">
        <v>703</v>
      </c>
      <c r="L122" t="s">
        <v>711</v>
      </c>
      <c r="M122" t="s">
        <v>1422</v>
      </c>
      <c r="N122" t="s">
        <v>729</v>
      </c>
      <c r="O122" t="str" cm="1">
        <f t="array" ref="O122">_xlfn.IFS(S122&lt;=_xlfn.PERCENTILE.INC(IF(N122:N752=N122, S122:S752), 0.33), "Low", S122&lt;=_xlfn.PERCENTILE.INC(IF(N122:N752=N122, S122:S752), 0.66), "Medium", S122 &gt; _xlfn.PERCENTILE.INC(IF(N122:N752=N122, S122:S752), 0.66), "High")</f>
        <v>High</v>
      </c>
      <c r="P122" t="s">
        <v>854</v>
      </c>
      <c r="Q122" s="6">
        <v>801.24</v>
      </c>
      <c r="R122" s="6">
        <v>1959.09</v>
      </c>
      <c r="S122" s="6">
        <v>1959.09</v>
      </c>
      <c r="T122" s="9">
        <v>0.123</v>
      </c>
      <c r="U122" s="9">
        <f>IF(T122&gt;0.3, $AO$4, T122)</f>
        <v>0.123</v>
      </c>
      <c r="V122" s="7" t="str">
        <f t="shared" si="18"/>
        <v>Less than 20%</v>
      </c>
      <c r="W122" s="11">
        <v>23</v>
      </c>
      <c r="X122" s="6">
        <f t="shared" si="15"/>
        <v>39516.804389999998</v>
      </c>
      <c r="Y122" s="6">
        <f t="shared" si="16"/>
        <v>18428.52</v>
      </c>
      <c r="Z122" s="6">
        <f t="shared" si="19"/>
        <v>21088.284389999997</v>
      </c>
      <c r="AA122" s="9">
        <f t="shared" si="20"/>
        <v>0.53365358650651762</v>
      </c>
      <c r="AB122" s="9">
        <f>IF(U122&gt;'What-If Analysis'!$F$16, 'What-If Analysis'!$F$16,T122)</f>
        <v>0.123</v>
      </c>
      <c r="AC122" s="42">
        <f>S122*(1-AB122)</f>
        <v>1718.12193</v>
      </c>
      <c r="AD122" s="42">
        <f>Q122*(1+'What-If Analysis'!F137)</f>
        <v>801.24</v>
      </c>
      <c r="AE122" s="41">
        <f>W122*(1+'What-If Analysis'!$F$18)</f>
        <v>26.909999999999997</v>
      </c>
      <c r="AF122" s="42">
        <f t="shared" si="21"/>
        <v>46234.661136299997</v>
      </c>
      <c r="AG122" s="42">
        <f t="shared" si="22"/>
        <v>21561.368399999996</v>
      </c>
      <c r="AH122" s="42">
        <f t="shared" si="23"/>
        <v>24673.292736300002</v>
      </c>
      <c r="AI122" s="44">
        <f t="shared" si="24"/>
        <v>0.53365358650651773</v>
      </c>
      <c r="AJ122" s="42">
        <f t="shared" si="25"/>
        <v>6717.8567462999999</v>
      </c>
      <c r="AK122" s="42">
        <f t="shared" si="26"/>
        <v>21088.284389999997</v>
      </c>
      <c r="AL122" s="9">
        <f t="shared" si="27"/>
        <v>0</v>
      </c>
      <c r="AM122" s="42"/>
    </row>
    <row r="123" spans="1:39" x14ac:dyDescent="0.25">
      <c r="A123" t="s">
        <v>136</v>
      </c>
      <c r="B123" s="20">
        <v>45249</v>
      </c>
      <c r="C123" s="4">
        <v>45273</v>
      </c>
      <c r="D123" s="4" t="s">
        <v>1438</v>
      </c>
      <c r="E123" s="4">
        <v>45273</v>
      </c>
      <c r="F123" s="11">
        <f t="shared" si="14"/>
        <v>24</v>
      </c>
      <c r="G123" s="11" t="str">
        <f t="shared" si="17"/>
        <v>Does not Meet Target</v>
      </c>
      <c r="H123" t="s">
        <v>649</v>
      </c>
      <c r="I123" t="s">
        <v>657</v>
      </c>
      <c r="J123" t="s">
        <v>679</v>
      </c>
      <c r="K123" t="s">
        <v>703</v>
      </c>
      <c r="L123" t="s">
        <v>711</v>
      </c>
      <c r="M123" t="s">
        <v>722</v>
      </c>
      <c r="N123" t="s">
        <v>732</v>
      </c>
      <c r="O123" t="str" cm="1">
        <f t="array" ref="O123">_xlfn.IFS(S123&lt;=_xlfn.PERCENTILE.INC(IF(N123:N753=N123, S123:S753), 0.33), "Low", S123&lt;=_xlfn.PERCENTILE.INC(IF(N123:N753=N123, S123:S753), 0.66), "Medium", S123 &gt; _xlfn.PERCENTILE.INC(IF(N123:N753=N123, S123:S753), 0.66), "High")</f>
        <v>High</v>
      </c>
      <c r="P123" t="s">
        <v>855</v>
      </c>
      <c r="Q123" s="6">
        <v>1297.42</v>
      </c>
      <c r="R123" s="6">
        <v>2742.97</v>
      </c>
      <c r="S123" s="6">
        <v>2742.97</v>
      </c>
      <c r="T123" s="9">
        <v>6.9000000000000006E-2</v>
      </c>
      <c r="U123" s="9">
        <f>IF(T123&gt;0.3, $AO$4, T123)</f>
        <v>6.9000000000000006E-2</v>
      </c>
      <c r="V123" s="7" t="str">
        <f t="shared" si="18"/>
        <v>Less than 20%</v>
      </c>
      <c r="W123" s="11">
        <v>9</v>
      </c>
      <c r="X123" s="6">
        <f t="shared" si="15"/>
        <v>22983.34563</v>
      </c>
      <c r="Y123" s="6">
        <f t="shared" si="16"/>
        <v>11676.78</v>
      </c>
      <c r="Z123" s="6">
        <f t="shared" si="19"/>
        <v>11306.565629999999</v>
      </c>
      <c r="AA123" s="9">
        <f t="shared" si="20"/>
        <v>0.49194602961727291</v>
      </c>
      <c r="AB123" s="9">
        <f>IF(U123&gt;'What-If Analysis'!$F$16, 'What-If Analysis'!$F$16,T123)</f>
        <v>6.9000000000000006E-2</v>
      </c>
      <c r="AC123" s="42">
        <f>S123*(1-AB123)</f>
        <v>2553.70507</v>
      </c>
      <c r="AD123" s="42">
        <f>Q123*(1+'What-If Analysis'!F138)</f>
        <v>1297.42</v>
      </c>
      <c r="AE123" s="41">
        <f>W123*(1+'What-If Analysis'!$F$18)</f>
        <v>10.53</v>
      </c>
      <c r="AF123" s="42">
        <f t="shared" si="21"/>
        <v>26890.514387099996</v>
      </c>
      <c r="AG123" s="42">
        <f t="shared" si="22"/>
        <v>13661.8326</v>
      </c>
      <c r="AH123" s="42">
        <f t="shared" si="23"/>
        <v>13228.681787099997</v>
      </c>
      <c r="AI123" s="44">
        <f t="shared" si="24"/>
        <v>0.49194602961727285</v>
      </c>
      <c r="AJ123" s="42">
        <f t="shared" si="25"/>
        <v>3907.1687570999966</v>
      </c>
      <c r="AK123" s="42">
        <f t="shared" si="26"/>
        <v>11306.565629999999</v>
      </c>
      <c r="AL123" s="9">
        <f t="shared" si="27"/>
        <v>0</v>
      </c>
      <c r="AM123" s="42"/>
    </row>
    <row r="124" spans="1:39" x14ac:dyDescent="0.25">
      <c r="A124" t="s">
        <v>137</v>
      </c>
      <c r="B124" s="20">
        <v>45289</v>
      </c>
      <c r="C124" s="4">
        <v>45311</v>
      </c>
      <c r="D124" s="4" t="s">
        <v>1438</v>
      </c>
      <c r="E124" s="4">
        <v>45311</v>
      </c>
      <c r="F124" s="11">
        <f t="shared" si="14"/>
        <v>22</v>
      </c>
      <c r="G124" s="11" t="str">
        <f t="shared" si="17"/>
        <v>Does not Meet Target</v>
      </c>
      <c r="H124" t="s">
        <v>646</v>
      </c>
      <c r="I124" t="s">
        <v>650</v>
      </c>
      <c r="J124" t="s">
        <v>662</v>
      </c>
      <c r="K124" t="s">
        <v>701</v>
      </c>
      <c r="L124" t="s">
        <v>711</v>
      </c>
      <c r="M124" t="s">
        <v>716</v>
      </c>
      <c r="N124" t="s">
        <v>730</v>
      </c>
      <c r="O124" t="str" cm="1">
        <f t="array" ref="O124">_xlfn.IFS(S124&lt;=_xlfn.PERCENTILE.INC(IF(N124:N754=N124, S124:S754), 0.33), "Low", S124&lt;=_xlfn.PERCENTILE.INC(IF(N124:N754=N124, S124:S754), 0.66), "Medium", S124 &gt; _xlfn.PERCENTILE.INC(IF(N124:N754=N124, S124:S754), 0.66), "High")</f>
        <v>High</v>
      </c>
      <c r="P124" t="s">
        <v>856</v>
      </c>
      <c r="Q124" s="6">
        <v>1395.49</v>
      </c>
      <c r="R124" s="6">
        <v>1679.42</v>
      </c>
      <c r="S124" s="6">
        <v>1679.42</v>
      </c>
      <c r="T124" s="9">
        <v>0.20300000000000001</v>
      </c>
      <c r="U124" s="9">
        <f>IF(T124&gt;0.3, $AO$4, T124)</f>
        <v>0.20300000000000001</v>
      </c>
      <c r="V124" s="7" t="str">
        <f t="shared" si="18"/>
        <v>Greater than 20%</v>
      </c>
      <c r="W124" s="11">
        <v>12</v>
      </c>
      <c r="X124" s="6">
        <f t="shared" si="15"/>
        <v>16061.972879999999</v>
      </c>
      <c r="Y124" s="6">
        <f t="shared" si="16"/>
        <v>16745.88</v>
      </c>
      <c r="Z124" s="6">
        <f t="shared" si="19"/>
        <v>-683.90712000000167</v>
      </c>
      <c r="AA124" s="9">
        <f t="shared" si="20"/>
        <v>-4.2579272490964493E-2</v>
      </c>
      <c r="AB124" s="9">
        <f>IF(U124&gt;'What-If Analysis'!$F$16, 'What-If Analysis'!$F$16,T124)</f>
        <v>0.17</v>
      </c>
      <c r="AC124" s="42">
        <f>S124*(1-AB124)</f>
        <v>1393.9186</v>
      </c>
      <c r="AD124" s="42">
        <f>Q124*(1+'What-If Analysis'!F139)</f>
        <v>1395.49</v>
      </c>
      <c r="AE124" s="41">
        <f>W124*(1+'What-If Analysis'!$F$18)</f>
        <v>14.04</v>
      </c>
      <c r="AF124" s="42">
        <f t="shared" si="21"/>
        <v>19570.617144</v>
      </c>
      <c r="AG124" s="42">
        <f t="shared" si="22"/>
        <v>19592.679599999999</v>
      </c>
      <c r="AH124" s="42">
        <f t="shared" si="23"/>
        <v>-22.062455999999656</v>
      </c>
      <c r="AI124" s="44">
        <f t="shared" si="24"/>
        <v>-1.1273255124079524E-3</v>
      </c>
      <c r="AJ124" s="42">
        <f t="shared" si="25"/>
        <v>3508.6442640000005</v>
      </c>
      <c r="AK124" s="42">
        <f t="shared" si="26"/>
        <v>-683.90712000000167</v>
      </c>
      <c r="AL124" s="9">
        <f t="shared" si="27"/>
        <v>4.1451946978556538E-2</v>
      </c>
      <c r="AM124" s="42"/>
    </row>
    <row r="125" spans="1:39" x14ac:dyDescent="0.25">
      <c r="A125" t="s">
        <v>138</v>
      </c>
      <c r="B125" s="20">
        <v>45598</v>
      </c>
      <c r="C125" s="4">
        <v>45625</v>
      </c>
      <c r="D125" s="4" t="s">
        <v>1435</v>
      </c>
      <c r="E125" s="4">
        <v>45625</v>
      </c>
      <c r="F125" s="11">
        <f t="shared" si="14"/>
        <v>27</v>
      </c>
      <c r="G125" s="11" t="str">
        <f t="shared" si="17"/>
        <v>Does not Meet Target</v>
      </c>
      <c r="H125" t="s">
        <v>648</v>
      </c>
      <c r="I125" t="s">
        <v>655</v>
      </c>
      <c r="J125" t="s">
        <v>672</v>
      </c>
      <c r="K125" t="s">
        <v>705</v>
      </c>
      <c r="L125" t="s">
        <v>711</v>
      </c>
      <c r="M125" t="s">
        <v>714</v>
      </c>
      <c r="N125" t="s">
        <v>729</v>
      </c>
      <c r="O125" t="str" cm="1">
        <f t="array" ref="O125">_xlfn.IFS(S125&lt;=_xlfn.PERCENTILE.INC(IF(N125:N755=N125, S125:S755), 0.33), "Low", S125&lt;=_xlfn.PERCENTILE.INC(IF(N125:N755=N125, S125:S755), 0.66), "Medium", S125 &gt; _xlfn.PERCENTILE.INC(IF(N125:N755=N125, S125:S755), 0.66), "High")</f>
        <v>Medium</v>
      </c>
      <c r="P125" t="s">
        <v>857</v>
      </c>
      <c r="Q125" s="6">
        <v>1363.51</v>
      </c>
      <c r="R125" s="6">
        <v>1433.9</v>
      </c>
      <c r="S125" s="6">
        <v>1433.9</v>
      </c>
      <c r="T125" s="9">
        <v>5.7000000000000002E-2</v>
      </c>
      <c r="U125" s="9">
        <f>IF(T125&gt;0.3, $AO$4, T125)</f>
        <v>5.7000000000000002E-2</v>
      </c>
      <c r="V125" s="7" t="str">
        <f t="shared" si="18"/>
        <v>Less than 20%</v>
      </c>
      <c r="W125" s="11">
        <v>8</v>
      </c>
      <c r="X125" s="6">
        <f t="shared" si="15"/>
        <v>10817.3416</v>
      </c>
      <c r="Y125" s="6">
        <f t="shared" si="16"/>
        <v>10908.08</v>
      </c>
      <c r="Z125" s="6">
        <f t="shared" si="19"/>
        <v>-90.738400000000183</v>
      </c>
      <c r="AA125" s="9">
        <f t="shared" si="20"/>
        <v>-8.3882346842037592E-3</v>
      </c>
      <c r="AB125" s="9">
        <f>IF(U125&gt;'What-If Analysis'!$F$16, 'What-If Analysis'!$F$16,T125)</f>
        <v>5.7000000000000002E-2</v>
      </c>
      <c r="AC125" s="42">
        <f>S125*(1-AB125)</f>
        <v>1352.1677</v>
      </c>
      <c r="AD125" s="42">
        <f>Q125*(1+'What-If Analysis'!F140)</f>
        <v>1363.51</v>
      </c>
      <c r="AE125" s="41">
        <f>W125*(1+'What-If Analysis'!$F$18)</f>
        <v>9.36</v>
      </c>
      <c r="AF125" s="42">
        <f t="shared" si="21"/>
        <v>12656.289671999999</v>
      </c>
      <c r="AG125" s="42">
        <f t="shared" si="22"/>
        <v>12762.453599999999</v>
      </c>
      <c r="AH125" s="42">
        <f t="shared" si="23"/>
        <v>-106.16392799999994</v>
      </c>
      <c r="AI125" s="44">
        <f t="shared" si="24"/>
        <v>-8.3882346842037384E-3</v>
      </c>
      <c r="AJ125" s="42">
        <f t="shared" si="25"/>
        <v>1838.9480719999992</v>
      </c>
      <c r="AK125" s="42">
        <f t="shared" si="26"/>
        <v>-90.738400000000183</v>
      </c>
      <c r="AL125" s="9">
        <f t="shared" si="27"/>
        <v>2.0816681711721685E-17</v>
      </c>
      <c r="AM125" s="42"/>
    </row>
    <row r="126" spans="1:39" x14ac:dyDescent="0.25">
      <c r="A126" t="s">
        <v>139</v>
      </c>
      <c r="B126" s="20">
        <v>45159</v>
      </c>
      <c r="C126" s="4">
        <v>45173</v>
      </c>
      <c r="D126" s="4" t="s">
        <v>1444</v>
      </c>
      <c r="E126" s="4">
        <v>45173</v>
      </c>
      <c r="F126" s="11">
        <f t="shared" si="14"/>
        <v>14</v>
      </c>
      <c r="G126" s="11" t="str">
        <f t="shared" si="17"/>
        <v>Does not Meet Target</v>
      </c>
      <c r="H126" t="s">
        <v>648</v>
      </c>
      <c r="I126" t="s">
        <v>653</v>
      </c>
      <c r="J126" t="s">
        <v>681</v>
      </c>
      <c r="K126" t="s">
        <v>702</v>
      </c>
      <c r="L126" t="s">
        <v>710</v>
      </c>
      <c r="M126" t="s">
        <v>721</v>
      </c>
      <c r="N126" t="s">
        <v>727</v>
      </c>
      <c r="O126" t="str" cm="1">
        <f t="array" ref="O126">_xlfn.IFS(S126&lt;=_xlfn.PERCENTILE.INC(IF(N126:N756=N126, S126:S756), 0.33), "Low", S126&lt;=_xlfn.PERCENTILE.INC(IF(N126:N756=N126, S126:S756), 0.66), "Medium", S126 &gt; _xlfn.PERCENTILE.INC(IF(N126:N756=N126, S126:S756), 0.66), "High")</f>
        <v>Low</v>
      </c>
      <c r="P126" t="s">
        <v>858</v>
      </c>
      <c r="Q126" s="6">
        <v>178.19</v>
      </c>
      <c r="R126" s="6">
        <v>284.43</v>
      </c>
      <c r="S126" s="6">
        <v>284.43</v>
      </c>
      <c r="T126" s="9">
        <v>8.8999999999999996E-2</v>
      </c>
      <c r="U126" s="9">
        <f>IF(T126&gt;0.3, $AO$4, T126)</f>
        <v>8.8999999999999996E-2</v>
      </c>
      <c r="V126" s="7" t="str">
        <f t="shared" si="18"/>
        <v>Less than 20%</v>
      </c>
      <c r="W126" s="11">
        <v>8</v>
      </c>
      <c r="X126" s="6">
        <f t="shared" si="15"/>
        <v>2072.9258400000003</v>
      </c>
      <c r="Y126" s="6">
        <f t="shared" si="16"/>
        <v>1425.52</v>
      </c>
      <c r="Z126" s="6">
        <f t="shared" si="19"/>
        <v>647.40584000000035</v>
      </c>
      <c r="AA126" s="9">
        <f t="shared" si="20"/>
        <v>0.31231500302972742</v>
      </c>
      <c r="AB126" s="9">
        <f>IF(U126&gt;'What-If Analysis'!$F$16, 'What-If Analysis'!$F$16,T126)</f>
        <v>8.8999999999999996E-2</v>
      </c>
      <c r="AC126" s="42">
        <f>S126*(1-AB126)</f>
        <v>259.11573000000004</v>
      </c>
      <c r="AD126" s="42">
        <f>Q126*(1+'What-If Analysis'!F141)</f>
        <v>178.19</v>
      </c>
      <c r="AE126" s="41">
        <f>W126*(1+'What-If Analysis'!$F$18)</f>
        <v>9.36</v>
      </c>
      <c r="AF126" s="42">
        <f t="shared" si="21"/>
        <v>2425.3232328000004</v>
      </c>
      <c r="AG126" s="42">
        <f t="shared" si="22"/>
        <v>1667.8583999999998</v>
      </c>
      <c r="AH126" s="42">
        <f t="shared" si="23"/>
        <v>757.46483280000052</v>
      </c>
      <c r="AI126" s="44">
        <f t="shared" si="24"/>
        <v>0.31231500302972748</v>
      </c>
      <c r="AJ126" s="42">
        <f t="shared" si="25"/>
        <v>352.39739280000003</v>
      </c>
      <c r="AK126" s="42">
        <f t="shared" si="26"/>
        <v>647.40584000000035</v>
      </c>
      <c r="AL126" s="9">
        <f t="shared" si="27"/>
        <v>0</v>
      </c>
      <c r="AM126" s="42"/>
    </row>
    <row r="127" spans="1:39" x14ac:dyDescent="0.25">
      <c r="A127" t="s">
        <v>140</v>
      </c>
      <c r="B127" s="20">
        <v>45150</v>
      </c>
      <c r="C127" s="4">
        <v>45175</v>
      </c>
      <c r="D127" s="4" t="s">
        <v>1444</v>
      </c>
      <c r="E127" s="4">
        <v>45175</v>
      </c>
      <c r="F127" s="11">
        <f t="shared" si="14"/>
        <v>25</v>
      </c>
      <c r="G127" s="11" t="str">
        <f t="shared" si="17"/>
        <v>Does not Meet Target</v>
      </c>
      <c r="H127" t="s">
        <v>647</v>
      </c>
      <c r="I127" t="s">
        <v>659</v>
      </c>
      <c r="J127" t="s">
        <v>685</v>
      </c>
      <c r="K127" t="s">
        <v>705</v>
      </c>
      <c r="L127" t="s">
        <v>707</v>
      </c>
      <c r="M127" t="s">
        <v>717</v>
      </c>
      <c r="N127" t="s">
        <v>727</v>
      </c>
      <c r="O127" t="str" cm="1">
        <f t="array" ref="O127">_xlfn.IFS(S127&lt;=_xlfn.PERCENTILE.INC(IF(N127:N757=N127, S127:S757), 0.33), "Low", S127&lt;=_xlfn.PERCENTILE.INC(IF(N127:N757=N127, S127:S757), 0.66), "Medium", S127 &gt; _xlfn.PERCENTILE.INC(IF(N127:N757=N127, S127:S757), 0.66), "High")</f>
        <v>Low</v>
      </c>
      <c r="P127" t="s">
        <v>859</v>
      </c>
      <c r="Q127" s="6">
        <v>950.77</v>
      </c>
      <c r="R127" s="6">
        <v>694.78</v>
      </c>
      <c r="S127" s="6">
        <v>694.78</v>
      </c>
      <c r="T127" s="9">
        <v>8.4000000000000005E-2</v>
      </c>
      <c r="U127" s="9">
        <f>IF(T127&gt;0.3, $AO$4, T127)</f>
        <v>8.4000000000000005E-2</v>
      </c>
      <c r="V127" s="7" t="str">
        <f t="shared" si="18"/>
        <v>Less than 20%</v>
      </c>
      <c r="W127" s="11">
        <v>14</v>
      </c>
      <c r="X127" s="6">
        <f t="shared" si="15"/>
        <v>8909.8587200000002</v>
      </c>
      <c r="Y127" s="6">
        <f t="shared" si="16"/>
        <v>13310.779999999999</v>
      </c>
      <c r="Z127" s="6">
        <f t="shared" si="19"/>
        <v>-4400.9212799999987</v>
      </c>
      <c r="AA127" s="9">
        <f t="shared" si="20"/>
        <v>-0.49393839097821279</v>
      </c>
      <c r="AB127" s="9">
        <f>IF(U127&gt;'What-If Analysis'!$F$16, 'What-If Analysis'!$F$16,T127)</f>
        <v>8.4000000000000005E-2</v>
      </c>
      <c r="AC127" s="42">
        <f>S127*(1-AB127)</f>
        <v>636.41848000000005</v>
      </c>
      <c r="AD127" s="42">
        <f>Q127*(1+'What-If Analysis'!F142)</f>
        <v>950.77</v>
      </c>
      <c r="AE127" s="41">
        <f>W127*(1+'What-If Analysis'!$F$18)</f>
        <v>16.38</v>
      </c>
      <c r="AF127" s="42">
        <f t="shared" si="21"/>
        <v>10424.5347024</v>
      </c>
      <c r="AG127" s="42">
        <f t="shared" si="22"/>
        <v>15573.612599999999</v>
      </c>
      <c r="AH127" s="42">
        <f t="shared" si="23"/>
        <v>-5149.0778975999983</v>
      </c>
      <c r="AI127" s="44">
        <f t="shared" si="24"/>
        <v>-0.49393839097821279</v>
      </c>
      <c r="AJ127" s="42">
        <f t="shared" si="25"/>
        <v>1514.6759824000001</v>
      </c>
      <c r="AK127" s="42">
        <f t="shared" si="26"/>
        <v>-4400.9212799999987</v>
      </c>
      <c r="AL127" s="9">
        <f t="shared" si="27"/>
        <v>0</v>
      </c>
      <c r="AM127" s="42"/>
    </row>
    <row r="128" spans="1:39" x14ac:dyDescent="0.25">
      <c r="A128" t="s">
        <v>141</v>
      </c>
      <c r="B128" s="20">
        <v>45450</v>
      </c>
      <c r="C128" s="4">
        <v>45469</v>
      </c>
      <c r="D128" s="4" t="s">
        <v>1439</v>
      </c>
      <c r="E128" s="4">
        <v>45469</v>
      </c>
      <c r="F128" s="11">
        <f t="shared" si="14"/>
        <v>19</v>
      </c>
      <c r="G128" s="11" t="str">
        <f t="shared" si="17"/>
        <v>Does not Meet Target</v>
      </c>
      <c r="H128" t="s">
        <v>649</v>
      </c>
      <c r="I128" t="s">
        <v>656</v>
      </c>
      <c r="J128" t="s">
        <v>671</v>
      </c>
      <c r="K128" t="s">
        <v>703</v>
      </c>
      <c r="L128" t="s">
        <v>709</v>
      </c>
      <c r="M128" t="s">
        <v>724</v>
      </c>
      <c r="N128" t="s">
        <v>727</v>
      </c>
      <c r="O128" t="str" cm="1">
        <f t="array" ref="O128">_xlfn.IFS(S128&lt;=_xlfn.PERCENTILE.INC(IF(N128:N758=N128, S128:S758), 0.33), "Low", S128&lt;=_xlfn.PERCENTILE.INC(IF(N128:N758=N128, S128:S758), 0.66), "Medium", S128 &gt; _xlfn.PERCENTILE.INC(IF(N128:N758=N128, S128:S758), 0.66), "High")</f>
        <v>High</v>
      </c>
      <c r="P128" t="s">
        <v>860</v>
      </c>
      <c r="Q128" s="6">
        <v>1064.32</v>
      </c>
      <c r="R128" s="6">
        <v>1848.39</v>
      </c>
      <c r="S128" s="6">
        <v>1848.39</v>
      </c>
      <c r="T128" s="9">
        <v>7.2999999999999995E-2</v>
      </c>
      <c r="U128" s="9">
        <f>IF(T128&gt;0.3, $AO$4, T128)</f>
        <v>7.2999999999999995E-2</v>
      </c>
      <c r="V128" s="7" t="str">
        <f t="shared" si="18"/>
        <v>Less than 20%</v>
      </c>
      <c r="W128" s="11">
        <v>38</v>
      </c>
      <c r="X128" s="6">
        <f t="shared" si="15"/>
        <v>65111.38614000001</v>
      </c>
      <c r="Y128" s="6">
        <f t="shared" si="16"/>
        <v>40444.159999999996</v>
      </c>
      <c r="Z128" s="6">
        <f t="shared" si="19"/>
        <v>24667.226140000013</v>
      </c>
      <c r="AA128" s="9">
        <f t="shared" si="20"/>
        <v>0.3788465827921631</v>
      </c>
      <c r="AB128" s="9">
        <f>IF(U128&gt;'What-If Analysis'!$F$16, 'What-If Analysis'!$F$16,T128)</f>
        <v>7.2999999999999995E-2</v>
      </c>
      <c r="AC128" s="42">
        <f>S128*(1-AB128)</f>
        <v>1713.4575300000001</v>
      </c>
      <c r="AD128" s="42">
        <f>Q128*(1+'What-If Analysis'!F143)</f>
        <v>1064.32</v>
      </c>
      <c r="AE128" s="41">
        <f>W128*(1+'What-If Analysis'!$F$18)</f>
        <v>44.459999999999994</v>
      </c>
      <c r="AF128" s="42">
        <f t="shared" si="21"/>
        <v>76180.321783799998</v>
      </c>
      <c r="AG128" s="42">
        <f t="shared" si="22"/>
        <v>47319.667199999989</v>
      </c>
      <c r="AH128" s="42">
        <f t="shared" si="23"/>
        <v>28860.654583800009</v>
      </c>
      <c r="AI128" s="44">
        <f t="shared" si="24"/>
        <v>0.37884658279216304</v>
      </c>
      <c r="AJ128" s="42">
        <f t="shared" si="25"/>
        <v>11068.935643799989</v>
      </c>
      <c r="AK128" s="42">
        <f t="shared" si="26"/>
        <v>24667.226140000013</v>
      </c>
      <c r="AL128" s="9">
        <f t="shared" si="27"/>
        <v>0</v>
      </c>
      <c r="AM128" s="42"/>
    </row>
    <row r="129" spans="1:39" x14ac:dyDescent="0.25">
      <c r="A129" t="s">
        <v>142</v>
      </c>
      <c r="B129" s="20">
        <v>45874</v>
      </c>
      <c r="C129" s="4">
        <v>45883</v>
      </c>
      <c r="D129" s="4" t="s">
        <v>1441</v>
      </c>
      <c r="E129" s="4">
        <v>45883</v>
      </c>
      <c r="F129" s="11">
        <f t="shared" si="14"/>
        <v>9</v>
      </c>
      <c r="G129" s="11" t="str">
        <f t="shared" si="17"/>
        <v>Does not Meet Target</v>
      </c>
      <c r="H129" t="s">
        <v>649</v>
      </c>
      <c r="I129" t="s">
        <v>658</v>
      </c>
      <c r="J129" t="s">
        <v>683</v>
      </c>
      <c r="K129" t="s">
        <v>703</v>
      </c>
      <c r="L129" t="s">
        <v>711</v>
      </c>
      <c r="M129" t="s">
        <v>718</v>
      </c>
      <c r="N129" t="s">
        <v>727</v>
      </c>
      <c r="O129" t="str" cm="1">
        <f t="array" ref="O129">_xlfn.IFS(S129&lt;=_xlfn.PERCENTILE.INC(IF(N129:N759=N129, S129:S759), 0.33), "Low", S129&lt;=_xlfn.PERCENTILE.INC(IF(N129:N759=N129, S129:S759), 0.66), "Medium", S129 &gt; _xlfn.PERCENTILE.INC(IF(N129:N759=N129, S129:S759), 0.66), "High")</f>
        <v>Low</v>
      </c>
      <c r="P129" t="s">
        <v>861</v>
      </c>
      <c r="Q129" s="6">
        <v>41.76</v>
      </c>
      <c r="R129" s="6">
        <v>45.19</v>
      </c>
      <c r="S129" s="6">
        <v>45.19</v>
      </c>
      <c r="T129" s="9">
        <v>0.17899999999999999</v>
      </c>
      <c r="U129" s="9">
        <f>IF(T129&gt;0.3, $AO$4, T129)</f>
        <v>0.17899999999999999</v>
      </c>
      <c r="V129" s="7" t="str">
        <f t="shared" si="18"/>
        <v>Less than 20%</v>
      </c>
      <c r="W129" s="11">
        <v>23</v>
      </c>
      <c r="X129" s="6">
        <f t="shared" si="15"/>
        <v>853.32276999999988</v>
      </c>
      <c r="Y129" s="6">
        <f t="shared" si="16"/>
        <v>960.4799999999999</v>
      </c>
      <c r="Z129" s="6">
        <f t="shared" si="19"/>
        <v>-107.15723000000003</v>
      </c>
      <c r="AA129" s="9">
        <f t="shared" si="20"/>
        <v>-0.12557643340514638</v>
      </c>
      <c r="AB129" s="9">
        <f>IF(U129&gt;'What-If Analysis'!$F$16, 'What-If Analysis'!$F$16,T129)</f>
        <v>0.17</v>
      </c>
      <c r="AC129" s="42">
        <f>S129*(1-AB129)</f>
        <v>37.5077</v>
      </c>
      <c r="AD129" s="42">
        <f>Q129*(1+'What-If Analysis'!F144)</f>
        <v>41.76</v>
      </c>
      <c r="AE129" s="41">
        <f>W129*(1+'What-If Analysis'!$F$18)</f>
        <v>26.909999999999997</v>
      </c>
      <c r="AF129" s="42">
        <f t="shared" si="21"/>
        <v>1009.3322069999998</v>
      </c>
      <c r="AG129" s="42">
        <f t="shared" si="22"/>
        <v>1123.7615999999998</v>
      </c>
      <c r="AH129" s="42">
        <f t="shared" si="23"/>
        <v>-114.429393</v>
      </c>
      <c r="AI129" s="44">
        <f t="shared" si="24"/>
        <v>-0.11337138774171705</v>
      </c>
      <c r="AJ129" s="42">
        <f t="shared" si="25"/>
        <v>156.00943699999993</v>
      </c>
      <c r="AK129" s="42">
        <f t="shared" si="26"/>
        <v>-107.15723000000003</v>
      </c>
      <c r="AL129" s="9">
        <f t="shared" si="27"/>
        <v>1.2205045663429323E-2</v>
      </c>
      <c r="AM129" s="42"/>
    </row>
    <row r="130" spans="1:39" x14ac:dyDescent="0.25">
      <c r="A130" t="s">
        <v>143</v>
      </c>
      <c r="B130" s="20">
        <v>45442</v>
      </c>
      <c r="C130" s="4">
        <v>45456</v>
      </c>
      <c r="D130" s="4" t="s">
        <v>1439</v>
      </c>
      <c r="E130" s="4">
        <v>45456</v>
      </c>
      <c r="F130" s="11">
        <f t="shared" ref="F130:F193" si="28">E130-B130</f>
        <v>14</v>
      </c>
      <c r="G130" s="11" t="str">
        <f t="shared" si="17"/>
        <v>Does not Meet Target</v>
      </c>
      <c r="H130" t="s">
        <v>648</v>
      </c>
      <c r="I130" t="s">
        <v>660</v>
      </c>
      <c r="J130" t="s">
        <v>686</v>
      </c>
      <c r="K130" t="s">
        <v>705</v>
      </c>
      <c r="L130" t="s">
        <v>707</v>
      </c>
      <c r="M130" t="s">
        <v>721</v>
      </c>
      <c r="N130" t="s">
        <v>730</v>
      </c>
      <c r="O130" t="str" cm="1">
        <f t="array" ref="O130">_xlfn.IFS(S130&lt;=_xlfn.PERCENTILE.INC(IF(N130:N760=N130, S130:S760), 0.33), "Low", S130&lt;=_xlfn.PERCENTILE.INC(IF(N130:N760=N130, S130:S760), 0.66), "Medium", S130 &gt; _xlfn.PERCENTILE.INC(IF(N130:N760=N130, S130:S760), 0.66), "High")</f>
        <v>Low</v>
      </c>
      <c r="P130" t="s">
        <v>862</v>
      </c>
      <c r="Q130" s="6">
        <v>157.78</v>
      </c>
      <c r="R130" s="6">
        <v>361.1</v>
      </c>
      <c r="S130" s="6">
        <v>361.1</v>
      </c>
      <c r="T130" s="9">
        <v>0.187</v>
      </c>
      <c r="U130" s="9">
        <f>IF(T130&gt;0.3, $AO$4, T130)</f>
        <v>0.187</v>
      </c>
      <c r="V130" s="7" t="str">
        <f t="shared" si="18"/>
        <v>Less than 20%</v>
      </c>
      <c r="W130" s="11">
        <v>9</v>
      </c>
      <c r="X130" s="6">
        <f t="shared" ref="X130:X193" si="29">S130*W130*(1-U130)</f>
        <v>2642.1686999999997</v>
      </c>
      <c r="Y130" s="6">
        <f t="shared" ref="Y130:Y193" si="30">Q130*W130</f>
        <v>1420.02</v>
      </c>
      <c r="Z130" s="6">
        <f t="shared" si="19"/>
        <v>1222.1486999999997</v>
      </c>
      <c r="AA130" s="9">
        <f t="shared" si="20"/>
        <v>0.46255513510549112</v>
      </c>
      <c r="AB130" s="9">
        <f>IF(U130&gt;'What-If Analysis'!$F$16, 'What-If Analysis'!$F$16,T130)</f>
        <v>0.17</v>
      </c>
      <c r="AC130" s="42">
        <f>S130*(1-AB130)</f>
        <v>299.71300000000002</v>
      </c>
      <c r="AD130" s="42">
        <f>Q130*(1+'What-If Analysis'!F145)</f>
        <v>157.78</v>
      </c>
      <c r="AE130" s="41">
        <f>W130*(1+'What-If Analysis'!$F$18)</f>
        <v>10.53</v>
      </c>
      <c r="AF130" s="42">
        <f t="shared" si="21"/>
        <v>3155.9778900000001</v>
      </c>
      <c r="AG130" s="42">
        <f t="shared" si="22"/>
        <v>1661.4233999999999</v>
      </c>
      <c r="AH130" s="42">
        <f t="shared" si="23"/>
        <v>1494.5544900000002</v>
      </c>
      <c r="AI130" s="44">
        <f t="shared" si="24"/>
        <v>0.47356304197682453</v>
      </c>
      <c r="AJ130" s="42">
        <f t="shared" si="25"/>
        <v>513.8091900000004</v>
      </c>
      <c r="AK130" s="42">
        <f t="shared" si="26"/>
        <v>1222.1486999999997</v>
      </c>
      <c r="AL130" s="9">
        <f t="shared" si="27"/>
        <v>1.1007906871333406E-2</v>
      </c>
      <c r="AM130" s="42"/>
    </row>
    <row r="131" spans="1:39" x14ac:dyDescent="0.25">
      <c r="A131" t="s">
        <v>144</v>
      </c>
      <c r="B131" s="20">
        <v>44948</v>
      </c>
      <c r="C131" s="4">
        <v>44956</v>
      </c>
      <c r="D131" s="4" t="s">
        <v>1436</v>
      </c>
      <c r="E131" s="4">
        <v>44956</v>
      </c>
      <c r="F131" s="11">
        <f t="shared" si="28"/>
        <v>8</v>
      </c>
      <c r="G131" s="11" t="str">
        <f t="shared" ref="G131:G194" si="31">IF(F131&lt;=7, "Meets Target", "Does not Meet Target")</f>
        <v>Does not Meet Target</v>
      </c>
      <c r="H131" t="s">
        <v>648</v>
      </c>
      <c r="I131" t="s">
        <v>660</v>
      </c>
      <c r="J131" t="s">
        <v>686</v>
      </c>
      <c r="K131" t="s">
        <v>705</v>
      </c>
      <c r="L131" t="s">
        <v>708</v>
      </c>
      <c r="M131" t="s">
        <v>720</v>
      </c>
      <c r="N131" t="s">
        <v>729</v>
      </c>
      <c r="O131" t="str" cm="1">
        <f t="array" ref="O131">_xlfn.IFS(S131&lt;=_xlfn.PERCENTILE.INC(IF(N131:N761=N131, S131:S761), 0.33), "Low", S131&lt;=_xlfn.PERCENTILE.INC(IF(N131:N761=N131, S131:S761), 0.66), "Medium", S131 &gt; _xlfn.PERCENTILE.INC(IF(N131:N761=N131, S131:S761), 0.66), "High")</f>
        <v>Medium</v>
      </c>
      <c r="P131" t="s">
        <v>863</v>
      </c>
      <c r="Q131" s="6">
        <v>413.52</v>
      </c>
      <c r="R131" s="6">
        <v>1004.34</v>
      </c>
      <c r="S131" s="6">
        <v>1004.34</v>
      </c>
      <c r="T131" s="9">
        <v>0.111</v>
      </c>
      <c r="U131" s="9">
        <f>IF(T131&gt;0.3, $AO$4, T131)</f>
        <v>0.111</v>
      </c>
      <c r="V131" s="7" t="str">
        <f t="shared" ref="V131:V194" si="32">IF(U131&gt;20%, "Greater than 20%", "Less than 20%")</f>
        <v>Less than 20%</v>
      </c>
      <c r="W131" s="11">
        <v>18</v>
      </c>
      <c r="X131" s="6">
        <f t="shared" si="29"/>
        <v>16071.44868</v>
      </c>
      <c r="Y131" s="6">
        <f t="shared" si="30"/>
        <v>7443.36</v>
      </c>
      <c r="Z131" s="6">
        <f t="shared" ref="Z131:Z194" si="33">X131-Y131</f>
        <v>8628.0886800000007</v>
      </c>
      <c r="AA131" s="9">
        <f t="shared" ref="AA131:AA194" si="34">IF(X131=0, 0, Z131/X131)</f>
        <v>0.53685817948304593</v>
      </c>
      <c r="AB131" s="9">
        <f>IF(U131&gt;'What-If Analysis'!$F$16, 'What-If Analysis'!$F$16,T131)</f>
        <v>0.111</v>
      </c>
      <c r="AC131" s="42">
        <f>S131*(1-AB131)</f>
        <v>892.85826000000009</v>
      </c>
      <c r="AD131" s="42">
        <f>Q131*(1+'What-If Analysis'!F146)</f>
        <v>413.52</v>
      </c>
      <c r="AE131" s="41">
        <f>W131*(1+'What-If Analysis'!$F$18)</f>
        <v>21.06</v>
      </c>
      <c r="AF131" s="42">
        <f t="shared" ref="AF131:AF194" si="35">AC131*AE131</f>
        <v>18803.594955600001</v>
      </c>
      <c r="AG131" s="42">
        <f t="shared" ref="AG131:AG194" si="36">AD131*AE131</f>
        <v>8708.7311999999984</v>
      </c>
      <c r="AH131" s="42">
        <f t="shared" ref="AH131:AH194" si="37">AF131-AG131</f>
        <v>10094.863755600003</v>
      </c>
      <c r="AI131" s="44">
        <f t="shared" ref="AI131:AI194" si="38">IF(AF131=0, 0, AH131/AF131)</f>
        <v>0.53685817948304593</v>
      </c>
      <c r="AJ131" s="42">
        <f t="shared" ref="AJ131:AJ194" si="39">AF131-X131</f>
        <v>2732.1462756000019</v>
      </c>
      <c r="AK131" s="42">
        <f t="shared" ref="AK131:AK194" si="40">Z131</f>
        <v>8628.0886800000007</v>
      </c>
      <c r="AL131" s="9">
        <f t="shared" ref="AL131:AL194" si="41">AI131-AA131</f>
        <v>0</v>
      </c>
      <c r="AM131" s="42"/>
    </row>
    <row r="132" spans="1:39" x14ac:dyDescent="0.25">
      <c r="A132" t="s">
        <v>145</v>
      </c>
      <c r="B132" s="20">
        <v>45700</v>
      </c>
      <c r="C132" s="4">
        <v>45716</v>
      </c>
      <c r="D132" s="4" t="s">
        <v>1437</v>
      </c>
      <c r="E132" s="4">
        <v>45716</v>
      </c>
      <c r="F132" s="11">
        <f t="shared" si="28"/>
        <v>16</v>
      </c>
      <c r="G132" s="11" t="str">
        <f t="shared" si="31"/>
        <v>Does not Meet Target</v>
      </c>
      <c r="H132" t="s">
        <v>648</v>
      </c>
      <c r="I132" t="s">
        <v>655</v>
      </c>
      <c r="J132" t="s">
        <v>670</v>
      </c>
      <c r="K132" t="s">
        <v>703</v>
      </c>
      <c r="L132" t="s">
        <v>711</v>
      </c>
      <c r="M132" t="s">
        <v>717</v>
      </c>
      <c r="N132" t="s">
        <v>732</v>
      </c>
      <c r="O132" t="str" cm="1">
        <f t="array" ref="O132">_xlfn.IFS(S132&lt;=_xlfn.PERCENTILE.INC(IF(N132:N762=N132, S132:S762), 0.33), "Low", S132&lt;=_xlfn.PERCENTILE.INC(IF(N132:N762=N132, S132:S762), 0.66), "Medium", S132 &gt; _xlfn.PERCENTILE.INC(IF(N132:N762=N132, S132:S762), 0.66), "High")</f>
        <v>Medium</v>
      </c>
      <c r="P132" t="s">
        <v>864</v>
      </c>
      <c r="Q132" s="6">
        <v>414.95</v>
      </c>
      <c r="R132" s="6">
        <v>1027.73</v>
      </c>
      <c r="S132" s="6">
        <v>1027.73</v>
      </c>
      <c r="T132" s="9">
        <v>6.3E-2</v>
      </c>
      <c r="U132" s="9">
        <f>IF(T132&gt;0.3, $AO$4, T132)</f>
        <v>6.3E-2</v>
      </c>
      <c r="V132" s="7" t="str">
        <f t="shared" si="32"/>
        <v>Less than 20%</v>
      </c>
      <c r="W132" s="11">
        <v>8</v>
      </c>
      <c r="X132" s="6">
        <f t="shared" si="29"/>
        <v>7703.8640800000003</v>
      </c>
      <c r="Y132" s="6">
        <f t="shared" si="30"/>
        <v>3319.6</v>
      </c>
      <c r="Z132" s="6">
        <f t="shared" si="33"/>
        <v>4384.2640800000008</v>
      </c>
      <c r="AA132" s="9">
        <f t="shared" si="34"/>
        <v>0.56909935513815568</v>
      </c>
      <c r="AB132" s="9">
        <f>IF(U132&gt;'What-If Analysis'!$F$16, 'What-If Analysis'!$F$16,T132)</f>
        <v>6.3E-2</v>
      </c>
      <c r="AC132" s="42">
        <f>S132*(1-AB132)</f>
        <v>962.98301000000004</v>
      </c>
      <c r="AD132" s="42">
        <f>Q132*(1+'What-If Analysis'!F147)</f>
        <v>414.95</v>
      </c>
      <c r="AE132" s="41">
        <f>W132*(1+'What-If Analysis'!$F$18)</f>
        <v>9.36</v>
      </c>
      <c r="AF132" s="42">
        <f t="shared" si="35"/>
        <v>9013.5209735999997</v>
      </c>
      <c r="AG132" s="42">
        <f t="shared" si="36"/>
        <v>3883.9319999999998</v>
      </c>
      <c r="AH132" s="42">
        <f t="shared" si="37"/>
        <v>5129.5889735999999</v>
      </c>
      <c r="AI132" s="44">
        <f t="shared" si="38"/>
        <v>0.56909935513815557</v>
      </c>
      <c r="AJ132" s="42">
        <f t="shared" si="39"/>
        <v>1309.6568935999994</v>
      </c>
      <c r="AK132" s="42">
        <f t="shared" si="40"/>
        <v>4384.2640800000008</v>
      </c>
      <c r="AL132" s="9">
        <f t="shared" si="41"/>
        <v>0</v>
      </c>
      <c r="AM132" s="42"/>
    </row>
    <row r="133" spans="1:39" x14ac:dyDescent="0.25">
      <c r="A133" t="s">
        <v>146</v>
      </c>
      <c r="B133" s="20">
        <v>45719</v>
      </c>
      <c r="C133" s="4">
        <v>45740</v>
      </c>
      <c r="D133" s="4" t="s">
        <v>1437</v>
      </c>
      <c r="E133" s="4">
        <v>45740</v>
      </c>
      <c r="F133" s="11">
        <f t="shared" si="28"/>
        <v>21</v>
      </c>
      <c r="G133" s="11" t="str">
        <f t="shared" si="31"/>
        <v>Does not Meet Target</v>
      </c>
      <c r="H133" t="s">
        <v>646</v>
      </c>
      <c r="I133" t="s">
        <v>651</v>
      </c>
      <c r="J133" t="s">
        <v>669</v>
      </c>
      <c r="K133" t="s">
        <v>706</v>
      </c>
      <c r="L133" t="s">
        <v>711</v>
      </c>
      <c r="M133" t="s">
        <v>722</v>
      </c>
      <c r="N133" t="s">
        <v>733</v>
      </c>
      <c r="O133" t="str" cm="1">
        <f t="array" ref="O133">_xlfn.IFS(S133&lt;=_xlfn.PERCENTILE.INC(IF(N133:N763=N133, S133:S763), 0.33), "Low", S133&lt;=_xlfn.PERCENTILE.INC(IF(N133:N763=N133, S133:S763), 0.66), "Medium", S133 &gt; _xlfn.PERCENTILE.INC(IF(N133:N763=N133, S133:S763), 0.66), "High")</f>
        <v>Low</v>
      </c>
      <c r="P133" t="s">
        <v>865</v>
      </c>
      <c r="Q133" s="6">
        <v>555.95000000000005</v>
      </c>
      <c r="R133" s="6">
        <v>468.09</v>
      </c>
      <c r="S133" s="6">
        <v>468.09</v>
      </c>
      <c r="T133" s="9">
        <v>0.14199999999999999</v>
      </c>
      <c r="U133" s="9">
        <f>IF(T133&gt;0.3, $AO$4, T133)</f>
        <v>0.14199999999999999</v>
      </c>
      <c r="V133" s="7" t="str">
        <f t="shared" si="32"/>
        <v>Less than 20%</v>
      </c>
      <c r="W133" s="11">
        <v>11</v>
      </c>
      <c r="X133" s="6">
        <f t="shared" si="29"/>
        <v>4417.8334199999999</v>
      </c>
      <c r="Y133" s="6">
        <f t="shared" si="30"/>
        <v>6115.4500000000007</v>
      </c>
      <c r="Z133" s="6">
        <f t="shared" si="33"/>
        <v>-1697.6165800000008</v>
      </c>
      <c r="AA133" s="9">
        <f t="shared" si="34"/>
        <v>-0.38426450674095375</v>
      </c>
      <c r="AB133" s="9">
        <f>IF(U133&gt;'What-If Analysis'!$F$16, 'What-If Analysis'!$F$16,T133)</f>
        <v>0.14199999999999999</v>
      </c>
      <c r="AC133" s="42">
        <f>S133*(1-AB133)</f>
        <v>401.62121999999999</v>
      </c>
      <c r="AD133" s="42">
        <f>Q133*(1+'What-If Analysis'!F148)</f>
        <v>555.95000000000005</v>
      </c>
      <c r="AE133" s="41">
        <f>W133*(1+'What-If Analysis'!$F$18)</f>
        <v>12.87</v>
      </c>
      <c r="AF133" s="42">
        <f t="shared" si="35"/>
        <v>5168.8651013999997</v>
      </c>
      <c r="AG133" s="42">
        <f t="shared" si="36"/>
        <v>7155.0765000000001</v>
      </c>
      <c r="AH133" s="42">
        <f t="shared" si="37"/>
        <v>-1986.2113986000004</v>
      </c>
      <c r="AI133" s="44">
        <f t="shared" si="38"/>
        <v>-0.38426450674095369</v>
      </c>
      <c r="AJ133" s="42">
        <f t="shared" si="39"/>
        <v>751.0316813999998</v>
      </c>
      <c r="AK133" s="42">
        <f t="shared" si="40"/>
        <v>-1697.6165800000008</v>
      </c>
      <c r="AL133" s="9">
        <f t="shared" si="41"/>
        <v>0</v>
      </c>
      <c r="AM133" s="42"/>
    </row>
    <row r="134" spans="1:39" x14ac:dyDescent="0.25">
      <c r="A134" t="s">
        <v>147</v>
      </c>
      <c r="B134" s="20">
        <v>44953</v>
      </c>
      <c r="C134" s="4">
        <v>44957</v>
      </c>
      <c r="D134" s="4" t="s">
        <v>1436</v>
      </c>
      <c r="E134" s="4">
        <v>44957</v>
      </c>
      <c r="F134" s="11">
        <f t="shared" si="28"/>
        <v>4</v>
      </c>
      <c r="G134" s="11" t="str">
        <f t="shared" si="31"/>
        <v>Meets Target</v>
      </c>
      <c r="H134" t="s">
        <v>649</v>
      </c>
      <c r="I134" t="s">
        <v>658</v>
      </c>
      <c r="J134" t="s">
        <v>693</v>
      </c>
      <c r="K134" t="s">
        <v>706</v>
      </c>
      <c r="L134" t="s">
        <v>708</v>
      </c>
      <c r="M134" t="s">
        <v>725</v>
      </c>
      <c r="N134" t="s">
        <v>731</v>
      </c>
      <c r="O134" t="str" cm="1">
        <f t="array" ref="O134">_xlfn.IFS(S134&lt;=_xlfn.PERCENTILE.INC(IF(N134:N764=N134, S134:S764), 0.33), "Low", S134&lt;=_xlfn.PERCENTILE.INC(IF(N134:N764=N134, S134:S764), 0.66), "Medium", S134 &gt; _xlfn.PERCENTILE.INC(IF(N134:N764=N134, S134:S764), 0.66), "High")</f>
        <v>Low</v>
      </c>
      <c r="P134" t="s">
        <v>866</v>
      </c>
      <c r="Q134" s="6">
        <v>941.2</v>
      </c>
      <c r="R134" s="6">
        <v>668.02</v>
      </c>
      <c r="S134" s="6">
        <v>668.02</v>
      </c>
      <c r="T134" s="9">
        <v>0.22</v>
      </c>
      <c r="U134" s="9">
        <f>IF(T134&gt;0.3, $AO$4, T134)</f>
        <v>0.22</v>
      </c>
      <c r="V134" s="7" t="str">
        <f t="shared" si="32"/>
        <v>Greater than 20%</v>
      </c>
      <c r="W134" s="11">
        <v>16</v>
      </c>
      <c r="X134" s="6">
        <f t="shared" si="29"/>
        <v>8336.8896000000004</v>
      </c>
      <c r="Y134" s="6">
        <f t="shared" si="30"/>
        <v>15059.2</v>
      </c>
      <c r="Z134" s="6">
        <f t="shared" si="33"/>
        <v>-6722.3104000000003</v>
      </c>
      <c r="AA134" s="9">
        <f t="shared" si="34"/>
        <v>-0.80633314371825193</v>
      </c>
      <c r="AB134" s="9">
        <f>IF(U134&gt;'What-If Analysis'!$F$16, 'What-If Analysis'!$F$16,T134)</f>
        <v>0.17</v>
      </c>
      <c r="AC134" s="42">
        <f>S134*(1-AB134)</f>
        <v>554.45659999999998</v>
      </c>
      <c r="AD134" s="42">
        <f>Q134*(1+'What-If Analysis'!F149)</f>
        <v>941.2</v>
      </c>
      <c r="AE134" s="41">
        <f>W134*(1+'What-If Analysis'!$F$18)</f>
        <v>18.72</v>
      </c>
      <c r="AF134" s="42">
        <f t="shared" si="35"/>
        <v>10379.427551999999</v>
      </c>
      <c r="AG134" s="42">
        <f t="shared" si="36"/>
        <v>17619.263999999999</v>
      </c>
      <c r="AH134" s="42">
        <f t="shared" si="37"/>
        <v>-7239.836448</v>
      </c>
      <c r="AI134" s="44">
        <f t="shared" si="38"/>
        <v>-0.69751789409667053</v>
      </c>
      <c r="AJ134" s="42">
        <f t="shared" si="39"/>
        <v>2042.5379519999988</v>
      </c>
      <c r="AK134" s="42">
        <f t="shared" si="40"/>
        <v>-6722.3104000000003</v>
      </c>
      <c r="AL134" s="9">
        <f t="shared" si="41"/>
        <v>0.1088152496215814</v>
      </c>
      <c r="AM134" s="42"/>
    </row>
    <row r="135" spans="1:39" x14ac:dyDescent="0.25">
      <c r="A135" t="s">
        <v>148</v>
      </c>
      <c r="B135" s="20">
        <v>45666</v>
      </c>
      <c r="C135" s="4">
        <v>45672</v>
      </c>
      <c r="D135" s="4" t="s">
        <v>1437</v>
      </c>
      <c r="E135" s="4">
        <v>45672</v>
      </c>
      <c r="F135" s="11">
        <f t="shared" si="28"/>
        <v>6</v>
      </c>
      <c r="G135" s="11" t="str">
        <f t="shared" si="31"/>
        <v>Meets Target</v>
      </c>
      <c r="H135" t="s">
        <v>647</v>
      </c>
      <c r="I135" t="s">
        <v>659</v>
      </c>
      <c r="J135" t="s">
        <v>699</v>
      </c>
      <c r="K135" t="s">
        <v>702</v>
      </c>
      <c r="L135" t="s">
        <v>708</v>
      </c>
      <c r="M135" t="s">
        <v>712</v>
      </c>
      <c r="N135" t="s">
        <v>730</v>
      </c>
      <c r="O135" t="str" cm="1">
        <f t="array" ref="O135">_xlfn.IFS(S135&lt;=_xlfn.PERCENTILE.INC(IF(N135:N765=N135, S135:S765), 0.33), "Low", S135&lt;=_xlfn.PERCENTILE.INC(IF(N135:N765=N135, S135:S765), 0.66), "Medium", S135 &gt; _xlfn.PERCENTILE.INC(IF(N135:N765=N135, S135:S765), 0.66), "High")</f>
        <v>Low</v>
      </c>
      <c r="P135" t="s">
        <v>867</v>
      </c>
      <c r="Q135" s="6">
        <v>304.77999999999997</v>
      </c>
      <c r="R135" s="6">
        <v>537.27</v>
      </c>
      <c r="S135" s="6">
        <v>537.27</v>
      </c>
      <c r="T135" s="9">
        <v>0.187</v>
      </c>
      <c r="U135" s="9">
        <f>IF(T135&gt;0.3, $AO$4, T135)</f>
        <v>0.187</v>
      </c>
      <c r="V135" s="7" t="str">
        <f t="shared" si="32"/>
        <v>Less than 20%</v>
      </c>
      <c r="W135" s="11">
        <v>8</v>
      </c>
      <c r="X135" s="6">
        <f t="shared" si="29"/>
        <v>3494.4040799999998</v>
      </c>
      <c r="Y135" s="6">
        <f t="shared" si="30"/>
        <v>2438.2399999999998</v>
      </c>
      <c r="Z135" s="6">
        <f t="shared" si="33"/>
        <v>1056.16408</v>
      </c>
      <c r="AA135" s="9">
        <f t="shared" si="34"/>
        <v>0.3022444044307549</v>
      </c>
      <c r="AB135" s="9">
        <f>IF(U135&gt;'What-If Analysis'!$F$16, 'What-If Analysis'!$F$16,T135)</f>
        <v>0.17</v>
      </c>
      <c r="AC135" s="42">
        <f>S135*(1-AB135)</f>
        <v>445.93409999999994</v>
      </c>
      <c r="AD135" s="42">
        <f>Q135*(1+'What-If Analysis'!F150)</f>
        <v>304.77999999999997</v>
      </c>
      <c r="AE135" s="41">
        <f>W135*(1+'What-If Analysis'!$F$18)</f>
        <v>9.36</v>
      </c>
      <c r="AF135" s="42">
        <f t="shared" si="35"/>
        <v>4173.9431759999989</v>
      </c>
      <c r="AG135" s="42">
        <f t="shared" si="36"/>
        <v>2852.7407999999996</v>
      </c>
      <c r="AH135" s="42">
        <f t="shared" si="37"/>
        <v>1321.2023759999993</v>
      </c>
      <c r="AI135" s="44">
        <f t="shared" si="38"/>
        <v>0.31653578409904054</v>
      </c>
      <c r="AJ135" s="42">
        <f t="shared" si="39"/>
        <v>679.53909599999906</v>
      </c>
      <c r="AK135" s="42">
        <f t="shared" si="40"/>
        <v>1056.16408</v>
      </c>
      <c r="AL135" s="9">
        <f t="shared" si="41"/>
        <v>1.4291379668285642E-2</v>
      </c>
      <c r="AM135" s="42"/>
    </row>
    <row r="136" spans="1:39" x14ac:dyDescent="0.25">
      <c r="A136" t="s">
        <v>149</v>
      </c>
      <c r="B136" s="20">
        <v>45647</v>
      </c>
      <c r="C136" s="4">
        <v>45652</v>
      </c>
      <c r="D136" s="4" t="s">
        <v>1435</v>
      </c>
      <c r="E136" s="4">
        <v>45652</v>
      </c>
      <c r="F136" s="11">
        <f t="shared" si="28"/>
        <v>5</v>
      </c>
      <c r="G136" s="11" t="str">
        <f t="shared" si="31"/>
        <v>Meets Target</v>
      </c>
      <c r="H136" t="s">
        <v>648</v>
      </c>
      <c r="I136" t="s">
        <v>660</v>
      </c>
      <c r="J136" t="s">
        <v>686</v>
      </c>
      <c r="K136" t="s">
        <v>704</v>
      </c>
      <c r="L136" t="s">
        <v>709</v>
      </c>
      <c r="M136" t="s">
        <v>724</v>
      </c>
      <c r="N136" t="s">
        <v>728</v>
      </c>
      <c r="O136" t="str" cm="1">
        <f t="array" ref="O136">_xlfn.IFS(S136&lt;=_xlfn.PERCENTILE.INC(IF(N136:N766=N136, S136:S766), 0.33), "Low", S136&lt;=_xlfn.PERCENTILE.INC(IF(N136:N766=N136, S136:S766), 0.66), "Medium", S136 &gt; _xlfn.PERCENTILE.INC(IF(N136:N766=N136, S136:S766), 0.66), "High")</f>
        <v>Low</v>
      </c>
      <c r="P136" t="s">
        <v>868</v>
      </c>
      <c r="Q136" s="6">
        <v>699.57</v>
      </c>
      <c r="R136" s="6">
        <v>572.71</v>
      </c>
      <c r="S136" s="6">
        <v>572.71</v>
      </c>
      <c r="T136" s="9">
        <v>0.192</v>
      </c>
      <c r="U136" s="9">
        <f>IF(T136&gt;0.3, $AO$4, T136)</f>
        <v>0.192</v>
      </c>
      <c r="V136" s="7" t="str">
        <f t="shared" si="32"/>
        <v>Less than 20%</v>
      </c>
      <c r="W136" s="11">
        <v>26</v>
      </c>
      <c r="X136" s="6">
        <f t="shared" si="29"/>
        <v>12031.491680000001</v>
      </c>
      <c r="Y136" s="6">
        <f t="shared" si="30"/>
        <v>18188.82</v>
      </c>
      <c r="Z136" s="6">
        <f t="shared" si="33"/>
        <v>-6157.3283199999987</v>
      </c>
      <c r="AA136" s="9">
        <f t="shared" si="34"/>
        <v>-0.51176765805651114</v>
      </c>
      <c r="AB136" s="9">
        <f>IF(U136&gt;'What-If Analysis'!$F$16, 'What-If Analysis'!$F$16,T136)</f>
        <v>0.17</v>
      </c>
      <c r="AC136" s="42">
        <f>S136*(1-AB136)</f>
        <v>475.34930000000003</v>
      </c>
      <c r="AD136" s="42">
        <f>Q136*(1+'What-If Analysis'!F151)</f>
        <v>699.57</v>
      </c>
      <c r="AE136" s="41">
        <f>W136*(1+'What-If Analysis'!$F$18)</f>
        <v>30.419999999999998</v>
      </c>
      <c r="AF136" s="42">
        <f t="shared" si="35"/>
        <v>14460.125706000001</v>
      </c>
      <c r="AG136" s="42">
        <f t="shared" si="36"/>
        <v>21280.919399999999</v>
      </c>
      <c r="AH136" s="42">
        <f t="shared" si="37"/>
        <v>-6820.7936939999981</v>
      </c>
      <c r="AI136" s="44">
        <f t="shared" si="38"/>
        <v>-0.47169670808392888</v>
      </c>
      <c r="AJ136" s="42">
        <f t="shared" si="39"/>
        <v>2428.6340259999997</v>
      </c>
      <c r="AK136" s="42">
        <f t="shared" si="40"/>
        <v>-6157.3283199999987</v>
      </c>
      <c r="AL136" s="9">
        <f t="shared" si="41"/>
        <v>4.0070949972582259E-2</v>
      </c>
      <c r="AM136" s="42"/>
    </row>
    <row r="137" spans="1:39" x14ac:dyDescent="0.25">
      <c r="A137" t="s">
        <v>150</v>
      </c>
      <c r="B137" s="20">
        <v>45028</v>
      </c>
      <c r="C137" s="4">
        <v>45033</v>
      </c>
      <c r="D137" s="4" t="s">
        <v>1442</v>
      </c>
      <c r="E137" s="4">
        <v>45033</v>
      </c>
      <c r="F137" s="11">
        <f t="shared" si="28"/>
        <v>5</v>
      </c>
      <c r="G137" s="11" t="str">
        <f t="shared" si="31"/>
        <v>Meets Target</v>
      </c>
      <c r="H137" t="s">
        <v>649</v>
      </c>
      <c r="I137" t="s">
        <v>657</v>
      </c>
      <c r="J137" t="s">
        <v>679</v>
      </c>
      <c r="K137" t="s">
        <v>706</v>
      </c>
      <c r="L137" t="s">
        <v>711</v>
      </c>
      <c r="M137" t="s">
        <v>718</v>
      </c>
      <c r="N137" t="s">
        <v>732</v>
      </c>
      <c r="O137" t="str" cm="1">
        <f t="array" ref="O137">_xlfn.IFS(S137&lt;=_xlfn.PERCENTILE.INC(IF(N137:N767=N137, S137:S767), 0.33), "Low", S137&lt;=_xlfn.PERCENTILE.INC(IF(N137:N767=N137, S137:S767), 0.66), "Medium", S137 &gt; _xlfn.PERCENTILE.INC(IF(N137:N767=N137, S137:S767), 0.66), "High")</f>
        <v>High</v>
      </c>
      <c r="P137" t="s">
        <v>869</v>
      </c>
      <c r="Q137" s="6">
        <v>1087.81</v>
      </c>
      <c r="R137" s="6">
        <v>2323.87</v>
      </c>
      <c r="S137" s="6">
        <v>2323.87</v>
      </c>
      <c r="T137" s="9">
        <v>9.4E-2</v>
      </c>
      <c r="U137" s="9">
        <f>IF(T137&gt;0.3, $AO$4, T137)</f>
        <v>9.4E-2</v>
      </c>
      <c r="V137" s="7" t="str">
        <f t="shared" si="32"/>
        <v>Less than 20%</v>
      </c>
      <c r="W137" s="11">
        <v>13</v>
      </c>
      <c r="X137" s="6">
        <f t="shared" si="29"/>
        <v>27370.540859999997</v>
      </c>
      <c r="Y137" s="6">
        <f t="shared" si="30"/>
        <v>14141.529999999999</v>
      </c>
      <c r="Z137" s="6">
        <f t="shared" si="33"/>
        <v>13229.010859999999</v>
      </c>
      <c r="AA137" s="9">
        <f t="shared" si="34"/>
        <v>0.48333026839572651</v>
      </c>
      <c r="AB137" s="9">
        <f>IF(U137&gt;'What-If Analysis'!$F$16, 'What-If Analysis'!$F$16,T137)</f>
        <v>9.4E-2</v>
      </c>
      <c r="AC137" s="42">
        <f>S137*(1-AB137)</f>
        <v>2105.4262199999998</v>
      </c>
      <c r="AD137" s="42">
        <f>Q137*(1+'What-If Analysis'!F152)</f>
        <v>1087.81</v>
      </c>
      <c r="AE137" s="41">
        <f>W137*(1+'What-If Analysis'!$F$18)</f>
        <v>15.209999999999999</v>
      </c>
      <c r="AF137" s="42">
        <f t="shared" si="35"/>
        <v>32023.532806199997</v>
      </c>
      <c r="AG137" s="42">
        <f t="shared" si="36"/>
        <v>16545.590099999998</v>
      </c>
      <c r="AH137" s="42">
        <f t="shared" si="37"/>
        <v>15477.9427062</v>
      </c>
      <c r="AI137" s="44">
        <f t="shared" si="38"/>
        <v>0.48333026839572657</v>
      </c>
      <c r="AJ137" s="42">
        <f t="shared" si="39"/>
        <v>4652.9919461999998</v>
      </c>
      <c r="AK137" s="42">
        <f t="shared" si="40"/>
        <v>13229.010859999999</v>
      </c>
      <c r="AL137" s="9">
        <f t="shared" si="41"/>
        <v>0</v>
      </c>
      <c r="AM137" s="42"/>
    </row>
    <row r="138" spans="1:39" x14ac:dyDescent="0.25">
      <c r="A138" t="s">
        <v>151</v>
      </c>
      <c r="B138" s="20">
        <v>45640</v>
      </c>
      <c r="C138" s="4">
        <v>45669</v>
      </c>
      <c r="D138" s="4" t="s">
        <v>1435</v>
      </c>
      <c r="E138" s="4">
        <v>45669</v>
      </c>
      <c r="F138" s="11">
        <f t="shared" si="28"/>
        <v>29</v>
      </c>
      <c r="G138" s="11" t="str">
        <f t="shared" si="31"/>
        <v>Does not Meet Target</v>
      </c>
      <c r="H138" t="s">
        <v>647</v>
      </c>
      <c r="I138" t="s">
        <v>659</v>
      </c>
      <c r="J138" t="s">
        <v>676</v>
      </c>
      <c r="K138" t="s">
        <v>702</v>
      </c>
      <c r="L138" t="s">
        <v>708</v>
      </c>
      <c r="M138" t="s">
        <v>713</v>
      </c>
      <c r="N138" t="s">
        <v>727</v>
      </c>
      <c r="O138" t="str" cm="1">
        <f t="array" ref="O138">_xlfn.IFS(S138&lt;=_xlfn.PERCENTILE.INC(IF(N138:N768=N138, S138:S768), 0.33), "Low", S138&lt;=_xlfn.PERCENTILE.INC(IF(N138:N768=N138, S138:S768), 0.66), "Medium", S138 &gt; _xlfn.PERCENTILE.INC(IF(N138:N768=N138, S138:S768), 0.66), "High")</f>
        <v>Medium</v>
      </c>
      <c r="P138" t="s">
        <v>870</v>
      </c>
      <c r="Q138" s="6">
        <v>1412.15</v>
      </c>
      <c r="R138" s="6">
        <v>1631.04</v>
      </c>
      <c r="S138" s="6">
        <v>1631.04</v>
      </c>
      <c r="T138" s="9">
        <v>8.9999999999999993E-3</v>
      </c>
      <c r="U138" s="9">
        <f>IF(T138&gt;0.3, $AO$4, T138)</f>
        <v>8.9999999999999993E-3</v>
      </c>
      <c r="V138" s="7" t="str">
        <f t="shared" si="32"/>
        <v>Less than 20%</v>
      </c>
      <c r="W138" s="11">
        <v>6</v>
      </c>
      <c r="X138" s="6">
        <f t="shared" si="29"/>
        <v>9698.1638399999993</v>
      </c>
      <c r="Y138" s="6">
        <f t="shared" si="30"/>
        <v>8472.9000000000015</v>
      </c>
      <c r="Z138" s="6">
        <f t="shared" si="33"/>
        <v>1225.2638399999978</v>
      </c>
      <c r="AA138" s="9">
        <f t="shared" si="34"/>
        <v>0.12633977526203535</v>
      </c>
      <c r="AB138" s="9">
        <f>IF(U138&gt;'What-If Analysis'!$F$16, 'What-If Analysis'!$F$16,T138)</f>
        <v>8.9999999999999993E-3</v>
      </c>
      <c r="AC138" s="42">
        <f>S138*(1-AB138)</f>
        <v>1616.3606399999999</v>
      </c>
      <c r="AD138" s="42">
        <f>Q138*(1+'What-If Analysis'!F153)</f>
        <v>1412.15</v>
      </c>
      <c r="AE138" s="41">
        <f>W138*(1+'What-If Analysis'!$F$18)</f>
        <v>7.02</v>
      </c>
      <c r="AF138" s="42">
        <f t="shared" si="35"/>
        <v>11346.851692799999</v>
      </c>
      <c r="AG138" s="42">
        <f t="shared" si="36"/>
        <v>9913.2929999999997</v>
      </c>
      <c r="AH138" s="42">
        <f t="shared" si="37"/>
        <v>1433.5586927999993</v>
      </c>
      <c r="AI138" s="44">
        <f t="shared" si="38"/>
        <v>0.12633977526203555</v>
      </c>
      <c r="AJ138" s="42">
        <f t="shared" si="39"/>
        <v>1648.6878527999997</v>
      </c>
      <c r="AK138" s="42">
        <f t="shared" si="40"/>
        <v>1225.2638399999978</v>
      </c>
      <c r="AL138" s="9">
        <f t="shared" si="41"/>
        <v>0</v>
      </c>
      <c r="AM138" s="42"/>
    </row>
    <row r="139" spans="1:39" x14ac:dyDescent="0.25">
      <c r="A139" t="s">
        <v>152</v>
      </c>
      <c r="B139" s="20">
        <v>45016</v>
      </c>
      <c r="C139" s="4">
        <v>45028</v>
      </c>
      <c r="D139" s="4" t="s">
        <v>1436</v>
      </c>
      <c r="E139" s="4">
        <v>45028</v>
      </c>
      <c r="F139" s="11">
        <f t="shared" si="28"/>
        <v>12</v>
      </c>
      <c r="G139" s="11" t="str">
        <f t="shared" si="31"/>
        <v>Does not Meet Target</v>
      </c>
      <c r="H139" t="s">
        <v>646</v>
      </c>
      <c r="I139" t="s">
        <v>650</v>
      </c>
      <c r="J139" t="s">
        <v>675</v>
      </c>
      <c r="K139" t="s">
        <v>705</v>
      </c>
      <c r="L139" t="s">
        <v>708</v>
      </c>
      <c r="M139" t="s">
        <v>712</v>
      </c>
      <c r="N139" t="s">
        <v>730</v>
      </c>
      <c r="O139" t="str" cm="1">
        <f t="array" ref="O139">_xlfn.IFS(S139&lt;=_xlfn.PERCENTILE.INC(IF(N139:N769=N139, S139:S769), 0.33), "Low", S139&lt;=_xlfn.PERCENTILE.INC(IF(N139:N769=N139, S139:S769), 0.66), "Medium", S139 &gt; _xlfn.PERCENTILE.INC(IF(N139:N769=N139, S139:S769), 0.66), "High")</f>
        <v>Low</v>
      </c>
      <c r="P139" t="s">
        <v>871</v>
      </c>
      <c r="Q139" s="6">
        <v>304.22000000000003</v>
      </c>
      <c r="R139" s="6">
        <v>393.31</v>
      </c>
      <c r="S139" s="6">
        <v>393.31</v>
      </c>
      <c r="T139" s="9">
        <v>0.26500000000000001</v>
      </c>
      <c r="U139" s="9">
        <f>IF(T139&gt;0.3, $AO$4, T139)</f>
        <v>0.26500000000000001</v>
      </c>
      <c r="V139" s="7" t="str">
        <f t="shared" si="32"/>
        <v>Greater than 20%</v>
      </c>
      <c r="W139" s="11">
        <v>15</v>
      </c>
      <c r="X139" s="6">
        <f t="shared" si="29"/>
        <v>4336.2427499999994</v>
      </c>
      <c r="Y139" s="6">
        <f t="shared" si="30"/>
        <v>4563.3</v>
      </c>
      <c r="Z139" s="6">
        <f t="shared" si="33"/>
        <v>-227.05725000000075</v>
      </c>
      <c r="AA139" s="9">
        <f t="shared" si="34"/>
        <v>-5.2362670424759034E-2</v>
      </c>
      <c r="AB139" s="9">
        <f>IF(U139&gt;'What-If Analysis'!$F$16, 'What-If Analysis'!$F$16,T139)</f>
        <v>0.17</v>
      </c>
      <c r="AC139" s="42">
        <f>S139*(1-AB139)</f>
        <v>326.44729999999998</v>
      </c>
      <c r="AD139" s="42">
        <f>Q139*(1+'What-If Analysis'!F154)</f>
        <v>304.22000000000003</v>
      </c>
      <c r="AE139" s="41">
        <f>W139*(1+'What-If Analysis'!$F$18)</f>
        <v>17.549999999999997</v>
      </c>
      <c r="AF139" s="42">
        <f t="shared" si="35"/>
        <v>5729.1501149999986</v>
      </c>
      <c r="AG139" s="42">
        <f t="shared" si="36"/>
        <v>5339.0609999999997</v>
      </c>
      <c r="AH139" s="42">
        <f t="shared" si="37"/>
        <v>390.08911499999886</v>
      </c>
      <c r="AI139" s="44">
        <f t="shared" si="38"/>
        <v>6.8088478599761554E-2</v>
      </c>
      <c r="AJ139" s="42">
        <f t="shared" si="39"/>
        <v>1392.9073649999991</v>
      </c>
      <c r="AK139" s="42">
        <f t="shared" si="40"/>
        <v>-227.05725000000075</v>
      </c>
      <c r="AL139" s="9">
        <f t="shared" si="41"/>
        <v>0.12045114902452059</v>
      </c>
      <c r="AM139" s="42"/>
    </row>
    <row r="140" spans="1:39" x14ac:dyDescent="0.25">
      <c r="A140" t="s">
        <v>153</v>
      </c>
      <c r="B140" s="20">
        <v>45616</v>
      </c>
      <c r="C140" s="4">
        <v>45641</v>
      </c>
      <c r="D140" s="4" t="s">
        <v>1435</v>
      </c>
      <c r="E140" s="4">
        <v>45641</v>
      </c>
      <c r="F140" s="11">
        <f t="shared" si="28"/>
        <v>25</v>
      </c>
      <c r="G140" s="11" t="str">
        <f t="shared" si="31"/>
        <v>Does not Meet Target</v>
      </c>
      <c r="H140" t="s">
        <v>649</v>
      </c>
      <c r="I140" t="s">
        <v>657</v>
      </c>
      <c r="J140" t="s">
        <v>690</v>
      </c>
      <c r="K140" t="s">
        <v>701</v>
      </c>
      <c r="L140" t="s">
        <v>708</v>
      </c>
      <c r="M140" t="s">
        <v>715</v>
      </c>
      <c r="N140" t="s">
        <v>728</v>
      </c>
      <c r="O140" t="str" cm="1">
        <f t="array" ref="O140">_xlfn.IFS(S140&lt;=_xlfn.PERCENTILE.INC(IF(N140:N770=N140, S140:S770), 0.33), "Low", S140&lt;=_xlfn.PERCENTILE.INC(IF(N140:N770=N140, S140:S770), 0.66), "Medium", S140 &gt; _xlfn.PERCENTILE.INC(IF(N140:N770=N140, S140:S770), 0.66), "High")</f>
        <v>High</v>
      </c>
      <c r="P140" t="s">
        <v>872</v>
      </c>
      <c r="Q140" s="6">
        <v>1203.58</v>
      </c>
      <c r="R140" s="6">
        <v>1856.16</v>
      </c>
      <c r="S140" s="6">
        <v>1856.16</v>
      </c>
      <c r="T140" s="9">
        <v>0.129</v>
      </c>
      <c r="U140" s="9">
        <f>IF(T140&gt;0.3, $AO$4, T140)</f>
        <v>0.129</v>
      </c>
      <c r="V140" s="7" t="str">
        <f t="shared" si="32"/>
        <v>Less than 20%</v>
      </c>
      <c r="W140" s="11">
        <v>22</v>
      </c>
      <c r="X140" s="6">
        <f t="shared" si="29"/>
        <v>35567.737920000007</v>
      </c>
      <c r="Y140" s="6">
        <f t="shared" si="30"/>
        <v>26478.76</v>
      </c>
      <c r="Z140" s="6">
        <f t="shared" si="33"/>
        <v>9088.9779200000085</v>
      </c>
      <c r="AA140" s="9">
        <f t="shared" si="34"/>
        <v>0.25553994860295032</v>
      </c>
      <c r="AB140" s="9">
        <f>IF(U140&gt;'What-If Analysis'!$F$16, 'What-If Analysis'!$F$16,T140)</f>
        <v>0.129</v>
      </c>
      <c r="AC140" s="42">
        <f>S140*(1-AB140)</f>
        <v>1616.7153600000001</v>
      </c>
      <c r="AD140" s="42">
        <f>Q140*(1+'What-If Analysis'!F155)</f>
        <v>1203.58</v>
      </c>
      <c r="AE140" s="41">
        <f>W140*(1+'What-If Analysis'!$F$18)</f>
        <v>25.74</v>
      </c>
      <c r="AF140" s="42">
        <f t="shared" si="35"/>
        <v>41614.2533664</v>
      </c>
      <c r="AG140" s="42">
        <f t="shared" si="36"/>
        <v>30980.149199999996</v>
      </c>
      <c r="AH140" s="42">
        <f t="shared" si="37"/>
        <v>10634.104166400004</v>
      </c>
      <c r="AI140" s="44">
        <f t="shared" si="38"/>
        <v>0.25553994860295021</v>
      </c>
      <c r="AJ140" s="42">
        <f t="shared" si="39"/>
        <v>6046.5154463999934</v>
      </c>
      <c r="AK140" s="42">
        <f t="shared" si="40"/>
        <v>9088.9779200000085</v>
      </c>
      <c r="AL140" s="9">
        <f t="shared" si="41"/>
        <v>0</v>
      </c>
      <c r="AM140" s="42"/>
    </row>
    <row r="141" spans="1:39" x14ac:dyDescent="0.25">
      <c r="A141" t="s">
        <v>154</v>
      </c>
      <c r="B141" s="20">
        <v>45336</v>
      </c>
      <c r="C141" s="4">
        <v>45336</v>
      </c>
      <c r="D141" s="4" t="s">
        <v>1434</v>
      </c>
      <c r="E141" s="4">
        <v>45336</v>
      </c>
      <c r="F141" s="11">
        <f t="shared" si="28"/>
        <v>0</v>
      </c>
      <c r="G141" s="11" t="str">
        <f t="shared" si="31"/>
        <v>Meets Target</v>
      </c>
      <c r="H141" t="s">
        <v>647</v>
      </c>
      <c r="I141" t="s">
        <v>659</v>
      </c>
      <c r="J141" t="s">
        <v>699</v>
      </c>
      <c r="K141" t="s">
        <v>701</v>
      </c>
      <c r="L141" t="s">
        <v>710</v>
      </c>
      <c r="M141" t="s">
        <v>716</v>
      </c>
      <c r="N141" t="s">
        <v>733</v>
      </c>
      <c r="O141" t="str" cm="1">
        <f t="array" ref="O141">_xlfn.IFS(S141&lt;=_xlfn.PERCENTILE.INC(IF(N141:N771=N141, S141:S771), 0.33), "Low", S141&lt;=_xlfn.PERCENTILE.INC(IF(N141:N771=N141, S141:S771), 0.66), "Medium", S141 &gt; _xlfn.PERCENTILE.INC(IF(N141:N771=N141, S141:S771), 0.66), "High")</f>
        <v>Low</v>
      </c>
      <c r="P141" t="s">
        <v>873</v>
      </c>
      <c r="Q141" s="6">
        <v>65.930000000000007</v>
      </c>
      <c r="R141" s="6">
        <v>84.9</v>
      </c>
      <c r="S141" s="6">
        <v>84.9</v>
      </c>
      <c r="T141" s="9">
        <v>0.25900000000000001</v>
      </c>
      <c r="U141" s="9">
        <f>IF(T141&gt;0.3, $AO$4, T141)</f>
        <v>0.25900000000000001</v>
      </c>
      <c r="V141" s="7" t="str">
        <f t="shared" si="32"/>
        <v>Greater than 20%</v>
      </c>
      <c r="W141" s="11">
        <v>23</v>
      </c>
      <c r="X141" s="6">
        <f t="shared" si="29"/>
        <v>1446.9507000000001</v>
      </c>
      <c r="Y141" s="6">
        <f t="shared" si="30"/>
        <v>1516.39</v>
      </c>
      <c r="Z141" s="6">
        <f t="shared" si="33"/>
        <v>-69.439300000000003</v>
      </c>
      <c r="AA141" s="9">
        <f t="shared" si="34"/>
        <v>-4.7990093926489688E-2</v>
      </c>
      <c r="AB141" s="9">
        <f>IF(U141&gt;'What-If Analysis'!$F$16, 'What-If Analysis'!$F$16,T141)</f>
        <v>0.17</v>
      </c>
      <c r="AC141" s="42">
        <f>S141*(1-AB141)</f>
        <v>70.466999999999999</v>
      </c>
      <c r="AD141" s="42">
        <f>Q141*(1+'What-If Analysis'!F156)</f>
        <v>65.930000000000007</v>
      </c>
      <c r="AE141" s="41">
        <f>W141*(1+'What-If Analysis'!$F$18)</f>
        <v>26.909999999999997</v>
      </c>
      <c r="AF141" s="42">
        <f t="shared" si="35"/>
        <v>1896.2669699999997</v>
      </c>
      <c r="AG141" s="42">
        <f t="shared" si="36"/>
        <v>1774.1762999999999</v>
      </c>
      <c r="AH141" s="42">
        <f t="shared" si="37"/>
        <v>122.09066999999982</v>
      </c>
      <c r="AI141" s="44">
        <f t="shared" si="38"/>
        <v>6.4384747470447076E-2</v>
      </c>
      <c r="AJ141" s="42">
        <f t="shared" si="39"/>
        <v>449.31626999999958</v>
      </c>
      <c r="AK141" s="42">
        <f t="shared" si="40"/>
        <v>-69.439300000000003</v>
      </c>
      <c r="AL141" s="9">
        <f t="shared" si="41"/>
        <v>0.11237484139693676</v>
      </c>
      <c r="AM141" s="42"/>
    </row>
    <row r="142" spans="1:39" x14ac:dyDescent="0.25">
      <c r="A142" t="s">
        <v>155</v>
      </c>
      <c r="B142" s="20">
        <v>45048</v>
      </c>
      <c r="C142" s="4">
        <v>45064</v>
      </c>
      <c r="D142" s="4" t="s">
        <v>1442</v>
      </c>
      <c r="E142" s="4">
        <v>45064</v>
      </c>
      <c r="F142" s="11">
        <f t="shared" si="28"/>
        <v>16</v>
      </c>
      <c r="G142" s="11" t="str">
        <f t="shared" si="31"/>
        <v>Does not Meet Target</v>
      </c>
      <c r="H142" t="s">
        <v>647</v>
      </c>
      <c r="I142" t="s">
        <v>654</v>
      </c>
      <c r="J142" t="s">
        <v>680</v>
      </c>
      <c r="K142" t="s">
        <v>705</v>
      </c>
      <c r="L142" t="s">
        <v>709</v>
      </c>
      <c r="M142" t="s">
        <v>723</v>
      </c>
      <c r="N142" t="s">
        <v>732</v>
      </c>
      <c r="O142" t="str" cm="1">
        <f t="array" ref="O142">_xlfn.IFS(S142&lt;=_xlfn.PERCENTILE.INC(IF(N142:N772=N142, S142:S772), 0.33), "Low", S142&lt;=_xlfn.PERCENTILE.INC(IF(N142:N772=N142, S142:S772), 0.66), "Medium", S142 &gt; _xlfn.PERCENTILE.INC(IF(N142:N772=N142, S142:S772), 0.66), "High")</f>
        <v>High</v>
      </c>
      <c r="P142" t="s">
        <v>874</v>
      </c>
      <c r="Q142" s="6">
        <v>1463.92</v>
      </c>
      <c r="R142" s="6">
        <v>2252.2399999999998</v>
      </c>
      <c r="S142" s="6">
        <v>2252.2399999999998</v>
      </c>
      <c r="T142" s="9">
        <v>0.11799999999999999</v>
      </c>
      <c r="U142" s="9">
        <f>IF(T142&gt;0.3, $AO$4, T142)</f>
        <v>0.11799999999999999</v>
      </c>
      <c r="V142" s="7" t="str">
        <f t="shared" si="32"/>
        <v>Less than 20%</v>
      </c>
      <c r="W142" s="11">
        <v>44</v>
      </c>
      <c r="X142" s="6">
        <f t="shared" si="29"/>
        <v>87404.929919999995</v>
      </c>
      <c r="Y142" s="6">
        <f t="shared" si="30"/>
        <v>64412.480000000003</v>
      </c>
      <c r="Z142" s="6">
        <f t="shared" si="33"/>
        <v>22992.449919999992</v>
      </c>
      <c r="AA142" s="9">
        <f t="shared" si="34"/>
        <v>0.26305667130040061</v>
      </c>
      <c r="AB142" s="9">
        <f>IF(U142&gt;'What-If Analysis'!$F$16, 'What-If Analysis'!$F$16,T142)</f>
        <v>0.11799999999999999</v>
      </c>
      <c r="AC142" s="42">
        <f>S142*(1-AB142)</f>
        <v>1986.4756799999998</v>
      </c>
      <c r="AD142" s="42">
        <f>Q142*(1+'What-If Analysis'!F157)</f>
        <v>1463.92</v>
      </c>
      <c r="AE142" s="41">
        <f>W142*(1+'What-If Analysis'!$F$18)</f>
        <v>51.48</v>
      </c>
      <c r="AF142" s="42">
        <f t="shared" si="35"/>
        <v>102263.76800639999</v>
      </c>
      <c r="AG142" s="42">
        <f t="shared" si="36"/>
        <v>75362.601599999995</v>
      </c>
      <c r="AH142" s="42">
        <f t="shared" si="37"/>
        <v>26901.166406399992</v>
      </c>
      <c r="AI142" s="44">
        <f t="shared" si="38"/>
        <v>0.26305667130040067</v>
      </c>
      <c r="AJ142" s="42">
        <f t="shared" si="39"/>
        <v>14858.838086399992</v>
      </c>
      <c r="AK142" s="42">
        <f t="shared" si="40"/>
        <v>22992.449919999992</v>
      </c>
      <c r="AL142" s="9">
        <f t="shared" si="41"/>
        <v>0</v>
      </c>
      <c r="AM142" s="42"/>
    </row>
    <row r="143" spans="1:39" x14ac:dyDescent="0.25">
      <c r="A143" t="s">
        <v>156</v>
      </c>
      <c r="B143" s="20">
        <v>45649</v>
      </c>
      <c r="C143" s="4">
        <v>45668</v>
      </c>
      <c r="D143" s="4" t="s">
        <v>1435</v>
      </c>
      <c r="E143" s="4">
        <v>45668</v>
      </c>
      <c r="F143" s="11">
        <f t="shared" si="28"/>
        <v>19</v>
      </c>
      <c r="G143" s="11" t="str">
        <f t="shared" si="31"/>
        <v>Does not Meet Target</v>
      </c>
      <c r="H143" t="s">
        <v>649</v>
      </c>
      <c r="I143" t="s">
        <v>656</v>
      </c>
      <c r="J143" t="s">
        <v>671</v>
      </c>
      <c r="K143" t="s">
        <v>702</v>
      </c>
      <c r="L143" t="s">
        <v>707</v>
      </c>
      <c r="M143" t="s">
        <v>723</v>
      </c>
      <c r="N143" t="s">
        <v>730</v>
      </c>
      <c r="O143" t="str" cm="1">
        <f t="array" ref="O143">_xlfn.IFS(S143&lt;=_xlfn.PERCENTILE.INC(IF(N143:N773=N143, S143:S773), 0.33), "Low", S143&lt;=_xlfn.PERCENTILE.INC(IF(N143:N773=N143, S143:S773), 0.66), "Medium", S143 &gt; _xlfn.PERCENTILE.INC(IF(N143:N773=N143, S143:S773), 0.66), "High")</f>
        <v>Medium</v>
      </c>
      <c r="P143" t="s">
        <v>875</v>
      </c>
      <c r="Q143" s="6">
        <v>501.81</v>
      </c>
      <c r="R143" s="6">
        <v>921.62</v>
      </c>
      <c r="S143" s="6">
        <v>921.62</v>
      </c>
      <c r="T143" s="9">
        <v>0.01</v>
      </c>
      <c r="U143" s="9">
        <f>IF(T143&gt;0.3, $AO$4, T143)</f>
        <v>0.01</v>
      </c>
      <c r="V143" s="7" t="str">
        <f t="shared" si="32"/>
        <v>Less than 20%</v>
      </c>
      <c r="W143" s="11">
        <v>9</v>
      </c>
      <c r="X143" s="6">
        <f t="shared" si="29"/>
        <v>8211.6342000000004</v>
      </c>
      <c r="Y143" s="6">
        <f t="shared" si="30"/>
        <v>4516.29</v>
      </c>
      <c r="Z143" s="6">
        <f t="shared" si="33"/>
        <v>3695.3442000000005</v>
      </c>
      <c r="AA143" s="9">
        <f t="shared" si="34"/>
        <v>0.45001325071202031</v>
      </c>
      <c r="AB143" s="9">
        <f>IF(U143&gt;'What-If Analysis'!$F$16, 'What-If Analysis'!$F$16,T143)</f>
        <v>0.01</v>
      </c>
      <c r="AC143" s="42">
        <f>S143*(1-AB143)</f>
        <v>912.40380000000005</v>
      </c>
      <c r="AD143" s="42">
        <f>Q143*(1+'What-If Analysis'!F158)</f>
        <v>501.81</v>
      </c>
      <c r="AE143" s="41">
        <f>W143*(1+'What-If Analysis'!$F$18)</f>
        <v>10.53</v>
      </c>
      <c r="AF143" s="42">
        <f t="shared" si="35"/>
        <v>9607.6120140000003</v>
      </c>
      <c r="AG143" s="42">
        <f t="shared" si="36"/>
        <v>5284.0592999999999</v>
      </c>
      <c r="AH143" s="42">
        <f t="shared" si="37"/>
        <v>4323.5527140000004</v>
      </c>
      <c r="AI143" s="44">
        <f t="shared" si="38"/>
        <v>0.45001325071202031</v>
      </c>
      <c r="AJ143" s="42">
        <f t="shared" si="39"/>
        <v>1395.9778139999999</v>
      </c>
      <c r="AK143" s="42">
        <f t="shared" si="40"/>
        <v>3695.3442000000005</v>
      </c>
      <c r="AL143" s="9">
        <f t="shared" si="41"/>
        <v>0</v>
      </c>
      <c r="AM143" s="42"/>
    </row>
    <row r="144" spans="1:39" x14ac:dyDescent="0.25">
      <c r="A144" t="s">
        <v>157</v>
      </c>
      <c r="B144" s="20">
        <v>45133</v>
      </c>
      <c r="C144" s="4">
        <v>45163</v>
      </c>
      <c r="D144" s="4" t="s">
        <v>1444</v>
      </c>
      <c r="E144" s="4">
        <v>45163</v>
      </c>
      <c r="F144" s="11">
        <f t="shared" si="28"/>
        <v>30</v>
      </c>
      <c r="G144" s="11" t="str">
        <f t="shared" si="31"/>
        <v>Does not Meet Target</v>
      </c>
      <c r="H144" t="s">
        <v>648</v>
      </c>
      <c r="I144" t="s">
        <v>660</v>
      </c>
      <c r="J144" t="s">
        <v>700</v>
      </c>
      <c r="K144" t="s">
        <v>704</v>
      </c>
      <c r="L144" t="s">
        <v>707</v>
      </c>
      <c r="M144" t="s">
        <v>724</v>
      </c>
      <c r="N144" t="s">
        <v>733</v>
      </c>
      <c r="O144" t="str" cm="1">
        <f t="array" ref="O144">_xlfn.IFS(S144&lt;=_xlfn.PERCENTILE.INC(IF(N144:N774=N144, S144:S774), 0.33), "Low", S144&lt;=_xlfn.PERCENTILE.INC(IF(N144:N774=N144, S144:S774), 0.66), "Medium", S144 &gt; _xlfn.PERCENTILE.INC(IF(N144:N774=N144, S144:S774), 0.66), "High")</f>
        <v>High</v>
      </c>
      <c r="P144" t="s">
        <v>876</v>
      </c>
      <c r="Q144" s="6">
        <v>1261.48</v>
      </c>
      <c r="R144" s="6">
        <v>1643.18</v>
      </c>
      <c r="S144" s="6">
        <v>1643.18</v>
      </c>
      <c r="T144" s="9">
        <v>0.151</v>
      </c>
      <c r="U144" s="9">
        <f>IF(T144&gt;0.3, $AO$4, T144)</f>
        <v>0.151</v>
      </c>
      <c r="V144" s="7" t="str">
        <f t="shared" si="32"/>
        <v>Less than 20%</v>
      </c>
      <c r="W144" s="11">
        <v>23</v>
      </c>
      <c r="X144" s="6">
        <f t="shared" si="29"/>
        <v>32086.37586</v>
      </c>
      <c r="Y144" s="6">
        <f t="shared" si="30"/>
        <v>29014.04</v>
      </c>
      <c r="Z144" s="6">
        <f t="shared" si="33"/>
        <v>3072.3358599999992</v>
      </c>
      <c r="AA144" s="9">
        <f t="shared" si="34"/>
        <v>9.5752037357079045E-2</v>
      </c>
      <c r="AB144" s="9">
        <f>IF(U144&gt;'What-If Analysis'!$F$16, 'What-If Analysis'!$F$16,T144)</f>
        <v>0.151</v>
      </c>
      <c r="AC144" s="42">
        <f>S144*(1-AB144)</f>
        <v>1395.0598199999999</v>
      </c>
      <c r="AD144" s="42">
        <f>Q144*(1+'What-If Analysis'!F159)</f>
        <v>1261.48</v>
      </c>
      <c r="AE144" s="41">
        <f>W144*(1+'What-If Analysis'!$F$18)</f>
        <v>26.909999999999997</v>
      </c>
      <c r="AF144" s="42">
        <f t="shared" si="35"/>
        <v>37541.059756199997</v>
      </c>
      <c r="AG144" s="42">
        <f t="shared" si="36"/>
        <v>33946.426799999994</v>
      </c>
      <c r="AH144" s="42">
        <f t="shared" si="37"/>
        <v>3594.6329562000028</v>
      </c>
      <c r="AI144" s="44">
        <f t="shared" si="38"/>
        <v>9.5752037357079156E-2</v>
      </c>
      <c r="AJ144" s="42">
        <f t="shared" si="39"/>
        <v>5454.6838961999965</v>
      </c>
      <c r="AK144" s="42">
        <f t="shared" si="40"/>
        <v>3072.3358599999992</v>
      </c>
      <c r="AL144" s="9">
        <f t="shared" si="41"/>
        <v>1.1102230246251565E-16</v>
      </c>
      <c r="AM144" s="42"/>
    </row>
    <row r="145" spans="1:39" x14ac:dyDescent="0.25">
      <c r="A145" t="s">
        <v>158</v>
      </c>
      <c r="B145" s="20">
        <v>45458</v>
      </c>
      <c r="C145" s="4">
        <v>45479</v>
      </c>
      <c r="D145" s="4" t="s">
        <v>1439</v>
      </c>
      <c r="E145" s="4">
        <v>45479</v>
      </c>
      <c r="F145" s="11">
        <f t="shared" si="28"/>
        <v>21</v>
      </c>
      <c r="G145" s="11" t="str">
        <f t="shared" si="31"/>
        <v>Does not Meet Target</v>
      </c>
      <c r="H145" t="s">
        <v>648</v>
      </c>
      <c r="I145" t="s">
        <v>653</v>
      </c>
      <c r="J145" t="s">
        <v>667</v>
      </c>
      <c r="K145" t="s">
        <v>706</v>
      </c>
      <c r="L145" t="s">
        <v>710</v>
      </c>
      <c r="M145" t="s">
        <v>716</v>
      </c>
      <c r="N145" t="s">
        <v>728</v>
      </c>
      <c r="O145" t="str" cm="1">
        <f t="array" ref="O145">_xlfn.IFS(S145&lt;=_xlfn.PERCENTILE.INC(IF(N145:N775=N145, S145:S775), 0.33), "Low", S145&lt;=_xlfn.PERCENTILE.INC(IF(N145:N775=N145, S145:S775), 0.66), "Medium", S145 &gt; _xlfn.PERCENTILE.INC(IF(N145:N775=N145, S145:S775), 0.66), "High")</f>
        <v>High</v>
      </c>
      <c r="P145" t="s">
        <v>877</v>
      </c>
      <c r="Q145" s="6">
        <v>817.23</v>
      </c>
      <c r="R145" s="6">
        <v>1467.17</v>
      </c>
      <c r="S145" s="6">
        <v>1467.17</v>
      </c>
      <c r="T145" s="9">
        <v>0.245</v>
      </c>
      <c r="U145" s="9">
        <f>IF(T145&gt;0.3, $AO$4, T145)</f>
        <v>0.245</v>
      </c>
      <c r="V145" s="7" t="str">
        <f t="shared" si="32"/>
        <v>Greater than 20%</v>
      </c>
      <c r="W145" s="11">
        <v>9</v>
      </c>
      <c r="X145" s="6">
        <f t="shared" si="29"/>
        <v>9969.4201499999999</v>
      </c>
      <c r="Y145" s="6">
        <f t="shared" si="30"/>
        <v>7355.07</v>
      </c>
      <c r="Z145" s="6">
        <f t="shared" si="33"/>
        <v>2614.3501500000002</v>
      </c>
      <c r="AA145" s="9">
        <f t="shared" si="34"/>
        <v>0.26223693160328893</v>
      </c>
      <c r="AB145" s="9">
        <f>IF(U145&gt;'What-If Analysis'!$F$16, 'What-If Analysis'!$F$16,T145)</f>
        <v>0.17</v>
      </c>
      <c r="AC145" s="42">
        <f>S145*(1-AB145)</f>
        <v>1217.7511</v>
      </c>
      <c r="AD145" s="42">
        <f>Q145*(1+'What-If Analysis'!F160)</f>
        <v>817.23</v>
      </c>
      <c r="AE145" s="41">
        <f>W145*(1+'What-If Analysis'!$F$18)</f>
        <v>10.53</v>
      </c>
      <c r="AF145" s="42">
        <f t="shared" si="35"/>
        <v>12822.919082999999</v>
      </c>
      <c r="AG145" s="42">
        <f t="shared" si="36"/>
        <v>8605.4318999999996</v>
      </c>
      <c r="AH145" s="42">
        <f t="shared" si="37"/>
        <v>4217.4871829999993</v>
      </c>
      <c r="AI145" s="44">
        <f t="shared" si="38"/>
        <v>0.32890226910901577</v>
      </c>
      <c r="AJ145" s="42">
        <f t="shared" si="39"/>
        <v>2853.4989329999989</v>
      </c>
      <c r="AK145" s="42">
        <f t="shared" si="40"/>
        <v>2614.3501500000002</v>
      </c>
      <c r="AL145" s="9">
        <f t="shared" si="41"/>
        <v>6.666533750572684E-2</v>
      </c>
      <c r="AM145" s="42"/>
    </row>
    <row r="146" spans="1:39" x14ac:dyDescent="0.25">
      <c r="A146" t="s">
        <v>159</v>
      </c>
      <c r="B146" s="20">
        <v>45112</v>
      </c>
      <c r="C146" s="4">
        <v>45121</v>
      </c>
      <c r="D146" s="4" t="s">
        <v>1444</v>
      </c>
      <c r="E146" s="4">
        <v>45121</v>
      </c>
      <c r="F146" s="11">
        <f t="shared" si="28"/>
        <v>9</v>
      </c>
      <c r="G146" s="11" t="str">
        <f t="shared" si="31"/>
        <v>Does not Meet Target</v>
      </c>
      <c r="H146" t="s">
        <v>648</v>
      </c>
      <c r="I146" t="s">
        <v>655</v>
      </c>
      <c r="J146" t="s">
        <v>672</v>
      </c>
      <c r="K146" t="s">
        <v>706</v>
      </c>
      <c r="L146" t="s">
        <v>711</v>
      </c>
      <c r="M146" t="s">
        <v>717</v>
      </c>
      <c r="N146" t="s">
        <v>729</v>
      </c>
      <c r="O146" t="str" cm="1">
        <f t="array" ref="O146">_xlfn.IFS(S146&lt;=_xlfn.PERCENTILE.INC(IF(N146:N776=N146, S146:S776), 0.33), "Low", S146&lt;=_xlfn.PERCENTILE.INC(IF(N146:N776=N146, S146:S776), 0.66), "Medium", S146 &gt; _xlfn.PERCENTILE.INC(IF(N146:N776=N146, S146:S776), 0.66), "High")</f>
        <v>Medium</v>
      </c>
      <c r="P146" t="s">
        <v>878</v>
      </c>
      <c r="Q146" s="6">
        <v>578.85</v>
      </c>
      <c r="R146" s="6">
        <v>998.76</v>
      </c>
      <c r="S146" s="6">
        <v>998.76</v>
      </c>
      <c r="T146" s="9">
        <v>8.2000000000000003E-2</v>
      </c>
      <c r="U146" s="9">
        <f>IF(T146&gt;0.3, $AO$4, T146)</f>
        <v>8.2000000000000003E-2</v>
      </c>
      <c r="V146" s="7" t="str">
        <f t="shared" si="32"/>
        <v>Less than 20%</v>
      </c>
      <c r="W146" s="11">
        <v>28</v>
      </c>
      <c r="X146" s="6">
        <f t="shared" si="29"/>
        <v>25672.127039999999</v>
      </c>
      <c r="Y146" s="6">
        <f t="shared" si="30"/>
        <v>16207.800000000001</v>
      </c>
      <c r="Z146" s="6">
        <f t="shared" si="33"/>
        <v>9464.3270399999983</v>
      </c>
      <c r="AA146" s="9">
        <f t="shared" si="34"/>
        <v>0.36866158480960831</v>
      </c>
      <c r="AB146" s="9">
        <f>IF(U146&gt;'What-If Analysis'!$F$16, 'What-If Analysis'!$F$16,T146)</f>
        <v>8.2000000000000003E-2</v>
      </c>
      <c r="AC146" s="42">
        <f>S146*(1-AB146)</f>
        <v>916.86167999999998</v>
      </c>
      <c r="AD146" s="42">
        <f>Q146*(1+'What-If Analysis'!F161)</f>
        <v>578.85</v>
      </c>
      <c r="AE146" s="41">
        <f>W146*(1+'What-If Analysis'!$F$18)</f>
        <v>32.76</v>
      </c>
      <c r="AF146" s="42">
        <f t="shared" si="35"/>
        <v>30036.388636799998</v>
      </c>
      <c r="AG146" s="42">
        <f t="shared" si="36"/>
        <v>18963.126</v>
      </c>
      <c r="AH146" s="42">
        <f t="shared" si="37"/>
        <v>11073.262636799998</v>
      </c>
      <c r="AI146" s="44">
        <f t="shared" si="38"/>
        <v>0.36866158480960831</v>
      </c>
      <c r="AJ146" s="42">
        <f t="shared" si="39"/>
        <v>4364.2615967999991</v>
      </c>
      <c r="AK146" s="42">
        <f t="shared" si="40"/>
        <v>9464.3270399999983</v>
      </c>
      <c r="AL146" s="9">
        <f t="shared" si="41"/>
        <v>0</v>
      </c>
      <c r="AM146" s="42"/>
    </row>
    <row r="147" spans="1:39" x14ac:dyDescent="0.25">
      <c r="A147" t="s">
        <v>160</v>
      </c>
      <c r="B147" s="20">
        <v>45260</v>
      </c>
      <c r="C147" s="4">
        <v>45259</v>
      </c>
      <c r="D147" s="4" t="s">
        <v>1438</v>
      </c>
      <c r="E147" s="4">
        <v>45279</v>
      </c>
      <c r="F147" s="11">
        <f t="shared" si="28"/>
        <v>19</v>
      </c>
      <c r="G147" s="11" t="str">
        <f t="shared" si="31"/>
        <v>Does not Meet Target</v>
      </c>
      <c r="H147" t="s">
        <v>646</v>
      </c>
      <c r="I147" t="s">
        <v>661</v>
      </c>
      <c r="J147" t="s">
        <v>687</v>
      </c>
      <c r="K147" t="s">
        <v>705</v>
      </c>
      <c r="L147" t="s">
        <v>709</v>
      </c>
      <c r="M147" t="s">
        <v>718</v>
      </c>
      <c r="N147" t="s">
        <v>731</v>
      </c>
      <c r="O147" t="str" cm="1">
        <f t="array" ref="O147">_xlfn.IFS(S147&lt;=_xlfn.PERCENTILE.INC(IF(N147:N777=N147, S147:S777), 0.33), "Low", S147&lt;=_xlfn.PERCENTILE.INC(IF(N147:N777=N147, S147:S777), 0.66), "Medium", S147 &gt; _xlfn.PERCENTILE.INC(IF(N147:N777=N147, S147:S777), 0.66), "High")</f>
        <v>Low</v>
      </c>
      <c r="P147" t="s">
        <v>879</v>
      </c>
      <c r="Q147" s="6">
        <v>275.56</v>
      </c>
      <c r="R147" s="6">
        <v>630.72</v>
      </c>
      <c r="S147" s="6">
        <v>630.72</v>
      </c>
      <c r="T147" s="9">
        <v>0.107</v>
      </c>
      <c r="U147" s="9">
        <f>IF(T147&gt;0.3, $AO$4, T147)</f>
        <v>0.107</v>
      </c>
      <c r="V147" s="7" t="str">
        <f t="shared" si="32"/>
        <v>Less than 20%</v>
      </c>
      <c r="W147" s="11">
        <v>23</v>
      </c>
      <c r="X147" s="6">
        <f t="shared" si="29"/>
        <v>12954.358080000002</v>
      </c>
      <c r="Y147" s="6">
        <f t="shared" si="30"/>
        <v>6337.88</v>
      </c>
      <c r="Z147" s="6">
        <f t="shared" si="33"/>
        <v>6616.4780800000017</v>
      </c>
      <c r="AA147" s="9">
        <f t="shared" si="34"/>
        <v>0.5107530638831933</v>
      </c>
      <c r="AB147" s="9">
        <f>IF(U147&gt;'What-If Analysis'!$F$16, 'What-If Analysis'!$F$16,T147)</f>
        <v>0.107</v>
      </c>
      <c r="AC147" s="42">
        <f>S147*(1-AB147)</f>
        <v>563.23296000000005</v>
      </c>
      <c r="AD147" s="42">
        <f>Q147*(1+'What-If Analysis'!F162)</f>
        <v>275.56</v>
      </c>
      <c r="AE147" s="41">
        <f>W147*(1+'What-If Analysis'!$F$18)</f>
        <v>26.909999999999997</v>
      </c>
      <c r="AF147" s="42">
        <f t="shared" si="35"/>
        <v>15156.5989536</v>
      </c>
      <c r="AG147" s="42">
        <f t="shared" si="36"/>
        <v>7415.3195999999989</v>
      </c>
      <c r="AH147" s="42">
        <f t="shared" si="37"/>
        <v>7741.2793536000008</v>
      </c>
      <c r="AI147" s="44">
        <f t="shared" si="38"/>
        <v>0.5107530638831933</v>
      </c>
      <c r="AJ147" s="42">
        <f t="shared" si="39"/>
        <v>2202.2408735999979</v>
      </c>
      <c r="AK147" s="42">
        <f t="shared" si="40"/>
        <v>6616.4780800000017</v>
      </c>
      <c r="AL147" s="9">
        <f t="shared" si="41"/>
        <v>0</v>
      </c>
      <c r="AM147" s="42"/>
    </row>
    <row r="148" spans="1:39" x14ac:dyDescent="0.25">
      <c r="A148" t="s">
        <v>161</v>
      </c>
      <c r="B148" s="20">
        <v>45911</v>
      </c>
      <c r="C148" s="4">
        <v>45928</v>
      </c>
      <c r="D148" s="4" t="s">
        <v>1441</v>
      </c>
      <c r="E148" s="4">
        <v>45928</v>
      </c>
      <c r="F148" s="11">
        <f t="shared" si="28"/>
        <v>17</v>
      </c>
      <c r="G148" s="11" t="str">
        <f t="shared" si="31"/>
        <v>Does not Meet Target</v>
      </c>
      <c r="H148" t="s">
        <v>646</v>
      </c>
      <c r="I148" t="s">
        <v>650</v>
      </c>
      <c r="J148" t="s">
        <v>664</v>
      </c>
      <c r="K148" t="s">
        <v>703</v>
      </c>
      <c r="L148" t="s">
        <v>710</v>
      </c>
      <c r="M148" t="s">
        <v>713</v>
      </c>
      <c r="N148" t="s">
        <v>731</v>
      </c>
      <c r="O148" t="str" cm="1">
        <f t="array" ref="O148">_xlfn.IFS(S148&lt;=_xlfn.PERCENTILE.INC(IF(N148:N778=N148, S148:S778), 0.33), "Low", S148&lt;=_xlfn.PERCENTILE.INC(IF(N148:N778=N148, S148:S778), 0.66), "Medium", S148 &gt; _xlfn.PERCENTILE.INC(IF(N148:N778=N148, S148:S778), 0.66), "High")</f>
        <v>Low</v>
      </c>
      <c r="P148" t="s">
        <v>880</v>
      </c>
      <c r="Q148" s="6">
        <v>891.46</v>
      </c>
      <c r="R148" s="6">
        <v>728.61</v>
      </c>
      <c r="S148" s="6">
        <v>728.61</v>
      </c>
      <c r="T148" s="9">
        <v>0.185</v>
      </c>
      <c r="U148" s="9">
        <f>IF(T148&gt;0.3, $AO$4, T148)</f>
        <v>0.185</v>
      </c>
      <c r="V148" s="7" t="str">
        <f t="shared" si="32"/>
        <v>Less than 20%</v>
      </c>
      <c r="W148" s="11">
        <v>6</v>
      </c>
      <c r="X148" s="6">
        <f t="shared" si="29"/>
        <v>3562.9028999999996</v>
      </c>
      <c r="Y148" s="6">
        <f t="shared" si="30"/>
        <v>5348.76</v>
      </c>
      <c r="Z148" s="6">
        <f t="shared" si="33"/>
        <v>-1785.8571000000006</v>
      </c>
      <c r="AA148" s="9">
        <f t="shared" si="34"/>
        <v>-0.50123653383874167</v>
      </c>
      <c r="AB148" s="9">
        <f>IF(U148&gt;'What-If Analysis'!$F$16, 'What-If Analysis'!$F$16,T148)</f>
        <v>0.17</v>
      </c>
      <c r="AC148" s="42">
        <f>S148*(1-AB148)</f>
        <v>604.74630000000002</v>
      </c>
      <c r="AD148" s="42">
        <f>Q148*(1+'What-If Analysis'!F163)</f>
        <v>891.46</v>
      </c>
      <c r="AE148" s="41">
        <f>W148*(1+'What-If Analysis'!$F$18)</f>
        <v>7.02</v>
      </c>
      <c r="AF148" s="42">
        <f t="shared" si="35"/>
        <v>4245.3190260000001</v>
      </c>
      <c r="AG148" s="42">
        <f t="shared" si="36"/>
        <v>6258.0491999999995</v>
      </c>
      <c r="AH148" s="42">
        <f t="shared" si="37"/>
        <v>-2012.7301739999994</v>
      </c>
      <c r="AI148" s="44">
        <f t="shared" si="38"/>
        <v>-0.47410575310671582</v>
      </c>
      <c r="AJ148" s="42">
        <f t="shared" si="39"/>
        <v>682.41612600000053</v>
      </c>
      <c r="AK148" s="42">
        <f t="shared" si="40"/>
        <v>-1785.8571000000006</v>
      </c>
      <c r="AL148" s="9">
        <f t="shared" si="41"/>
        <v>2.713078073202585E-2</v>
      </c>
      <c r="AM148" s="42"/>
    </row>
    <row r="149" spans="1:39" x14ac:dyDescent="0.25">
      <c r="A149" t="s">
        <v>162</v>
      </c>
      <c r="B149" s="20">
        <v>45386</v>
      </c>
      <c r="C149" s="4">
        <v>45406</v>
      </c>
      <c r="D149" s="4" t="s">
        <v>1439</v>
      </c>
      <c r="E149" s="4">
        <v>45406</v>
      </c>
      <c r="F149" s="11">
        <f t="shared" si="28"/>
        <v>20</v>
      </c>
      <c r="G149" s="11" t="str">
        <f t="shared" si="31"/>
        <v>Does not Meet Target</v>
      </c>
      <c r="H149" t="s">
        <v>649</v>
      </c>
      <c r="I149" t="s">
        <v>656</v>
      </c>
      <c r="J149" t="s">
        <v>698</v>
      </c>
      <c r="K149" t="s">
        <v>703</v>
      </c>
      <c r="L149" t="s">
        <v>711</v>
      </c>
      <c r="M149" t="s">
        <v>719</v>
      </c>
      <c r="N149" t="s">
        <v>733</v>
      </c>
      <c r="O149" t="str" cm="1">
        <f t="array" ref="O149">_xlfn.IFS(S149&lt;=_xlfn.PERCENTILE.INC(IF(N149:N779=N149, S149:S779), 0.33), "Low", S149&lt;=_xlfn.PERCENTILE.INC(IF(N149:N779=N149, S149:S779), 0.66), "Medium", S149 &gt; _xlfn.PERCENTILE.INC(IF(N149:N779=N149, S149:S779), 0.66), "High")</f>
        <v>Medium</v>
      </c>
      <c r="P149" t="s">
        <v>881</v>
      </c>
      <c r="Q149" s="6">
        <v>683.42</v>
      </c>
      <c r="R149" s="6">
        <v>951.51</v>
      </c>
      <c r="S149" s="6">
        <v>951.51</v>
      </c>
      <c r="T149" s="9">
        <v>0</v>
      </c>
      <c r="U149" s="9">
        <f>IF(T149&gt;0.3, $AO$4, T149)</f>
        <v>0</v>
      </c>
      <c r="V149" s="7" t="str">
        <f t="shared" si="32"/>
        <v>Less than 20%</v>
      </c>
      <c r="W149" s="11">
        <v>14</v>
      </c>
      <c r="X149" s="6">
        <f t="shared" si="29"/>
        <v>13321.14</v>
      </c>
      <c r="Y149" s="6">
        <f t="shared" si="30"/>
        <v>9567.8799999999992</v>
      </c>
      <c r="Z149" s="6">
        <f t="shared" si="33"/>
        <v>3753.26</v>
      </c>
      <c r="AA149" s="9">
        <f t="shared" si="34"/>
        <v>0.28175216235247136</v>
      </c>
      <c r="AB149" s="9">
        <f>IF(U149&gt;'What-If Analysis'!$F$16, 'What-If Analysis'!$F$16,T149)</f>
        <v>0</v>
      </c>
      <c r="AC149" s="42">
        <f>S149*(1-AB149)</f>
        <v>951.51</v>
      </c>
      <c r="AD149" s="42">
        <f>Q149*(1+'What-If Analysis'!F164)</f>
        <v>683.42</v>
      </c>
      <c r="AE149" s="41">
        <f>W149*(1+'What-If Analysis'!$F$18)</f>
        <v>16.38</v>
      </c>
      <c r="AF149" s="42">
        <f t="shared" si="35"/>
        <v>15585.733799999998</v>
      </c>
      <c r="AG149" s="42">
        <f t="shared" si="36"/>
        <v>11194.419599999999</v>
      </c>
      <c r="AH149" s="42">
        <f t="shared" si="37"/>
        <v>4391.3141999999989</v>
      </c>
      <c r="AI149" s="44">
        <f t="shared" si="38"/>
        <v>0.2817521623524713</v>
      </c>
      <c r="AJ149" s="42">
        <f t="shared" si="39"/>
        <v>2264.5937999999987</v>
      </c>
      <c r="AK149" s="42">
        <f t="shared" si="40"/>
        <v>3753.26</v>
      </c>
      <c r="AL149" s="9">
        <f t="shared" si="41"/>
        <v>0</v>
      </c>
      <c r="AM149" s="42"/>
    </row>
    <row r="150" spans="1:39" x14ac:dyDescent="0.25">
      <c r="A150" t="s">
        <v>163</v>
      </c>
      <c r="B150" s="20">
        <v>45183</v>
      </c>
      <c r="C150" s="4">
        <v>45185</v>
      </c>
      <c r="D150" s="4" t="s">
        <v>1444</v>
      </c>
      <c r="E150" s="4">
        <v>45185</v>
      </c>
      <c r="F150" s="11">
        <f t="shared" si="28"/>
        <v>2</v>
      </c>
      <c r="G150" s="11" t="str">
        <f t="shared" si="31"/>
        <v>Meets Target</v>
      </c>
      <c r="H150" t="s">
        <v>649</v>
      </c>
      <c r="I150" t="s">
        <v>657</v>
      </c>
      <c r="J150" t="s">
        <v>679</v>
      </c>
      <c r="K150" t="s">
        <v>703</v>
      </c>
      <c r="L150" t="s">
        <v>711</v>
      </c>
      <c r="M150" t="s">
        <v>717</v>
      </c>
      <c r="N150" t="s">
        <v>728</v>
      </c>
      <c r="O150" t="str" cm="1">
        <f t="array" ref="O150">_xlfn.IFS(S150&lt;=_xlfn.PERCENTILE.INC(IF(N150:N780=N150, S150:S780), 0.33), "Low", S150&lt;=_xlfn.PERCENTILE.INC(IF(N150:N780=N150, S150:S780), 0.66), "Medium", S150 &gt; _xlfn.PERCENTILE.INC(IF(N150:N780=N150, S150:S780), 0.66), "High")</f>
        <v>Low</v>
      </c>
      <c r="P150" t="s">
        <v>882</v>
      </c>
      <c r="Q150" s="6">
        <v>376.83</v>
      </c>
      <c r="R150" s="6">
        <v>732.88</v>
      </c>
      <c r="S150" s="6">
        <v>732.88</v>
      </c>
      <c r="T150" s="9">
        <v>0.188</v>
      </c>
      <c r="U150" s="9">
        <f>IF(T150&gt;0.3, $AO$4, T150)</f>
        <v>0.188</v>
      </c>
      <c r="V150" s="7" t="str">
        <f t="shared" si="32"/>
        <v>Less than 20%</v>
      </c>
      <c r="W150" s="11">
        <v>25</v>
      </c>
      <c r="X150" s="6">
        <f t="shared" si="29"/>
        <v>14877.464000000002</v>
      </c>
      <c r="Y150" s="6">
        <f t="shared" si="30"/>
        <v>9420.75</v>
      </c>
      <c r="Z150" s="6">
        <f t="shared" si="33"/>
        <v>5456.7140000000018</v>
      </c>
      <c r="AA150" s="9">
        <f t="shared" si="34"/>
        <v>0.36677716040852132</v>
      </c>
      <c r="AB150" s="9">
        <f>IF(U150&gt;'What-If Analysis'!$F$16, 'What-If Analysis'!$F$16,T150)</f>
        <v>0.17</v>
      </c>
      <c r="AC150" s="42">
        <f>S150*(1-AB150)</f>
        <v>608.29039999999998</v>
      </c>
      <c r="AD150" s="42">
        <f>Q150*(1+'What-If Analysis'!F165)</f>
        <v>376.83</v>
      </c>
      <c r="AE150" s="41">
        <f>W150*(1+'What-If Analysis'!$F$18)</f>
        <v>29.25</v>
      </c>
      <c r="AF150" s="42">
        <f t="shared" si="35"/>
        <v>17792.494200000001</v>
      </c>
      <c r="AG150" s="42">
        <f t="shared" si="36"/>
        <v>11022.2775</v>
      </c>
      <c r="AH150" s="42">
        <f t="shared" si="37"/>
        <v>6770.2167000000009</v>
      </c>
      <c r="AI150" s="44">
        <f t="shared" si="38"/>
        <v>0.38050970391773403</v>
      </c>
      <c r="AJ150" s="42">
        <f t="shared" si="39"/>
        <v>2915.0301999999992</v>
      </c>
      <c r="AK150" s="42">
        <f t="shared" si="40"/>
        <v>5456.7140000000018</v>
      </c>
      <c r="AL150" s="9">
        <f t="shared" si="41"/>
        <v>1.3732543509212713E-2</v>
      </c>
      <c r="AM150" s="42"/>
    </row>
    <row r="151" spans="1:39" x14ac:dyDescent="0.25">
      <c r="A151" t="s">
        <v>164</v>
      </c>
      <c r="B151" s="20">
        <v>45558</v>
      </c>
      <c r="C151" s="4">
        <v>45583</v>
      </c>
      <c r="D151" s="4" t="s">
        <v>1443</v>
      </c>
      <c r="E151" s="4">
        <v>45583</v>
      </c>
      <c r="F151" s="11">
        <f t="shared" si="28"/>
        <v>25</v>
      </c>
      <c r="G151" s="11" t="str">
        <f t="shared" si="31"/>
        <v>Does not Meet Target</v>
      </c>
      <c r="H151" t="s">
        <v>648</v>
      </c>
      <c r="I151" t="s">
        <v>653</v>
      </c>
      <c r="J151" t="s">
        <v>688</v>
      </c>
      <c r="K151" t="s">
        <v>705</v>
      </c>
      <c r="L151" t="s">
        <v>708</v>
      </c>
      <c r="M151" t="s">
        <v>725</v>
      </c>
      <c r="N151" t="s">
        <v>730</v>
      </c>
      <c r="O151" t="str" cm="1">
        <f t="array" ref="O151">_xlfn.IFS(S151&lt;=_xlfn.PERCENTILE.INC(IF(N151:N781=N151, S151:S781), 0.33), "Low", S151&lt;=_xlfn.PERCENTILE.INC(IF(N151:N781=N151, S151:S781), 0.66), "Medium", S151 &gt; _xlfn.PERCENTILE.INC(IF(N151:N781=N151, S151:S781), 0.66), "High")</f>
        <v>High</v>
      </c>
      <c r="P151" t="s">
        <v>883</v>
      </c>
      <c r="Q151" s="6">
        <v>1297</v>
      </c>
      <c r="R151" s="6">
        <v>2411.52</v>
      </c>
      <c r="S151" s="6">
        <v>2411.52</v>
      </c>
      <c r="T151" s="9">
        <v>2.1000000000000001E-2</v>
      </c>
      <c r="U151" s="9">
        <f>IF(T151&gt;0.3, $AO$4, T151)</f>
        <v>2.1000000000000001E-2</v>
      </c>
      <c r="V151" s="7" t="str">
        <f t="shared" si="32"/>
        <v>Less than 20%</v>
      </c>
      <c r="W151" s="11">
        <v>18</v>
      </c>
      <c r="X151" s="6">
        <f t="shared" si="29"/>
        <v>42495.805439999996</v>
      </c>
      <c r="Y151" s="6">
        <f t="shared" si="30"/>
        <v>23346</v>
      </c>
      <c r="Z151" s="6">
        <f t="shared" si="33"/>
        <v>19149.805439999996</v>
      </c>
      <c r="AA151" s="9">
        <f t="shared" si="34"/>
        <v>0.45062813239385913</v>
      </c>
      <c r="AB151" s="9">
        <f>IF(U151&gt;'What-If Analysis'!$F$16, 'What-If Analysis'!$F$16,T151)</f>
        <v>2.1000000000000001E-2</v>
      </c>
      <c r="AC151" s="42">
        <f>S151*(1-AB151)</f>
        <v>2360.87808</v>
      </c>
      <c r="AD151" s="42">
        <f>Q151*(1+'What-If Analysis'!F166)</f>
        <v>1297</v>
      </c>
      <c r="AE151" s="41">
        <f>W151*(1+'What-If Analysis'!$F$18)</f>
        <v>21.06</v>
      </c>
      <c r="AF151" s="42">
        <f t="shared" si="35"/>
        <v>49720.092364799995</v>
      </c>
      <c r="AG151" s="42">
        <f t="shared" si="36"/>
        <v>27314.82</v>
      </c>
      <c r="AH151" s="42">
        <f t="shared" si="37"/>
        <v>22405.272364799996</v>
      </c>
      <c r="AI151" s="44">
        <f t="shared" si="38"/>
        <v>0.45062813239385913</v>
      </c>
      <c r="AJ151" s="42">
        <f t="shared" si="39"/>
        <v>7224.2869247999988</v>
      </c>
      <c r="AK151" s="42">
        <f t="shared" si="40"/>
        <v>19149.805439999996</v>
      </c>
      <c r="AL151" s="9">
        <f t="shared" si="41"/>
        <v>0</v>
      </c>
      <c r="AM151" s="42"/>
    </row>
    <row r="152" spans="1:39" x14ac:dyDescent="0.25">
      <c r="A152" t="s">
        <v>165</v>
      </c>
      <c r="B152" s="20">
        <v>45763</v>
      </c>
      <c r="C152" s="4">
        <v>45793</v>
      </c>
      <c r="D152" s="4" t="s">
        <v>1440</v>
      </c>
      <c r="E152" s="4">
        <v>45793</v>
      </c>
      <c r="F152" s="11">
        <f t="shared" si="28"/>
        <v>30</v>
      </c>
      <c r="G152" s="11" t="str">
        <f t="shared" si="31"/>
        <v>Does not Meet Target</v>
      </c>
      <c r="H152" t="s">
        <v>648</v>
      </c>
      <c r="I152" t="s">
        <v>653</v>
      </c>
      <c r="J152" t="s">
        <v>681</v>
      </c>
      <c r="K152" t="s">
        <v>706</v>
      </c>
      <c r="L152" t="s">
        <v>710</v>
      </c>
      <c r="M152" t="s">
        <v>723</v>
      </c>
      <c r="N152" t="s">
        <v>728</v>
      </c>
      <c r="O152" t="str" cm="1">
        <f t="array" ref="O152">_xlfn.IFS(S152&lt;=_xlfn.PERCENTILE.INC(IF(N152:N782=N152, S152:S782), 0.33), "Low", S152&lt;=_xlfn.PERCENTILE.INC(IF(N152:N782=N152, S152:S782), 0.66), "Medium", S152 &gt; _xlfn.PERCENTILE.INC(IF(N152:N782=N152, S152:S782), 0.66), "High")</f>
        <v>Low</v>
      </c>
      <c r="P152" t="s">
        <v>884</v>
      </c>
      <c r="Q152" s="6">
        <v>763.32</v>
      </c>
      <c r="R152" s="6">
        <v>568.29</v>
      </c>
      <c r="S152" s="6">
        <v>568.29</v>
      </c>
      <c r="T152" s="9">
        <v>0.13100000000000001</v>
      </c>
      <c r="U152" s="9">
        <f>IF(T152&gt;0.3, $AO$4, T152)</f>
        <v>0.13100000000000001</v>
      </c>
      <c r="V152" s="7" t="str">
        <f t="shared" si="32"/>
        <v>Less than 20%</v>
      </c>
      <c r="W152" s="11">
        <v>16</v>
      </c>
      <c r="X152" s="6">
        <f t="shared" si="29"/>
        <v>7901.5041599999995</v>
      </c>
      <c r="Y152" s="6">
        <f t="shared" si="30"/>
        <v>12213.12</v>
      </c>
      <c r="Z152" s="6">
        <f t="shared" si="33"/>
        <v>-4311.6158400000013</v>
      </c>
      <c r="AA152" s="9">
        <f t="shared" si="34"/>
        <v>-0.54567026134426555</v>
      </c>
      <c r="AB152" s="9">
        <f>IF(U152&gt;'What-If Analysis'!$F$16, 'What-If Analysis'!$F$16,T152)</f>
        <v>0.13100000000000001</v>
      </c>
      <c r="AC152" s="42">
        <f>S152*(1-AB152)</f>
        <v>493.84400999999997</v>
      </c>
      <c r="AD152" s="42">
        <f>Q152*(1+'What-If Analysis'!F167)</f>
        <v>763.32</v>
      </c>
      <c r="AE152" s="41">
        <f>W152*(1+'What-If Analysis'!$F$18)</f>
        <v>18.72</v>
      </c>
      <c r="AF152" s="42">
        <f t="shared" si="35"/>
        <v>9244.7598671999986</v>
      </c>
      <c r="AG152" s="42">
        <f t="shared" si="36"/>
        <v>14289.350399999999</v>
      </c>
      <c r="AH152" s="42">
        <f t="shared" si="37"/>
        <v>-5044.5905328000008</v>
      </c>
      <c r="AI152" s="44">
        <f t="shared" si="38"/>
        <v>-0.54567026134426555</v>
      </c>
      <c r="AJ152" s="42">
        <f t="shared" si="39"/>
        <v>1343.2557071999991</v>
      </c>
      <c r="AK152" s="42">
        <f t="shared" si="40"/>
        <v>-4311.6158400000013</v>
      </c>
      <c r="AL152" s="9">
        <f t="shared" si="41"/>
        <v>0</v>
      </c>
      <c r="AM152" s="42"/>
    </row>
    <row r="153" spans="1:39" x14ac:dyDescent="0.25">
      <c r="A153" t="s">
        <v>166</v>
      </c>
      <c r="B153" s="20">
        <v>45110</v>
      </c>
      <c r="C153" s="4">
        <v>45130</v>
      </c>
      <c r="D153" s="4" t="s">
        <v>1444</v>
      </c>
      <c r="E153" s="4">
        <v>45130</v>
      </c>
      <c r="F153" s="11">
        <f t="shared" si="28"/>
        <v>20</v>
      </c>
      <c r="G153" s="11" t="str">
        <f t="shared" si="31"/>
        <v>Does not Meet Target</v>
      </c>
      <c r="H153" t="s">
        <v>646</v>
      </c>
      <c r="I153" t="s">
        <v>661</v>
      </c>
      <c r="J153" t="s">
        <v>682</v>
      </c>
      <c r="K153" t="s">
        <v>705</v>
      </c>
      <c r="L153" t="s">
        <v>710</v>
      </c>
      <c r="M153" t="s">
        <v>721</v>
      </c>
      <c r="N153" t="s">
        <v>731</v>
      </c>
      <c r="O153" t="str" cm="1">
        <f t="array" ref="O153">_xlfn.IFS(S153&lt;=_xlfn.PERCENTILE.INC(IF(N153:N783=N153, S153:S783), 0.33), "Low", S153&lt;=_xlfn.PERCENTILE.INC(IF(N153:N783=N153, S153:S783), 0.66), "Medium", S153 &gt; _xlfn.PERCENTILE.INC(IF(N153:N783=N153, S153:S783), 0.66), "High")</f>
        <v>Medium</v>
      </c>
      <c r="P153" t="s">
        <v>885</v>
      </c>
      <c r="Q153" s="6">
        <v>1001.96</v>
      </c>
      <c r="R153" s="6">
        <v>1254.95</v>
      </c>
      <c r="S153" s="6">
        <v>1254.95</v>
      </c>
      <c r="T153" s="9">
        <v>4.4999999999999998E-2</v>
      </c>
      <c r="U153" s="9">
        <f>IF(T153&gt;0.3, $AO$4, T153)</f>
        <v>4.4999999999999998E-2</v>
      </c>
      <c r="V153" s="7" t="str">
        <f t="shared" si="32"/>
        <v>Less than 20%</v>
      </c>
      <c r="W153" s="11">
        <v>18</v>
      </c>
      <c r="X153" s="6">
        <f t="shared" si="29"/>
        <v>21572.590500000002</v>
      </c>
      <c r="Y153" s="6">
        <f t="shared" si="30"/>
        <v>18035.28</v>
      </c>
      <c r="Z153" s="6">
        <f t="shared" si="33"/>
        <v>3537.3105000000032</v>
      </c>
      <c r="AA153" s="9">
        <f t="shared" si="34"/>
        <v>0.16397244920585699</v>
      </c>
      <c r="AB153" s="9">
        <f>IF(U153&gt;'What-If Analysis'!$F$16, 'What-If Analysis'!$F$16,T153)</f>
        <v>4.4999999999999998E-2</v>
      </c>
      <c r="AC153" s="42">
        <f>S153*(1-AB153)</f>
        <v>1198.4772499999999</v>
      </c>
      <c r="AD153" s="42">
        <f>Q153*(1+'What-If Analysis'!F168)</f>
        <v>1001.96</v>
      </c>
      <c r="AE153" s="41">
        <f>W153*(1+'What-If Analysis'!$F$18)</f>
        <v>21.06</v>
      </c>
      <c r="AF153" s="42">
        <f t="shared" si="35"/>
        <v>25239.930884999998</v>
      </c>
      <c r="AG153" s="42">
        <f t="shared" si="36"/>
        <v>21101.277600000001</v>
      </c>
      <c r="AH153" s="42">
        <f t="shared" si="37"/>
        <v>4138.6532849999967</v>
      </c>
      <c r="AI153" s="44">
        <f t="shared" si="38"/>
        <v>0.16397244920585674</v>
      </c>
      <c r="AJ153" s="42">
        <f t="shared" si="39"/>
        <v>3667.3403849999959</v>
      </c>
      <c r="AK153" s="42">
        <f t="shared" si="40"/>
        <v>3537.3105000000032</v>
      </c>
      <c r="AL153" s="9">
        <f t="shared" si="41"/>
        <v>-2.4980018054066022E-16</v>
      </c>
      <c r="AM153" s="42"/>
    </row>
    <row r="154" spans="1:39" x14ac:dyDescent="0.25">
      <c r="A154" t="s">
        <v>167</v>
      </c>
      <c r="B154" s="20">
        <v>45267</v>
      </c>
      <c r="C154" s="4">
        <v>45265</v>
      </c>
      <c r="D154" s="4" t="s">
        <v>1438</v>
      </c>
      <c r="E154" s="4">
        <v>45285</v>
      </c>
      <c r="F154" s="11">
        <f t="shared" si="28"/>
        <v>18</v>
      </c>
      <c r="G154" s="11" t="str">
        <f t="shared" si="31"/>
        <v>Does not Meet Target</v>
      </c>
      <c r="H154" t="s">
        <v>647</v>
      </c>
      <c r="I154" t="s">
        <v>652</v>
      </c>
      <c r="J154" t="s">
        <v>689</v>
      </c>
      <c r="K154" t="s">
        <v>703</v>
      </c>
      <c r="L154" t="s">
        <v>709</v>
      </c>
      <c r="M154" t="s">
        <v>722</v>
      </c>
      <c r="N154" t="s">
        <v>728</v>
      </c>
      <c r="O154" t="str" cm="1">
        <f t="array" ref="O154">_xlfn.IFS(S154&lt;=_xlfn.PERCENTILE.INC(IF(N154:N784=N154, S154:S784), 0.33), "Low", S154&lt;=_xlfn.PERCENTILE.INC(IF(N154:N784=N154, S154:S784), 0.66), "Medium", S154 &gt; _xlfn.PERCENTILE.INC(IF(N154:N784=N154, S154:S784), 0.66), "High")</f>
        <v>Medium</v>
      </c>
      <c r="P154" t="s">
        <v>886</v>
      </c>
      <c r="Q154" s="6">
        <v>1097.5899999999999</v>
      </c>
      <c r="R154" s="6">
        <v>845.55</v>
      </c>
      <c r="S154" s="6">
        <v>845.55</v>
      </c>
      <c r="T154" s="9">
        <v>0.184</v>
      </c>
      <c r="U154" s="9">
        <f>IF(T154&gt;0.3, $AO$4, T154)</f>
        <v>0.184</v>
      </c>
      <c r="V154" s="7" t="str">
        <f t="shared" si="32"/>
        <v>Less than 20%</v>
      </c>
      <c r="W154" s="11">
        <v>6</v>
      </c>
      <c r="X154" s="6">
        <f t="shared" si="29"/>
        <v>4139.8127999999997</v>
      </c>
      <c r="Y154" s="6">
        <f t="shared" si="30"/>
        <v>6585.5399999999991</v>
      </c>
      <c r="Z154" s="6">
        <f t="shared" si="33"/>
        <v>-2445.7271999999994</v>
      </c>
      <c r="AA154" s="9">
        <f t="shared" si="34"/>
        <v>-0.59078207594314402</v>
      </c>
      <c r="AB154" s="9">
        <f>IF(U154&gt;'What-If Analysis'!$F$16, 'What-If Analysis'!$F$16,T154)</f>
        <v>0.17</v>
      </c>
      <c r="AC154" s="42">
        <f>S154*(1-AB154)</f>
        <v>701.80649999999991</v>
      </c>
      <c r="AD154" s="42">
        <f>Q154*(1+'What-If Analysis'!F169)</f>
        <v>1097.5899999999999</v>
      </c>
      <c r="AE154" s="41">
        <f>W154*(1+'What-If Analysis'!$F$18)</f>
        <v>7.02</v>
      </c>
      <c r="AF154" s="42">
        <f t="shared" si="35"/>
        <v>4926.6816299999991</v>
      </c>
      <c r="AG154" s="42">
        <f t="shared" si="36"/>
        <v>7705.081799999999</v>
      </c>
      <c r="AH154" s="42">
        <f t="shared" si="37"/>
        <v>-2778.4001699999999</v>
      </c>
      <c r="AI154" s="44">
        <f t="shared" si="38"/>
        <v>-0.56394960719229592</v>
      </c>
      <c r="AJ154" s="42">
        <f t="shared" si="39"/>
        <v>786.86882999999943</v>
      </c>
      <c r="AK154" s="42">
        <f t="shared" si="40"/>
        <v>-2445.7271999999994</v>
      </c>
      <c r="AL154" s="9">
        <f t="shared" si="41"/>
        <v>2.6832468750848104E-2</v>
      </c>
      <c r="AM154" s="42"/>
    </row>
    <row r="155" spans="1:39" x14ac:dyDescent="0.25">
      <c r="A155" t="s">
        <v>168</v>
      </c>
      <c r="B155" s="20">
        <v>45340</v>
      </c>
      <c r="C155" s="4">
        <v>45355</v>
      </c>
      <c r="D155" s="4" t="s">
        <v>1434</v>
      </c>
      <c r="E155" s="4">
        <v>45355</v>
      </c>
      <c r="F155" s="11">
        <f t="shared" si="28"/>
        <v>15</v>
      </c>
      <c r="G155" s="11" t="str">
        <f t="shared" si="31"/>
        <v>Does not Meet Target</v>
      </c>
      <c r="H155" t="s">
        <v>646</v>
      </c>
      <c r="I155" t="s">
        <v>650</v>
      </c>
      <c r="J155" t="s">
        <v>662</v>
      </c>
      <c r="K155" t="s">
        <v>702</v>
      </c>
      <c r="L155" t="s">
        <v>711</v>
      </c>
      <c r="M155" t="s">
        <v>723</v>
      </c>
      <c r="N155" t="s">
        <v>728</v>
      </c>
      <c r="O155" t="str" cm="1">
        <f t="array" ref="O155">_xlfn.IFS(S155&lt;=_xlfn.PERCENTILE.INC(IF(N155:N785=N155, S155:S785), 0.33), "Low", S155&lt;=_xlfn.PERCENTILE.INC(IF(N155:N785=N155, S155:S785), 0.66), "Medium", S155 &gt; _xlfn.PERCENTILE.INC(IF(N155:N785=N155, S155:S785), 0.66), "High")</f>
        <v>High</v>
      </c>
      <c r="P155" t="s">
        <v>887</v>
      </c>
      <c r="Q155" s="6">
        <v>928.68</v>
      </c>
      <c r="R155" s="6">
        <v>2145.17</v>
      </c>
      <c r="S155" s="6">
        <v>2145.17</v>
      </c>
      <c r="T155" s="9">
        <v>0.13600000000000001</v>
      </c>
      <c r="U155" s="9">
        <f>IF(T155&gt;0.3, $AO$4, T155)</f>
        <v>0.13600000000000001</v>
      </c>
      <c r="V155" s="7" t="str">
        <f t="shared" si="32"/>
        <v>Less than 20%</v>
      </c>
      <c r="W155" s="11">
        <v>16</v>
      </c>
      <c r="X155" s="6">
        <f t="shared" si="29"/>
        <v>29654.83008</v>
      </c>
      <c r="Y155" s="6">
        <f t="shared" si="30"/>
        <v>14858.88</v>
      </c>
      <c r="Z155" s="6">
        <f t="shared" si="33"/>
        <v>14795.950080000001</v>
      </c>
      <c r="AA155" s="9">
        <f t="shared" si="34"/>
        <v>0.49893896003062177</v>
      </c>
      <c r="AB155" s="9">
        <f>IF(U155&gt;'What-If Analysis'!$F$16, 'What-If Analysis'!$F$16,T155)</f>
        <v>0.13600000000000001</v>
      </c>
      <c r="AC155" s="42">
        <f>S155*(1-AB155)</f>
        <v>1853.42688</v>
      </c>
      <c r="AD155" s="42">
        <f>Q155*(1+'What-If Analysis'!F170)</f>
        <v>928.68</v>
      </c>
      <c r="AE155" s="41">
        <f>W155*(1+'What-If Analysis'!$F$18)</f>
        <v>18.72</v>
      </c>
      <c r="AF155" s="42">
        <f t="shared" si="35"/>
        <v>34696.151193599995</v>
      </c>
      <c r="AG155" s="42">
        <f t="shared" si="36"/>
        <v>17384.889599999999</v>
      </c>
      <c r="AH155" s="42">
        <f t="shared" si="37"/>
        <v>17311.261593599997</v>
      </c>
      <c r="AI155" s="44">
        <f t="shared" si="38"/>
        <v>0.49893896003062171</v>
      </c>
      <c r="AJ155" s="42">
        <f t="shared" si="39"/>
        <v>5041.3211135999954</v>
      </c>
      <c r="AK155" s="42">
        <f t="shared" si="40"/>
        <v>14795.950080000001</v>
      </c>
      <c r="AL155" s="9">
        <f t="shared" si="41"/>
        <v>0</v>
      </c>
      <c r="AM155" s="42"/>
    </row>
    <row r="156" spans="1:39" x14ac:dyDescent="0.25">
      <c r="A156" t="s">
        <v>169</v>
      </c>
      <c r="B156" s="20">
        <v>45230</v>
      </c>
      <c r="C156" s="4">
        <v>45232</v>
      </c>
      <c r="D156" s="4" t="s">
        <v>1438</v>
      </c>
      <c r="E156" s="4">
        <v>45232</v>
      </c>
      <c r="F156" s="11">
        <f t="shared" si="28"/>
        <v>2</v>
      </c>
      <c r="G156" s="11" t="str">
        <f t="shared" si="31"/>
        <v>Meets Target</v>
      </c>
      <c r="H156" t="s">
        <v>646</v>
      </c>
      <c r="I156" t="s">
        <v>650</v>
      </c>
      <c r="J156" t="s">
        <v>662</v>
      </c>
      <c r="K156" t="s">
        <v>702</v>
      </c>
      <c r="L156" t="s">
        <v>707</v>
      </c>
      <c r="M156" t="s">
        <v>719</v>
      </c>
      <c r="N156" t="s">
        <v>733</v>
      </c>
      <c r="O156" t="str" cm="1">
        <f t="array" ref="O156">_xlfn.IFS(S156&lt;=_xlfn.PERCENTILE.INC(IF(N156:N786=N156, S156:S786), 0.33), "Low", S156&lt;=_xlfn.PERCENTILE.INC(IF(N156:N786=N156, S156:S786), 0.66), "Medium", S156 &gt; _xlfn.PERCENTILE.INC(IF(N156:N786=N156, S156:S786), 0.66), "High")</f>
        <v>Medium</v>
      </c>
      <c r="P156" t="s">
        <v>888</v>
      </c>
      <c r="Q156" s="6">
        <v>867.89</v>
      </c>
      <c r="R156" s="6">
        <v>1349.94</v>
      </c>
      <c r="S156" s="6">
        <v>1349.94</v>
      </c>
      <c r="T156" s="9">
        <v>0.184</v>
      </c>
      <c r="U156" s="9">
        <f>IF(T156&gt;0.3, $AO$4, T156)</f>
        <v>0.184</v>
      </c>
      <c r="V156" s="7" t="str">
        <f t="shared" si="32"/>
        <v>Less than 20%</v>
      </c>
      <c r="W156" s="11">
        <v>10</v>
      </c>
      <c r="X156" s="6">
        <f t="shared" si="29"/>
        <v>11015.510400000003</v>
      </c>
      <c r="Y156" s="6">
        <f t="shared" si="30"/>
        <v>8678.9</v>
      </c>
      <c r="Z156" s="6">
        <f t="shared" si="33"/>
        <v>2336.6104000000032</v>
      </c>
      <c r="AA156" s="9">
        <f t="shared" si="34"/>
        <v>0.21212003031652557</v>
      </c>
      <c r="AB156" s="9">
        <f>IF(U156&gt;'What-If Analysis'!$F$16, 'What-If Analysis'!$F$16,T156)</f>
        <v>0.17</v>
      </c>
      <c r="AC156" s="42">
        <f>S156*(1-AB156)</f>
        <v>1120.4502</v>
      </c>
      <c r="AD156" s="42">
        <f>Q156*(1+'What-If Analysis'!F171)</f>
        <v>867.89</v>
      </c>
      <c r="AE156" s="41">
        <f>W156*(1+'What-If Analysis'!$F$18)</f>
        <v>11.7</v>
      </c>
      <c r="AF156" s="42">
        <f t="shared" si="35"/>
        <v>13109.267339999999</v>
      </c>
      <c r="AG156" s="42">
        <f t="shared" si="36"/>
        <v>10154.313</v>
      </c>
      <c r="AH156" s="42">
        <f t="shared" si="37"/>
        <v>2954.9543399999984</v>
      </c>
      <c r="AI156" s="44">
        <f t="shared" si="38"/>
        <v>0.22540957197383685</v>
      </c>
      <c r="AJ156" s="42">
        <f t="shared" si="39"/>
        <v>2093.7569399999957</v>
      </c>
      <c r="AK156" s="42">
        <f t="shared" si="40"/>
        <v>2336.6104000000032</v>
      </c>
      <c r="AL156" s="9">
        <f t="shared" si="41"/>
        <v>1.3289541657311277E-2</v>
      </c>
      <c r="AM156" s="42"/>
    </row>
    <row r="157" spans="1:39" x14ac:dyDescent="0.25">
      <c r="A157" t="s">
        <v>170</v>
      </c>
      <c r="B157" s="20">
        <v>45511</v>
      </c>
      <c r="C157" s="4">
        <v>45521</v>
      </c>
      <c r="D157" s="4" t="s">
        <v>1443</v>
      </c>
      <c r="E157" s="4">
        <v>45521</v>
      </c>
      <c r="F157" s="11">
        <f t="shared" si="28"/>
        <v>10</v>
      </c>
      <c r="G157" s="11" t="str">
        <f t="shared" si="31"/>
        <v>Does not Meet Target</v>
      </c>
      <c r="H157" t="s">
        <v>647</v>
      </c>
      <c r="I157" t="s">
        <v>652</v>
      </c>
      <c r="J157" t="s">
        <v>666</v>
      </c>
      <c r="K157" t="s">
        <v>704</v>
      </c>
      <c r="L157" t="s">
        <v>708</v>
      </c>
      <c r="M157" t="s">
        <v>723</v>
      </c>
      <c r="N157" t="s">
        <v>729</v>
      </c>
      <c r="O157" t="str" cm="1">
        <f t="array" ref="O157">_xlfn.IFS(S157&lt;=_xlfn.PERCENTILE.INC(IF(N157:N787=N157, S157:S787), 0.33), "Low", S157&lt;=_xlfn.PERCENTILE.INC(IF(N157:N787=N157, S157:S787), 0.66), "Medium", S157 &gt; _xlfn.PERCENTILE.INC(IF(N157:N787=N157, S157:S787), 0.66), "High")</f>
        <v>Low</v>
      </c>
      <c r="P157" t="s">
        <v>889</v>
      </c>
      <c r="Q157" s="6">
        <v>436.58</v>
      </c>
      <c r="R157" s="6">
        <v>527.48</v>
      </c>
      <c r="S157" s="6">
        <v>527.48</v>
      </c>
      <c r="T157" s="9">
        <v>0.111</v>
      </c>
      <c r="U157" s="9">
        <f>IF(T157&gt;0.3, $AO$4, T157)</f>
        <v>0.111</v>
      </c>
      <c r="V157" s="7" t="str">
        <f t="shared" si="32"/>
        <v>Less than 20%</v>
      </c>
      <c r="W157" s="11">
        <v>19</v>
      </c>
      <c r="X157" s="6">
        <f t="shared" si="29"/>
        <v>8909.6646800000017</v>
      </c>
      <c r="Y157" s="6">
        <f t="shared" si="30"/>
        <v>8295.02</v>
      </c>
      <c r="Z157" s="6">
        <f t="shared" si="33"/>
        <v>614.64468000000124</v>
      </c>
      <c r="AA157" s="9">
        <f t="shared" si="34"/>
        <v>6.8986286473802644E-2</v>
      </c>
      <c r="AB157" s="9">
        <f>IF(U157&gt;'What-If Analysis'!$F$16, 'What-If Analysis'!$F$16,T157)</f>
        <v>0.111</v>
      </c>
      <c r="AC157" s="42">
        <f>S157*(1-AB157)</f>
        <v>468.92972000000003</v>
      </c>
      <c r="AD157" s="42">
        <f>Q157*(1+'What-If Analysis'!F172)</f>
        <v>436.58</v>
      </c>
      <c r="AE157" s="41">
        <f>W157*(1+'What-If Analysis'!$F$18)</f>
        <v>22.229999999999997</v>
      </c>
      <c r="AF157" s="42">
        <f t="shared" si="35"/>
        <v>10424.307675599999</v>
      </c>
      <c r="AG157" s="42">
        <f t="shared" si="36"/>
        <v>9705.1733999999979</v>
      </c>
      <c r="AH157" s="42">
        <f t="shared" si="37"/>
        <v>719.13427560000127</v>
      </c>
      <c r="AI157" s="44">
        <f t="shared" si="38"/>
        <v>6.8986286473802644E-2</v>
      </c>
      <c r="AJ157" s="42">
        <f t="shared" si="39"/>
        <v>1514.6429955999974</v>
      </c>
      <c r="AK157" s="42">
        <f t="shared" si="40"/>
        <v>614.64468000000124</v>
      </c>
      <c r="AL157" s="9">
        <f t="shared" si="41"/>
        <v>0</v>
      </c>
      <c r="AM157" s="42"/>
    </row>
    <row r="158" spans="1:39" x14ac:dyDescent="0.25">
      <c r="A158" t="s">
        <v>171</v>
      </c>
      <c r="B158" s="20">
        <v>45323</v>
      </c>
      <c r="C158" s="4">
        <v>45343</v>
      </c>
      <c r="D158" s="4" t="s">
        <v>1434</v>
      </c>
      <c r="E158" s="4">
        <v>45343</v>
      </c>
      <c r="F158" s="11">
        <f t="shared" si="28"/>
        <v>20</v>
      </c>
      <c r="G158" s="11" t="str">
        <f t="shared" si="31"/>
        <v>Does not Meet Target</v>
      </c>
      <c r="H158" t="s">
        <v>649</v>
      </c>
      <c r="I158" t="s">
        <v>657</v>
      </c>
      <c r="J158" t="s">
        <v>690</v>
      </c>
      <c r="K158" t="s">
        <v>705</v>
      </c>
      <c r="L158" t="s">
        <v>709</v>
      </c>
      <c r="M158" t="s">
        <v>720</v>
      </c>
      <c r="N158" t="s">
        <v>729</v>
      </c>
      <c r="O158" t="str" cm="1">
        <f t="array" ref="O158">_xlfn.IFS(S158&lt;=_xlfn.PERCENTILE.INC(IF(N158:N788=N158, S158:S788), 0.33), "Low", S158&lt;=_xlfn.PERCENTILE.INC(IF(N158:N788=N158, S158:S788), 0.66), "Medium", S158 &gt; _xlfn.PERCENTILE.INC(IF(N158:N788=N158, S158:S788), 0.66), "High")</f>
        <v>Medium</v>
      </c>
      <c r="P158" t="s">
        <v>890</v>
      </c>
      <c r="Q158" s="6">
        <v>656.2</v>
      </c>
      <c r="R158" s="6">
        <v>1467.17</v>
      </c>
      <c r="S158" s="6">
        <v>1467.17</v>
      </c>
      <c r="T158" s="9">
        <v>1.7999999999999999E-2</v>
      </c>
      <c r="U158" s="9">
        <f>IF(T158&gt;0.3, $AO$4, T158)</f>
        <v>1.7999999999999999E-2</v>
      </c>
      <c r="V158" s="7" t="str">
        <f t="shared" si="32"/>
        <v>Less than 20%</v>
      </c>
      <c r="W158" s="11">
        <v>5</v>
      </c>
      <c r="X158" s="6">
        <f t="shared" si="29"/>
        <v>7203.8047000000006</v>
      </c>
      <c r="Y158" s="6">
        <f t="shared" si="30"/>
        <v>3281</v>
      </c>
      <c r="Z158" s="6">
        <f t="shared" si="33"/>
        <v>3922.8047000000006</v>
      </c>
      <c r="AA158" s="9">
        <f t="shared" si="34"/>
        <v>0.54454623124360946</v>
      </c>
      <c r="AB158" s="9">
        <f>IF(U158&gt;'What-If Analysis'!$F$16, 'What-If Analysis'!$F$16,T158)</f>
        <v>1.7999999999999999E-2</v>
      </c>
      <c r="AC158" s="42">
        <f>S158*(1-AB158)</f>
        <v>1440.7609400000001</v>
      </c>
      <c r="AD158" s="42">
        <f>Q158*(1+'What-If Analysis'!F173)</f>
        <v>656.2</v>
      </c>
      <c r="AE158" s="41">
        <f>W158*(1+'What-If Analysis'!$F$18)</f>
        <v>5.85</v>
      </c>
      <c r="AF158" s="42">
        <f t="shared" si="35"/>
        <v>8428.4514990000007</v>
      </c>
      <c r="AG158" s="42">
        <f t="shared" si="36"/>
        <v>3838.77</v>
      </c>
      <c r="AH158" s="42">
        <f t="shared" si="37"/>
        <v>4589.6814990000003</v>
      </c>
      <c r="AI158" s="44">
        <f t="shared" si="38"/>
        <v>0.54454623124360935</v>
      </c>
      <c r="AJ158" s="42">
        <f t="shared" si="39"/>
        <v>1224.6467990000001</v>
      </c>
      <c r="AK158" s="42">
        <f t="shared" si="40"/>
        <v>3922.8047000000006</v>
      </c>
      <c r="AL158" s="9">
        <f t="shared" si="41"/>
        <v>0</v>
      </c>
      <c r="AM158" s="42"/>
    </row>
    <row r="159" spans="1:39" x14ac:dyDescent="0.25">
      <c r="A159" t="s">
        <v>172</v>
      </c>
      <c r="B159" s="20">
        <v>45531</v>
      </c>
      <c r="C159" s="4">
        <v>45553</v>
      </c>
      <c r="D159" s="4" t="s">
        <v>1443</v>
      </c>
      <c r="E159" s="4">
        <v>45553</v>
      </c>
      <c r="F159" s="11">
        <f t="shared" si="28"/>
        <v>22</v>
      </c>
      <c r="G159" s="11" t="str">
        <f t="shared" si="31"/>
        <v>Does not Meet Target</v>
      </c>
      <c r="H159" t="s">
        <v>647</v>
      </c>
      <c r="I159" t="s">
        <v>654</v>
      </c>
      <c r="J159" t="s">
        <v>680</v>
      </c>
      <c r="K159" t="s">
        <v>704</v>
      </c>
      <c r="L159" t="s">
        <v>711</v>
      </c>
      <c r="M159" t="s">
        <v>717</v>
      </c>
      <c r="N159" t="s">
        <v>727</v>
      </c>
      <c r="O159" t="str" cm="1">
        <f t="array" ref="O159">_xlfn.IFS(S159&lt;=_xlfn.PERCENTILE.INC(IF(N159:N789=N159, S159:S789), 0.33), "Low", S159&lt;=_xlfn.PERCENTILE.INC(IF(N159:N789=N159, S159:S789), 0.66), "Medium", S159 &gt; _xlfn.PERCENTILE.INC(IF(N159:N789=N159, S159:S789), 0.66), "High")</f>
        <v>Medium</v>
      </c>
      <c r="P159" t="s">
        <v>891</v>
      </c>
      <c r="Q159" s="6">
        <v>896.75</v>
      </c>
      <c r="R159" s="6">
        <v>1651.14</v>
      </c>
      <c r="S159" s="6">
        <v>1651.14</v>
      </c>
      <c r="T159" s="9">
        <v>2.5000000000000001E-2</v>
      </c>
      <c r="U159" s="9">
        <f>IF(T159&gt;0.3, $AO$4, T159)</f>
        <v>2.5000000000000001E-2</v>
      </c>
      <c r="V159" s="7" t="str">
        <f t="shared" si="32"/>
        <v>Less than 20%</v>
      </c>
      <c r="W159" s="11">
        <v>15</v>
      </c>
      <c r="X159" s="6">
        <f t="shared" si="29"/>
        <v>24147.922500000001</v>
      </c>
      <c r="Y159" s="6">
        <f t="shared" si="30"/>
        <v>13451.25</v>
      </c>
      <c r="Z159" s="6">
        <f t="shared" si="33"/>
        <v>10696.672500000001</v>
      </c>
      <c r="AA159" s="9">
        <f t="shared" si="34"/>
        <v>0.44296450346815552</v>
      </c>
      <c r="AB159" s="9">
        <f>IF(U159&gt;'What-If Analysis'!$F$16, 'What-If Analysis'!$F$16,T159)</f>
        <v>2.5000000000000001E-2</v>
      </c>
      <c r="AC159" s="42">
        <f>S159*(1-AB159)</f>
        <v>1609.8615</v>
      </c>
      <c r="AD159" s="42">
        <f>Q159*(1+'What-If Analysis'!F174)</f>
        <v>896.75</v>
      </c>
      <c r="AE159" s="41">
        <f>W159*(1+'What-If Analysis'!$F$18)</f>
        <v>17.549999999999997</v>
      </c>
      <c r="AF159" s="42">
        <f t="shared" si="35"/>
        <v>28253.069324999997</v>
      </c>
      <c r="AG159" s="42">
        <f t="shared" si="36"/>
        <v>15737.962499999998</v>
      </c>
      <c r="AH159" s="42">
        <f t="shared" si="37"/>
        <v>12515.106824999999</v>
      </c>
      <c r="AI159" s="44">
        <f t="shared" si="38"/>
        <v>0.44296450346815552</v>
      </c>
      <c r="AJ159" s="42">
        <f t="shared" si="39"/>
        <v>4105.1468249999962</v>
      </c>
      <c r="AK159" s="42">
        <f t="shared" si="40"/>
        <v>10696.672500000001</v>
      </c>
      <c r="AL159" s="9">
        <f t="shared" si="41"/>
        <v>0</v>
      </c>
      <c r="AM159" s="42"/>
    </row>
    <row r="160" spans="1:39" x14ac:dyDescent="0.25">
      <c r="A160" t="s">
        <v>173</v>
      </c>
      <c r="B160" s="20">
        <v>45703</v>
      </c>
      <c r="C160" s="4">
        <v>45703</v>
      </c>
      <c r="D160" s="4" t="s">
        <v>1437</v>
      </c>
      <c r="E160" s="4">
        <v>45703</v>
      </c>
      <c r="F160" s="11">
        <f t="shared" si="28"/>
        <v>0</v>
      </c>
      <c r="G160" s="11" t="str">
        <f t="shared" si="31"/>
        <v>Meets Target</v>
      </c>
      <c r="H160" t="s">
        <v>649</v>
      </c>
      <c r="I160" t="s">
        <v>656</v>
      </c>
      <c r="J160" t="s">
        <v>698</v>
      </c>
      <c r="K160" t="s">
        <v>705</v>
      </c>
      <c r="L160" t="s">
        <v>709</v>
      </c>
      <c r="M160" t="s">
        <v>716</v>
      </c>
      <c r="N160" t="s">
        <v>733</v>
      </c>
      <c r="O160" t="str" cm="1">
        <f t="array" ref="O160">_xlfn.IFS(S160&lt;=_xlfn.PERCENTILE.INC(IF(N160:N790=N160, S160:S790), 0.33), "Low", S160&lt;=_xlfn.PERCENTILE.INC(IF(N160:N790=N160, S160:S790), 0.66), "Medium", S160 &gt; _xlfn.PERCENTILE.INC(IF(N160:N790=N160, S160:S790), 0.66), "High")</f>
        <v>High</v>
      </c>
      <c r="P160" t="s">
        <v>892</v>
      </c>
      <c r="Q160" s="6">
        <v>815.83</v>
      </c>
      <c r="R160" s="6">
        <v>1982.18</v>
      </c>
      <c r="S160" s="6">
        <v>1982.18</v>
      </c>
      <c r="T160" s="9">
        <v>0.127</v>
      </c>
      <c r="U160" s="9">
        <f>IF(T160&gt;0.3, $AO$4, T160)</f>
        <v>0.127</v>
      </c>
      <c r="V160" s="7" t="str">
        <f t="shared" si="32"/>
        <v>Less than 20%</v>
      </c>
      <c r="W160" s="11">
        <v>6</v>
      </c>
      <c r="X160" s="6">
        <f t="shared" si="29"/>
        <v>10382.65884</v>
      </c>
      <c r="Y160" s="6">
        <f t="shared" si="30"/>
        <v>4894.9800000000005</v>
      </c>
      <c r="Z160" s="6">
        <f t="shared" si="33"/>
        <v>5487.6788399999996</v>
      </c>
      <c r="AA160" s="9">
        <f t="shared" si="34"/>
        <v>0.52854272923408507</v>
      </c>
      <c r="AB160" s="9">
        <f>IF(U160&gt;'What-If Analysis'!$F$16, 'What-If Analysis'!$F$16,T160)</f>
        <v>0.127</v>
      </c>
      <c r="AC160" s="42">
        <f>S160*(1-AB160)</f>
        <v>1730.4431400000001</v>
      </c>
      <c r="AD160" s="42">
        <f>Q160*(1+'What-If Analysis'!F175)</f>
        <v>815.83</v>
      </c>
      <c r="AE160" s="41">
        <f>W160*(1+'What-If Analysis'!$F$18)</f>
        <v>7.02</v>
      </c>
      <c r="AF160" s="42">
        <f t="shared" si="35"/>
        <v>12147.710842799999</v>
      </c>
      <c r="AG160" s="42">
        <f t="shared" si="36"/>
        <v>5727.1265999999996</v>
      </c>
      <c r="AH160" s="42">
        <f t="shared" si="37"/>
        <v>6420.5842427999996</v>
      </c>
      <c r="AI160" s="44">
        <f t="shared" si="38"/>
        <v>0.52854272923408507</v>
      </c>
      <c r="AJ160" s="42">
        <f t="shared" si="39"/>
        <v>1765.0520027999992</v>
      </c>
      <c r="AK160" s="42">
        <f t="shared" si="40"/>
        <v>5487.6788399999996</v>
      </c>
      <c r="AL160" s="9">
        <f t="shared" si="41"/>
        <v>0</v>
      </c>
      <c r="AM160" s="42"/>
    </row>
    <row r="161" spans="1:39" x14ac:dyDescent="0.25">
      <c r="A161" t="s">
        <v>174</v>
      </c>
      <c r="B161" s="20">
        <v>45870</v>
      </c>
      <c r="C161" s="4">
        <v>45890</v>
      </c>
      <c r="D161" s="4" t="s">
        <v>1441</v>
      </c>
      <c r="E161" s="4">
        <v>45890</v>
      </c>
      <c r="F161" s="11">
        <f t="shared" si="28"/>
        <v>20</v>
      </c>
      <c r="G161" s="11" t="str">
        <f t="shared" si="31"/>
        <v>Does not Meet Target</v>
      </c>
      <c r="H161" t="s">
        <v>647</v>
      </c>
      <c r="I161" t="s">
        <v>659</v>
      </c>
      <c r="J161" t="s">
        <v>685</v>
      </c>
      <c r="K161" t="s">
        <v>701</v>
      </c>
      <c r="L161" t="s">
        <v>711</v>
      </c>
      <c r="M161" t="s">
        <v>714</v>
      </c>
      <c r="N161" t="s">
        <v>730</v>
      </c>
      <c r="O161" t="str" cm="1">
        <f t="array" ref="O161">_xlfn.IFS(S161&lt;=_xlfn.PERCENTILE.INC(IF(N161:N791=N161, S161:S791), 0.33), "Low", S161&lt;=_xlfn.PERCENTILE.INC(IF(N161:N791=N161, S161:S791), 0.66), "Medium", S161 &gt; _xlfn.PERCENTILE.INC(IF(N161:N791=N161, S161:S791), 0.66), "High")</f>
        <v>High</v>
      </c>
      <c r="P161" t="s">
        <v>893</v>
      </c>
      <c r="Q161" s="6">
        <v>1220.4100000000001</v>
      </c>
      <c r="R161" s="6">
        <v>2552.2199999999998</v>
      </c>
      <c r="S161" s="6">
        <v>2552.2199999999998</v>
      </c>
      <c r="T161" s="9">
        <v>0.18099999999999999</v>
      </c>
      <c r="U161" s="9">
        <f>IF(T161&gt;0.3, $AO$4, T161)</f>
        <v>0.18099999999999999</v>
      </c>
      <c r="V161" s="7" t="str">
        <f t="shared" si="32"/>
        <v>Less than 20%</v>
      </c>
      <c r="W161" s="11">
        <v>14</v>
      </c>
      <c r="X161" s="6">
        <f t="shared" si="29"/>
        <v>29263.754519999995</v>
      </c>
      <c r="Y161" s="6">
        <f t="shared" si="30"/>
        <v>17085.740000000002</v>
      </c>
      <c r="Z161" s="6">
        <f t="shared" si="33"/>
        <v>12178.014519999993</v>
      </c>
      <c r="AA161" s="9">
        <f t="shared" si="34"/>
        <v>0.41614668793360271</v>
      </c>
      <c r="AB161" s="9">
        <f>IF(U161&gt;'What-If Analysis'!$F$16, 'What-If Analysis'!$F$16,T161)</f>
        <v>0.17</v>
      </c>
      <c r="AC161" s="42">
        <f>S161*(1-AB161)</f>
        <v>2118.3425999999999</v>
      </c>
      <c r="AD161" s="42">
        <f>Q161*(1+'What-If Analysis'!F176)</f>
        <v>1220.4100000000001</v>
      </c>
      <c r="AE161" s="41">
        <f>W161*(1+'What-If Analysis'!$F$18)</f>
        <v>16.38</v>
      </c>
      <c r="AF161" s="42">
        <f t="shared" si="35"/>
        <v>34698.451787999998</v>
      </c>
      <c r="AG161" s="42">
        <f t="shared" si="36"/>
        <v>19990.3158</v>
      </c>
      <c r="AH161" s="42">
        <f t="shared" si="37"/>
        <v>14708.135987999998</v>
      </c>
      <c r="AI161" s="44">
        <f t="shared" si="38"/>
        <v>0.42388450291279606</v>
      </c>
      <c r="AJ161" s="42">
        <f t="shared" si="39"/>
        <v>5434.6972680000035</v>
      </c>
      <c r="AK161" s="42">
        <f t="shared" si="40"/>
        <v>12178.014519999993</v>
      </c>
      <c r="AL161" s="9">
        <f t="shared" si="41"/>
        <v>7.737814979193347E-3</v>
      </c>
      <c r="AM161" s="42"/>
    </row>
    <row r="162" spans="1:39" x14ac:dyDescent="0.25">
      <c r="A162" t="s">
        <v>175</v>
      </c>
      <c r="B162" s="20">
        <v>44977</v>
      </c>
      <c r="C162" s="4">
        <v>44989</v>
      </c>
      <c r="D162" s="4" t="s">
        <v>1436</v>
      </c>
      <c r="E162" s="4">
        <v>44989</v>
      </c>
      <c r="F162" s="11">
        <f t="shared" si="28"/>
        <v>12</v>
      </c>
      <c r="G162" s="11" t="str">
        <f t="shared" si="31"/>
        <v>Does not Meet Target</v>
      </c>
      <c r="H162" t="s">
        <v>647</v>
      </c>
      <c r="I162" t="s">
        <v>654</v>
      </c>
      <c r="J162" t="s">
        <v>680</v>
      </c>
      <c r="K162" t="s">
        <v>704</v>
      </c>
      <c r="L162" t="s">
        <v>710</v>
      </c>
      <c r="M162" t="s">
        <v>724</v>
      </c>
      <c r="N162" t="s">
        <v>732</v>
      </c>
      <c r="O162" t="str" cm="1">
        <f t="array" ref="O162">_xlfn.IFS(S162&lt;=_xlfn.PERCENTILE.INC(IF(N162:N792=N162, S162:S792), 0.33), "Low", S162&lt;=_xlfn.PERCENTILE.INC(IF(N162:N792=N162, S162:S792), 0.66), "Medium", S162 &gt; _xlfn.PERCENTILE.INC(IF(N162:N792=N162, S162:S792), 0.66), "High")</f>
        <v>Low</v>
      </c>
      <c r="P162" t="s">
        <v>894</v>
      </c>
      <c r="Q162" s="6">
        <v>299.75</v>
      </c>
      <c r="R162" s="6">
        <v>523.01</v>
      </c>
      <c r="S162" s="6">
        <v>523.01</v>
      </c>
      <c r="T162" s="9">
        <v>0.157</v>
      </c>
      <c r="U162" s="9">
        <f>IF(T162&gt;0.3, $AO$4, T162)</f>
        <v>0.157</v>
      </c>
      <c r="V162" s="7" t="str">
        <f t="shared" si="32"/>
        <v>Less than 20%</v>
      </c>
      <c r="W162" s="11">
        <v>50</v>
      </c>
      <c r="X162" s="6">
        <f t="shared" si="29"/>
        <v>22044.871499999997</v>
      </c>
      <c r="Y162" s="6">
        <f t="shared" si="30"/>
        <v>14987.5</v>
      </c>
      <c r="Z162" s="6">
        <f t="shared" si="33"/>
        <v>7057.3714999999975</v>
      </c>
      <c r="AA162" s="9">
        <f t="shared" si="34"/>
        <v>0.32013665854210122</v>
      </c>
      <c r="AB162" s="9">
        <f>IF(U162&gt;'What-If Analysis'!$F$16, 'What-If Analysis'!$F$16,T162)</f>
        <v>0.157</v>
      </c>
      <c r="AC162" s="42">
        <f>S162*(1-AB162)</f>
        <v>440.89742999999999</v>
      </c>
      <c r="AD162" s="42">
        <f>Q162*(1+'What-If Analysis'!F177)</f>
        <v>299.75</v>
      </c>
      <c r="AE162" s="41">
        <f>W162*(1+'What-If Analysis'!$F$18)</f>
        <v>58.5</v>
      </c>
      <c r="AF162" s="42">
        <f t="shared" si="35"/>
        <v>25792.499655</v>
      </c>
      <c r="AG162" s="42">
        <f t="shared" si="36"/>
        <v>17535.375</v>
      </c>
      <c r="AH162" s="42">
        <f t="shared" si="37"/>
        <v>8257.1246549999996</v>
      </c>
      <c r="AI162" s="44">
        <f t="shared" si="38"/>
        <v>0.32013665854210127</v>
      </c>
      <c r="AJ162" s="42">
        <f t="shared" si="39"/>
        <v>3747.6281550000022</v>
      </c>
      <c r="AK162" s="42">
        <f t="shared" si="40"/>
        <v>7057.3714999999975</v>
      </c>
      <c r="AL162" s="9">
        <f t="shared" si="41"/>
        <v>0</v>
      </c>
      <c r="AM162" s="42"/>
    </row>
    <row r="163" spans="1:39" x14ac:dyDescent="0.25">
      <c r="A163" t="s">
        <v>176</v>
      </c>
      <c r="B163" s="20">
        <v>45595</v>
      </c>
      <c r="C163" s="4">
        <v>45620</v>
      </c>
      <c r="D163" s="4" t="s">
        <v>1435</v>
      </c>
      <c r="E163" s="4">
        <v>45620</v>
      </c>
      <c r="F163" s="11">
        <f t="shared" si="28"/>
        <v>25</v>
      </c>
      <c r="G163" s="11" t="str">
        <f t="shared" si="31"/>
        <v>Does not Meet Target</v>
      </c>
      <c r="H163" t="s">
        <v>647</v>
      </c>
      <c r="I163" t="s">
        <v>659</v>
      </c>
      <c r="J163" t="s">
        <v>676</v>
      </c>
      <c r="K163" t="s">
        <v>705</v>
      </c>
      <c r="L163" t="s">
        <v>708</v>
      </c>
      <c r="M163" t="s">
        <v>718</v>
      </c>
      <c r="N163" t="s">
        <v>727</v>
      </c>
      <c r="O163" t="str" cm="1">
        <f t="array" ref="O163">_xlfn.IFS(S163&lt;=_xlfn.PERCENTILE.INC(IF(N163:N793=N163, S163:S793), 0.33), "Low", S163&lt;=_xlfn.PERCENTILE.INC(IF(N163:N793=N163, S163:S793), 0.66), "Medium", S163 &gt; _xlfn.PERCENTILE.INC(IF(N163:N793=N163, S163:S793), 0.66), "High")</f>
        <v>Medium</v>
      </c>
      <c r="P163" t="s">
        <v>895</v>
      </c>
      <c r="Q163" s="6">
        <v>811.05</v>
      </c>
      <c r="R163" s="6">
        <v>1217.71</v>
      </c>
      <c r="S163" s="6">
        <v>1217.71</v>
      </c>
      <c r="T163" s="9">
        <v>7.1999999999999995E-2</v>
      </c>
      <c r="U163" s="9">
        <f>IF(T163&gt;0.3, $AO$4, T163)</f>
        <v>7.1999999999999995E-2</v>
      </c>
      <c r="V163" s="7" t="str">
        <f t="shared" si="32"/>
        <v>Less than 20%</v>
      </c>
      <c r="W163" s="11">
        <v>5</v>
      </c>
      <c r="X163" s="6">
        <f t="shared" si="29"/>
        <v>5650.1744000000008</v>
      </c>
      <c r="Y163" s="6">
        <f t="shared" si="30"/>
        <v>4055.25</v>
      </c>
      <c r="Z163" s="6">
        <f t="shared" si="33"/>
        <v>1594.9244000000008</v>
      </c>
      <c r="AA163" s="9">
        <f t="shared" si="34"/>
        <v>0.28227879125288602</v>
      </c>
      <c r="AB163" s="9">
        <f>IF(U163&gt;'What-If Analysis'!$F$16, 'What-If Analysis'!$F$16,T163)</f>
        <v>7.1999999999999995E-2</v>
      </c>
      <c r="AC163" s="42">
        <f>S163*(1-AB163)</f>
        <v>1130.0348800000002</v>
      </c>
      <c r="AD163" s="42">
        <f>Q163*(1+'What-If Analysis'!F178)</f>
        <v>811.05</v>
      </c>
      <c r="AE163" s="41">
        <f>W163*(1+'What-If Analysis'!$F$18)</f>
        <v>5.85</v>
      </c>
      <c r="AF163" s="42">
        <f t="shared" si="35"/>
        <v>6610.7040480000005</v>
      </c>
      <c r="AG163" s="42">
        <f t="shared" si="36"/>
        <v>4744.642499999999</v>
      </c>
      <c r="AH163" s="42">
        <f t="shared" si="37"/>
        <v>1866.0615480000015</v>
      </c>
      <c r="AI163" s="44">
        <f t="shared" si="38"/>
        <v>0.28227879125288613</v>
      </c>
      <c r="AJ163" s="42">
        <f t="shared" si="39"/>
        <v>960.52964799999972</v>
      </c>
      <c r="AK163" s="42">
        <f t="shared" si="40"/>
        <v>1594.9244000000008</v>
      </c>
      <c r="AL163" s="9">
        <f t="shared" si="41"/>
        <v>0</v>
      </c>
      <c r="AM163" s="42"/>
    </row>
    <row r="164" spans="1:39" x14ac:dyDescent="0.25">
      <c r="A164" t="s">
        <v>177</v>
      </c>
      <c r="B164" s="20">
        <v>45385</v>
      </c>
      <c r="C164" s="4">
        <v>45389</v>
      </c>
      <c r="D164" s="4" t="s">
        <v>1439</v>
      </c>
      <c r="E164" s="4">
        <v>45389</v>
      </c>
      <c r="F164" s="11">
        <f t="shared" si="28"/>
        <v>4</v>
      </c>
      <c r="G164" s="11" t="str">
        <f t="shared" si="31"/>
        <v>Meets Target</v>
      </c>
      <c r="H164" t="s">
        <v>648</v>
      </c>
      <c r="I164" t="s">
        <v>655</v>
      </c>
      <c r="J164" t="s">
        <v>672</v>
      </c>
      <c r="K164" t="s">
        <v>703</v>
      </c>
      <c r="L164" t="s">
        <v>711</v>
      </c>
      <c r="M164" t="s">
        <v>725</v>
      </c>
      <c r="N164" t="s">
        <v>730</v>
      </c>
      <c r="O164" t="str" cm="1">
        <f t="array" ref="O164">_xlfn.IFS(S164&lt;=_xlfn.PERCENTILE.INC(IF(N164:N794=N164, S164:S794), 0.33), "Low", S164&lt;=_xlfn.PERCENTILE.INC(IF(N164:N794=N164, S164:S794), 0.66), "Medium", S164 &gt; _xlfn.PERCENTILE.INC(IF(N164:N794=N164, S164:S794), 0.66), "High")</f>
        <v>Medium</v>
      </c>
      <c r="P164" t="s">
        <v>896</v>
      </c>
      <c r="Q164" s="6">
        <v>1023.27</v>
      </c>
      <c r="R164" s="6">
        <v>1343.64</v>
      </c>
      <c r="S164" s="6">
        <v>1343.64</v>
      </c>
      <c r="T164" s="9">
        <v>0.13300000000000001</v>
      </c>
      <c r="U164" s="9">
        <f>IF(T164&gt;0.3, $AO$4, T164)</f>
        <v>0.13300000000000001</v>
      </c>
      <c r="V164" s="7" t="str">
        <f t="shared" si="32"/>
        <v>Less than 20%</v>
      </c>
      <c r="W164" s="11">
        <v>7</v>
      </c>
      <c r="X164" s="6">
        <f t="shared" si="29"/>
        <v>8154.5511600000009</v>
      </c>
      <c r="Y164" s="6">
        <f t="shared" si="30"/>
        <v>7162.8899999999994</v>
      </c>
      <c r="Z164" s="6">
        <f t="shared" si="33"/>
        <v>991.66116000000147</v>
      </c>
      <c r="AA164" s="9">
        <f t="shared" si="34"/>
        <v>0.12160830688810116</v>
      </c>
      <c r="AB164" s="9">
        <f>IF(U164&gt;'What-If Analysis'!$F$16, 'What-If Analysis'!$F$16,T164)</f>
        <v>0.13300000000000001</v>
      </c>
      <c r="AC164" s="42">
        <f>S164*(1-AB164)</f>
        <v>1164.93588</v>
      </c>
      <c r="AD164" s="42">
        <f>Q164*(1+'What-If Analysis'!F179)</f>
        <v>1023.27</v>
      </c>
      <c r="AE164" s="41">
        <f>W164*(1+'What-If Analysis'!$F$18)</f>
        <v>8.19</v>
      </c>
      <c r="AF164" s="42">
        <f t="shared" si="35"/>
        <v>9540.8248571999993</v>
      </c>
      <c r="AG164" s="42">
        <f t="shared" si="36"/>
        <v>8380.5812999999998</v>
      </c>
      <c r="AH164" s="42">
        <f t="shared" si="37"/>
        <v>1160.2435571999995</v>
      </c>
      <c r="AI164" s="44">
        <f t="shared" si="38"/>
        <v>0.12160830688810095</v>
      </c>
      <c r="AJ164" s="42">
        <f t="shared" si="39"/>
        <v>1386.2736971999984</v>
      </c>
      <c r="AK164" s="42">
        <f t="shared" si="40"/>
        <v>991.66116000000147</v>
      </c>
      <c r="AL164" s="9">
        <f t="shared" si="41"/>
        <v>-2.0816681711721685E-16</v>
      </c>
      <c r="AM164" s="42"/>
    </row>
    <row r="165" spans="1:39" x14ac:dyDescent="0.25">
      <c r="A165" t="s">
        <v>178</v>
      </c>
      <c r="B165" s="20">
        <v>45010</v>
      </c>
      <c r="C165" s="4">
        <v>45011</v>
      </c>
      <c r="D165" s="4" t="s">
        <v>1436</v>
      </c>
      <c r="E165" s="4">
        <v>45011</v>
      </c>
      <c r="F165" s="11">
        <f t="shared" si="28"/>
        <v>1</v>
      </c>
      <c r="G165" s="11" t="str">
        <f t="shared" si="31"/>
        <v>Meets Target</v>
      </c>
      <c r="H165" t="s">
        <v>647</v>
      </c>
      <c r="I165" t="s">
        <v>652</v>
      </c>
      <c r="J165" t="s">
        <v>666</v>
      </c>
      <c r="K165" t="s">
        <v>705</v>
      </c>
      <c r="L165" t="s">
        <v>710</v>
      </c>
      <c r="M165" t="s">
        <v>714</v>
      </c>
      <c r="N165" t="s">
        <v>732</v>
      </c>
      <c r="O165" t="str" cm="1">
        <f t="array" ref="O165">_xlfn.IFS(S165&lt;=_xlfn.PERCENTILE.INC(IF(N165:N795=N165, S165:S795), 0.33), "Low", S165&lt;=_xlfn.PERCENTILE.INC(IF(N165:N795=N165, S165:S795), 0.66), "Medium", S165 &gt; _xlfn.PERCENTILE.INC(IF(N165:N795=N165, S165:S795), 0.66), "High")</f>
        <v>Low</v>
      </c>
      <c r="P165" t="s">
        <v>897</v>
      </c>
      <c r="Q165" s="6">
        <v>135.12</v>
      </c>
      <c r="R165" s="6">
        <v>301.7</v>
      </c>
      <c r="S165" s="6">
        <v>301.7</v>
      </c>
      <c r="T165" s="9">
        <v>0.14000000000000001</v>
      </c>
      <c r="U165" s="9">
        <f>IF(T165&gt;0.3, $AO$4, T165)</f>
        <v>0.14000000000000001</v>
      </c>
      <c r="V165" s="7" t="str">
        <f t="shared" si="32"/>
        <v>Less than 20%</v>
      </c>
      <c r="W165" s="11">
        <v>47</v>
      </c>
      <c r="X165" s="6">
        <f t="shared" si="29"/>
        <v>12194.714</v>
      </c>
      <c r="Y165" s="6">
        <f t="shared" si="30"/>
        <v>6350.64</v>
      </c>
      <c r="Z165" s="6">
        <f t="shared" si="33"/>
        <v>5844.0739999999996</v>
      </c>
      <c r="AA165" s="9">
        <f t="shared" si="34"/>
        <v>0.47923009920527859</v>
      </c>
      <c r="AB165" s="9">
        <f>IF(U165&gt;'What-If Analysis'!$F$16, 'What-If Analysis'!$F$16,T165)</f>
        <v>0.14000000000000001</v>
      </c>
      <c r="AC165" s="42">
        <f>S165*(1-AB165)</f>
        <v>259.46199999999999</v>
      </c>
      <c r="AD165" s="42">
        <f>Q165*(1+'What-If Analysis'!F180)</f>
        <v>135.12</v>
      </c>
      <c r="AE165" s="41">
        <f>W165*(1+'What-If Analysis'!$F$18)</f>
        <v>54.989999999999995</v>
      </c>
      <c r="AF165" s="42">
        <f t="shared" si="35"/>
        <v>14267.815379999998</v>
      </c>
      <c r="AG165" s="42">
        <f t="shared" si="36"/>
        <v>7430.2487999999994</v>
      </c>
      <c r="AH165" s="42">
        <f t="shared" si="37"/>
        <v>6837.5665799999988</v>
      </c>
      <c r="AI165" s="44">
        <f t="shared" si="38"/>
        <v>0.47923009920527859</v>
      </c>
      <c r="AJ165" s="42">
        <f t="shared" si="39"/>
        <v>2073.1013799999982</v>
      </c>
      <c r="AK165" s="42">
        <f t="shared" si="40"/>
        <v>5844.0739999999996</v>
      </c>
      <c r="AL165" s="9">
        <f t="shared" si="41"/>
        <v>0</v>
      </c>
      <c r="AM165" s="42"/>
    </row>
    <row r="166" spans="1:39" x14ac:dyDescent="0.25">
      <c r="A166" t="s">
        <v>179</v>
      </c>
      <c r="B166" s="20">
        <v>45447</v>
      </c>
      <c r="C166" s="4">
        <v>45459</v>
      </c>
      <c r="D166" s="4" t="s">
        <v>1439</v>
      </c>
      <c r="E166" s="4">
        <v>45459</v>
      </c>
      <c r="F166" s="11">
        <f t="shared" si="28"/>
        <v>12</v>
      </c>
      <c r="G166" s="11" t="str">
        <f t="shared" si="31"/>
        <v>Does not Meet Target</v>
      </c>
      <c r="H166" t="s">
        <v>647</v>
      </c>
      <c r="I166" t="s">
        <v>659</v>
      </c>
      <c r="J166" t="s">
        <v>685</v>
      </c>
      <c r="K166" t="s">
        <v>701</v>
      </c>
      <c r="L166" t="s">
        <v>707</v>
      </c>
      <c r="M166" t="s">
        <v>713</v>
      </c>
      <c r="N166" t="s">
        <v>728</v>
      </c>
      <c r="O166" t="str" cm="1">
        <f t="array" ref="O166">_xlfn.IFS(S166&lt;=_xlfn.PERCENTILE.INC(IF(N166:N796=N166, S166:S796), 0.33), "Low", S166&lt;=_xlfn.PERCENTILE.INC(IF(N166:N796=N166, S166:S796), 0.66), "Medium", S166 &gt; _xlfn.PERCENTILE.INC(IF(N166:N796=N166, S166:S796), 0.66), "High")</f>
        <v>High</v>
      </c>
      <c r="P166" t="s">
        <v>898</v>
      </c>
      <c r="Q166" s="6">
        <v>918.42</v>
      </c>
      <c r="R166" s="6">
        <v>1511.71</v>
      </c>
      <c r="S166" s="6">
        <v>1511.71</v>
      </c>
      <c r="T166" s="9">
        <v>0.02</v>
      </c>
      <c r="U166" s="9">
        <f>IF(T166&gt;0.3, $AO$4, T166)</f>
        <v>0.02</v>
      </c>
      <c r="V166" s="7" t="str">
        <f t="shared" si="32"/>
        <v>Less than 20%</v>
      </c>
      <c r="W166" s="11">
        <v>8</v>
      </c>
      <c r="X166" s="6">
        <f t="shared" si="29"/>
        <v>11851.806399999999</v>
      </c>
      <c r="Y166" s="6">
        <f t="shared" si="30"/>
        <v>7347.36</v>
      </c>
      <c r="Z166" s="6">
        <f t="shared" si="33"/>
        <v>4504.4463999999998</v>
      </c>
      <c r="AA166" s="9">
        <f t="shared" si="34"/>
        <v>0.38006412254590999</v>
      </c>
      <c r="AB166" s="9">
        <f>IF(U166&gt;'What-If Analysis'!$F$16, 'What-If Analysis'!$F$16,T166)</f>
        <v>0.02</v>
      </c>
      <c r="AC166" s="42">
        <f>S166*(1-AB166)</f>
        <v>1481.4757999999999</v>
      </c>
      <c r="AD166" s="42">
        <f>Q166*(1+'What-If Analysis'!F181)</f>
        <v>918.42</v>
      </c>
      <c r="AE166" s="41">
        <f>W166*(1+'What-If Analysis'!$F$18)</f>
        <v>9.36</v>
      </c>
      <c r="AF166" s="42">
        <f t="shared" si="35"/>
        <v>13866.613487999999</v>
      </c>
      <c r="AG166" s="42">
        <f t="shared" si="36"/>
        <v>8596.4111999999986</v>
      </c>
      <c r="AH166" s="42">
        <f t="shared" si="37"/>
        <v>5270.2022880000004</v>
      </c>
      <c r="AI166" s="44">
        <f t="shared" si="38"/>
        <v>0.38006412254591004</v>
      </c>
      <c r="AJ166" s="42">
        <f t="shared" si="39"/>
        <v>2014.8070879999996</v>
      </c>
      <c r="AK166" s="42">
        <f t="shared" si="40"/>
        <v>4504.4463999999998</v>
      </c>
      <c r="AL166" s="9">
        <f t="shared" si="41"/>
        <v>0</v>
      </c>
      <c r="AM166" s="42"/>
    </row>
    <row r="167" spans="1:39" x14ac:dyDescent="0.25">
      <c r="A167" t="s">
        <v>180</v>
      </c>
      <c r="B167" s="20">
        <v>44976</v>
      </c>
      <c r="C167" s="4">
        <v>44997</v>
      </c>
      <c r="D167" s="4" t="s">
        <v>1436</v>
      </c>
      <c r="E167" s="4">
        <v>44997</v>
      </c>
      <c r="F167" s="11">
        <f t="shared" si="28"/>
        <v>21</v>
      </c>
      <c r="G167" s="11" t="str">
        <f t="shared" si="31"/>
        <v>Does not Meet Target</v>
      </c>
      <c r="H167" t="s">
        <v>649</v>
      </c>
      <c r="I167" t="s">
        <v>656</v>
      </c>
      <c r="J167" t="s">
        <v>671</v>
      </c>
      <c r="K167" t="s">
        <v>705</v>
      </c>
      <c r="L167" t="s">
        <v>711</v>
      </c>
      <c r="M167" t="s">
        <v>716</v>
      </c>
      <c r="N167" t="s">
        <v>732</v>
      </c>
      <c r="O167" t="str" cm="1">
        <f t="array" ref="O167">_xlfn.IFS(S167&lt;=_xlfn.PERCENTILE.INC(IF(N167:N797=N167, S167:S797), 0.33), "Low", S167&lt;=_xlfn.PERCENTILE.INC(IF(N167:N797=N167, S167:S797), 0.66), "Medium", S167 &gt; _xlfn.PERCENTILE.INC(IF(N167:N797=N167, S167:S797), 0.66), "High")</f>
        <v>High</v>
      </c>
      <c r="P167" t="s">
        <v>899</v>
      </c>
      <c r="Q167" s="6">
        <v>1234.81</v>
      </c>
      <c r="R167" s="6">
        <v>2055.2399999999998</v>
      </c>
      <c r="S167" s="6">
        <v>2055.2399999999998</v>
      </c>
      <c r="T167" s="9">
        <v>5.2999999999999999E-2</v>
      </c>
      <c r="U167" s="9">
        <f>IF(T167&gt;0.3, $AO$4, T167)</f>
        <v>5.2999999999999999E-2</v>
      </c>
      <c r="V167" s="7" t="str">
        <f t="shared" si="32"/>
        <v>Less than 20%</v>
      </c>
      <c r="W167" s="11">
        <v>44</v>
      </c>
      <c r="X167" s="6">
        <f t="shared" si="29"/>
        <v>85637.740319999997</v>
      </c>
      <c r="Y167" s="6">
        <f t="shared" si="30"/>
        <v>54331.64</v>
      </c>
      <c r="Z167" s="6">
        <f t="shared" si="33"/>
        <v>31306.100319999998</v>
      </c>
      <c r="AA167" s="9">
        <f t="shared" si="34"/>
        <v>0.36556429680441616</v>
      </c>
      <c r="AB167" s="9">
        <f>IF(U167&gt;'What-If Analysis'!$F$16, 'What-If Analysis'!$F$16,T167)</f>
        <v>5.2999999999999999E-2</v>
      </c>
      <c r="AC167" s="42">
        <f>S167*(1-AB167)</f>
        <v>1946.3122799999996</v>
      </c>
      <c r="AD167" s="42">
        <f>Q167*(1+'What-If Analysis'!F182)</f>
        <v>1234.81</v>
      </c>
      <c r="AE167" s="41">
        <f>W167*(1+'What-If Analysis'!$F$18)</f>
        <v>51.48</v>
      </c>
      <c r="AF167" s="42">
        <f t="shared" si="35"/>
        <v>100196.15617439998</v>
      </c>
      <c r="AG167" s="42">
        <f t="shared" si="36"/>
        <v>63568.018799999991</v>
      </c>
      <c r="AH167" s="42">
        <f t="shared" si="37"/>
        <v>36628.137374399987</v>
      </c>
      <c r="AI167" s="44">
        <f t="shared" si="38"/>
        <v>0.36556429680441616</v>
      </c>
      <c r="AJ167" s="42">
        <f t="shared" si="39"/>
        <v>14558.41585439998</v>
      </c>
      <c r="AK167" s="42">
        <f t="shared" si="40"/>
        <v>31306.100319999998</v>
      </c>
      <c r="AL167" s="9">
        <f t="shared" si="41"/>
        <v>0</v>
      </c>
      <c r="AM167" s="42"/>
    </row>
    <row r="168" spans="1:39" x14ac:dyDescent="0.25">
      <c r="A168" t="s">
        <v>181</v>
      </c>
      <c r="B168" s="20">
        <v>45034</v>
      </c>
      <c r="C168" s="4">
        <v>45064</v>
      </c>
      <c r="D168" s="4" t="s">
        <v>1442</v>
      </c>
      <c r="E168" s="4">
        <v>45064</v>
      </c>
      <c r="F168" s="11">
        <f t="shared" si="28"/>
        <v>30</v>
      </c>
      <c r="G168" s="11" t="str">
        <f t="shared" si="31"/>
        <v>Does not Meet Target</v>
      </c>
      <c r="H168" t="s">
        <v>647</v>
      </c>
      <c r="I168" t="s">
        <v>659</v>
      </c>
      <c r="J168" t="s">
        <v>676</v>
      </c>
      <c r="K168" t="s">
        <v>703</v>
      </c>
      <c r="L168" t="s">
        <v>707</v>
      </c>
      <c r="M168" t="s">
        <v>722</v>
      </c>
      <c r="N168" t="s">
        <v>731</v>
      </c>
      <c r="O168" t="str" cm="1">
        <f t="array" ref="O168">_xlfn.IFS(S168&lt;=_xlfn.PERCENTILE.INC(IF(N168:N798=N168, S168:S798), 0.33), "Low", S168&lt;=_xlfn.PERCENTILE.INC(IF(N168:N798=N168, S168:S798), 0.66), "Medium", S168 &gt; _xlfn.PERCENTILE.INC(IF(N168:N798=N168, S168:S798), 0.66), "High")</f>
        <v>Low</v>
      </c>
      <c r="P168" t="s">
        <v>900</v>
      </c>
      <c r="Q168" s="6">
        <v>329.03</v>
      </c>
      <c r="R168" s="6">
        <v>391.15</v>
      </c>
      <c r="S168" s="6">
        <v>391.15</v>
      </c>
      <c r="T168" s="9">
        <v>0.19700000000000001</v>
      </c>
      <c r="U168" s="9">
        <f>IF(T168&gt;0.3, $AO$4, T168)</f>
        <v>0.19700000000000001</v>
      </c>
      <c r="V168" s="7" t="str">
        <f t="shared" si="32"/>
        <v>Less than 20%</v>
      </c>
      <c r="W168" s="11">
        <v>46</v>
      </c>
      <c r="X168" s="6">
        <f t="shared" si="29"/>
        <v>14448.298699999998</v>
      </c>
      <c r="Y168" s="6">
        <f t="shared" si="30"/>
        <v>15135.38</v>
      </c>
      <c r="Z168" s="6">
        <f t="shared" si="33"/>
        <v>-687.08130000000165</v>
      </c>
      <c r="AA168" s="9">
        <f t="shared" si="34"/>
        <v>-4.7554477815440081E-2</v>
      </c>
      <c r="AB168" s="9">
        <f>IF(U168&gt;'What-If Analysis'!$F$16, 'What-If Analysis'!$F$16,T168)</f>
        <v>0.17</v>
      </c>
      <c r="AC168" s="42">
        <f>S168*(1-AB168)</f>
        <v>324.65449999999998</v>
      </c>
      <c r="AD168" s="42">
        <f>Q168*(1+'What-If Analysis'!F183)</f>
        <v>329.03</v>
      </c>
      <c r="AE168" s="41">
        <f>W168*(1+'What-If Analysis'!$F$18)</f>
        <v>53.819999999999993</v>
      </c>
      <c r="AF168" s="42">
        <f t="shared" si="35"/>
        <v>17472.905189999998</v>
      </c>
      <c r="AG168" s="42">
        <f t="shared" si="36"/>
        <v>17708.394599999996</v>
      </c>
      <c r="AH168" s="42">
        <f t="shared" si="37"/>
        <v>-235.48940999999832</v>
      </c>
      <c r="AI168" s="44">
        <f t="shared" si="38"/>
        <v>-1.3477404440720733E-2</v>
      </c>
      <c r="AJ168" s="42">
        <f t="shared" si="39"/>
        <v>3024.6064900000001</v>
      </c>
      <c r="AK168" s="42">
        <f t="shared" si="40"/>
        <v>-687.08130000000165</v>
      </c>
      <c r="AL168" s="9">
        <f t="shared" si="41"/>
        <v>3.4077073374719352E-2</v>
      </c>
      <c r="AM168" s="42"/>
    </row>
    <row r="169" spans="1:39" x14ac:dyDescent="0.25">
      <c r="A169" t="s">
        <v>182</v>
      </c>
      <c r="B169" s="20">
        <v>45435</v>
      </c>
      <c r="C169" s="4">
        <v>45457</v>
      </c>
      <c r="D169" s="4" t="s">
        <v>1439</v>
      </c>
      <c r="E169" s="4">
        <v>45457</v>
      </c>
      <c r="F169" s="11">
        <f t="shared" si="28"/>
        <v>22</v>
      </c>
      <c r="G169" s="11" t="str">
        <f t="shared" si="31"/>
        <v>Does not Meet Target</v>
      </c>
      <c r="H169" t="s">
        <v>649</v>
      </c>
      <c r="I169" t="s">
        <v>657</v>
      </c>
      <c r="J169" t="s">
        <v>673</v>
      </c>
      <c r="K169" t="s">
        <v>705</v>
      </c>
      <c r="L169" t="s">
        <v>708</v>
      </c>
      <c r="M169" t="s">
        <v>725</v>
      </c>
      <c r="N169" t="s">
        <v>732</v>
      </c>
      <c r="O169" t="str" cm="1">
        <f t="array" ref="O169">_xlfn.IFS(S169&lt;=_xlfn.PERCENTILE.INC(IF(N169:N799=N169, S169:S799), 0.33), "Low", S169&lt;=_xlfn.PERCENTILE.INC(IF(N169:N799=N169, S169:S799), 0.66), "Medium", S169 &gt; _xlfn.PERCENTILE.INC(IF(N169:N799=N169, S169:S799), 0.66), "High")</f>
        <v>High</v>
      </c>
      <c r="P169" t="s">
        <v>901</v>
      </c>
      <c r="Q169" s="6">
        <v>1481.74</v>
      </c>
      <c r="R169" s="6">
        <v>1848.97</v>
      </c>
      <c r="S169" s="6">
        <v>1848.97</v>
      </c>
      <c r="T169" s="9">
        <v>0.254</v>
      </c>
      <c r="U169" s="9">
        <f>IF(T169&gt;0.3, $AO$4, T169)</f>
        <v>0.254</v>
      </c>
      <c r="V169" s="7" t="str">
        <f t="shared" si="32"/>
        <v>Greater than 20%</v>
      </c>
      <c r="W169" s="11">
        <v>9</v>
      </c>
      <c r="X169" s="6">
        <f t="shared" si="29"/>
        <v>12413.98458</v>
      </c>
      <c r="Y169" s="6">
        <f t="shared" si="30"/>
        <v>13335.66</v>
      </c>
      <c r="Z169" s="6">
        <f t="shared" si="33"/>
        <v>-921.67541999999958</v>
      </c>
      <c r="AA169" s="9">
        <f t="shared" si="34"/>
        <v>-7.4244930309072407E-2</v>
      </c>
      <c r="AB169" s="9">
        <f>IF(U169&gt;'What-If Analysis'!$F$16, 'What-If Analysis'!$F$16,T169)</f>
        <v>0.17</v>
      </c>
      <c r="AC169" s="42">
        <f>S169*(1-AB169)</f>
        <v>1534.6451</v>
      </c>
      <c r="AD169" s="42">
        <f>Q169*(1+'What-If Analysis'!F184)</f>
        <v>1481.74</v>
      </c>
      <c r="AE169" s="41">
        <f>W169*(1+'What-If Analysis'!$F$18)</f>
        <v>10.53</v>
      </c>
      <c r="AF169" s="42">
        <f t="shared" si="35"/>
        <v>16159.812902999998</v>
      </c>
      <c r="AG169" s="42">
        <f t="shared" si="36"/>
        <v>15602.722199999998</v>
      </c>
      <c r="AH169" s="42">
        <f t="shared" si="37"/>
        <v>557.09070299999985</v>
      </c>
      <c r="AI169" s="44">
        <f t="shared" si="38"/>
        <v>3.4473833722207171E-2</v>
      </c>
      <c r="AJ169" s="42">
        <f t="shared" si="39"/>
        <v>3745.8283229999979</v>
      </c>
      <c r="AK169" s="42">
        <f t="shared" si="40"/>
        <v>-921.67541999999958</v>
      </c>
      <c r="AL169" s="9">
        <f t="shared" si="41"/>
        <v>0.10871876403127959</v>
      </c>
      <c r="AM169" s="42"/>
    </row>
    <row r="170" spans="1:39" x14ac:dyDescent="0.25">
      <c r="A170" t="s">
        <v>183</v>
      </c>
      <c r="B170" s="20">
        <v>45206</v>
      </c>
      <c r="C170" s="4">
        <v>45222</v>
      </c>
      <c r="D170" s="4" t="s">
        <v>1438</v>
      </c>
      <c r="E170" s="4">
        <v>45222</v>
      </c>
      <c r="F170" s="11">
        <f t="shared" si="28"/>
        <v>16</v>
      </c>
      <c r="G170" s="11" t="str">
        <f t="shared" si="31"/>
        <v>Does not Meet Target</v>
      </c>
      <c r="H170" t="s">
        <v>647</v>
      </c>
      <c r="I170" t="s">
        <v>654</v>
      </c>
      <c r="J170" t="s">
        <v>696</v>
      </c>
      <c r="K170" t="s">
        <v>704</v>
      </c>
      <c r="L170" t="s">
        <v>707</v>
      </c>
      <c r="M170" t="s">
        <v>715</v>
      </c>
      <c r="N170" t="s">
        <v>732</v>
      </c>
      <c r="O170" t="str" cm="1">
        <f t="array" ref="O170">_xlfn.IFS(S170&lt;=_xlfn.PERCENTILE.INC(IF(N170:N800=N170, S170:S800), 0.33), "Low", S170&lt;=_xlfn.PERCENTILE.INC(IF(N170:N800=N170, S170:S800), 0.66), "Medium", S170 &gt; _xlfn.PERCENTILE.INC(IF(N170:N800=N170, S170:S800), 0.66), "High")</f>
        <v>Medium</v>
      </c>
      <c r="P170" t="s">
        <v>902</v>
      </c>
      <c r="Q170" s="6">
        <v>906.81</v>
      </c>
      <c r="R170" s="6">
        <v>1395.56</v>
      </c>
      <c r="S170" s="6">
        <v>1395.56</v>
      </c>
      <c r="T170" s="9">
        <v>0.185</v>
      </c>
      <c r="U170" s="9">
        <f>IF(T170&gt;0.3, $AO$4, T170)</f>
        <v>0.185</v>
      </c>
      <c r="V170" s="7" t="str">
        <f t="shared" si="32"/>
        <v>Less than 20%</v>
      </c>
      <c r="W170" s="11">
        <v>6</v>
      </c>
      <c r="X170" s="6">
        <f t="shared" si="29"/>
        <v>6824.2884000000004</v>
      </c>
      <c r="Y170" s="6">
        <f t="shared" si="30"/>
        <v>5440.86</v>
      </c>
      <c r="Z170" s="6">
        <f t="shared" si="33"/>
        <v>1383.4284000000007</v>
      </c>
      <c r="AA170" s="9">
        <f t="shared" si="34"/>
        <v>0.20272126834498974</v>
      </c>
      <c r="AB170" s="9">
        <f>IF(U170&gt;'What-If Analysis'!$F$16, 'What-If Analysis'!$F$16,T170)</f>
        <v>0.17</v>
      </c>
      <c r="AC170" s="42">
        <f>S170*(1-AB170)</f>
        <v>1158.3147999999999</v>
      </c>
      <c r="AD170" s="42">
        <f>Q170*(1+'What-If Analysis'!F185)</f>
        <v>906.81</v>
      </c>
      <c r="AE170" s="41">
        <f>W170*(1+'What-If Analysis'!$F$18)</f>
        <v>7.02</v>
      </c>
      <c r="AF170" s="42">
        <f t="shared" si="35"/>
        <v>8131.3698959999983</v>
      </c>
      <c r="AG170" s="42">
        <f t="shared" si="36"/>
        <v>6365.8061999999991</v>
      </c>
      <c r="AH170" s="42">
        <f t="shared" si="37"/>
        <v>1765.5636959999993</v>
      </c>
      <c r="AI170" s="44">
        <f t="shared" si="38"/>
        <v>0.21712992012188737</v>
      </c>
      <c r="AJ170" s="42">
        <f t="shared" si="39"/>
        <v>1307.081495999998</v>
      </c>
      <c r="AK170" s="42">
        <f t="shared" si="40"/>
        <v>1383.4284000000007</v>
      </c>
      <c r="AL170" s="9">
        <f t="shared" si="41"/>
        <v>1.4408651776897624E-2</v>
      </c>
      <c r="AM170" s="42"/>
    </row>
    <row r="171" spans="1:39" x14ac:dyDescent="0.25">
      <c r="A171" t="s">
        <v>184</v>
      </c>
      <c r="B171" s="20">
        <v>45574</v>
      </c>
      <c r="C171" s="4">
        <v>45604</v>
      </c>
      <c r="D171" s="4" t="s">
        <v>1435</v>
      </c>
      <c r="E171" s="4">
        <v>45604</v>
      </c>
      <c r="F171" s="11">
        <f t="shared" si="28"/>
        <v>30</v>
      </c>
      <c r="G171" s="11" t="str">
        <f t="shared" si="31"/>
        <v>Does not Meet Target</v>
      </c>
      <c r="H171" t="s">
        <v>649</v>
      </c>
      <c r="I171" t="s">
        <v>658</v>
      </c>
      <c r="J171" t="s">
        <v>693</v>
      </c>
      <c r="K171" t="s">
        <v>705</v>
      </c>
      <c r="L171" t="s">
        <v>710</v>
      </c>
      <c r="M171" t="s">
        <v>713</v>
      </c>
      <c r="N171" t="s">
        <v>727</v>
      </c>
      <c r="O171" t="str" cm="1">
        <f t="array" ref="O171">_xlfn.IFS(S171&lt;=_xlfn.PERCENTILE.INC(IF(N171:N801=N171, S171:S801), 0.33), "Low", S171&lt;=_xlfn.PERCENTILE.INC(IF(N171:N801=N171, S171:S801), 0.66), "Medium", S171 &gt; _xlfn.PERCENTILE.INC(IF(N171:N801=N171, S171:S801), 0.66), "High")</f>
        <v>Low</v>
      </c>
      <c r="P171" t="s">
        <v>903</v>
      </c>
      <c r="Q171" s="6">
        <v>343.85</v>
      </c>
      <c r="R171" s="6">
        <v>538.04</v>
      </c>
      <c r="S171" s="6">
        <v>538.04</v>
      </c>
      <c r="T171" s="9">
        <v>0.13900000000000001</v>
      </c>
      <c r="U171" s="9">
        <f>IF(T171&gt;0.3, $AO$4, T171)</f>
        <v>0.13900000000000001</v>
      </c>
      <c r="V171" s="7" t="str">
        <f t="shared" si="32"/>
        <v>Less than 20%</v>
      </c>
      <c r="W171" s="11">
        <v>5</v>
      </c>
      <c r="X171" s="6">
        <f t="shared" si="29"/>
        <v>2316.2621999999997</v>
      </c>
      <c r="Y171" s="6">
        <f t="shared" si="30"/>
        <v>1719.25</v>
      </c>
      <c r="Z171" s="6">
        <f t="shared" si="33"/>
        <v>597.01219999999967</v>
      </c>
      <c r="AA171" s="9">
        <f t="shared" si="34"/>
        <v>0.25774810813732563</v>
      </c>
      <c r="AB171" s="9">
        <f>IF(U171&gt;'What-If Analysis'!$F$16, 'What-If Analysis'!$F$16,T171)</f>
        <v>0.13900000000000001</v>
      </c>
      <c r="AC171" s="42">
        <f>S171*(1-AB171)</f>
        <v>463.25243999999998</v>
      </c>
      <c r="AD171" s="42">
        <f>Q171*(1+'What-If Analysis'!F186)</f>
        <v>343.85</v>
      </c>
      <c r="AE171" s="41">
        <f>W171*(1+'What-If Analysis'!$F$18)</f>
        <v>5.85</v>
      </c>
      <c r="AF171" s="42">
        <f t="shared" si="35"/>
        <v>2710.0267739999999</v>
      </c>
      <c r="AG171" s="42">
        <f t="shared" si="36"/>
        <v>2011.5225</v>
      </c>
      <c r="AH171" s="42">
        <f t="shared" si="37"/>
        <v>698.5042739999999</v>
      </c>
      <c r="AI171" s="44">
        <f t="shared" si="38"/>
        <v>0.25774810813732568</v>
      </c>
      <c r="AJ171" s="42">
        <f t="shared" si="39"/>
        <v>393.76457400000027</v>
      </c>
      <c r="AK171" s="42">
        <f t="shared" si="40"/>
        <v>597.01219999999967</v>
      </c>
      <c r="AL171" s="9">
        <f t="shared" si="41"/>
        <v>0</v>
      </c>
      <c r="AM171" s="42"/>
    </row>
    <row r="172" spans="1:39" x14ac:dyDescent="0.25">
      <c r="A172" t="s">
        <v>185</v>
      </c>
      <c r="B172" s="20">
        <v>45488</v>
      </c>
      <c r="C172" s="4">
        <v>45488</v>
      </c>
      <c r="D172" s="4" t="s">
        <v>1443</v>
      </c>
      <c r="E172" s="4">
        <v>45488</v>
      </c>
      <c r="F172" s="11">
        <f t="shared" si="28"/>
        <v>0</v>
      </c>
      <c r="G172" s="11" t="str">
        <f t="shared" si="31"/>
        <v>Meets Target</v>
      </c>
      <c r="H172" t="s">
        <v>647</v>
      </c>
      <c r="I172" t="s">
        <v>652</v>
      </c>
      <c r="J172" t="s">
        <v>689</v>
      </c>
      <c r="K172" t="s">
        <v>705</v>
      </c>
      <c r="L172" t="s">
        <v>709</v>
      </c>
      <c r="M172" t="s">
        <v>715</v>
      </c>
      <c r="N172" t="s">
        <v>733</v>
      </c>
      <c r="O172" t="str" cm="1">
        <f t="array" ref="O172">_xlfn.IFS(S172&lt;=_xlfn.PERCENTILE.INC(IF(N172:N802=N172, S172:S802), 0.33), "Low", S172&lt;=_xlfn.PERCENTILE.INC(IF(N172:N802=N172, S172:S802), 0.66), "Medium", S172 &gt; _xlfn.PERCENTILE.INC(IF(N172:N802=N172, S172:S802), 0.66), "High")</f>
        <v>Medium</v>
      </c>
      <c r="P172" t="s">
        <v>904</v>
      </c>
      <c r="Q172" s="6">
        <v>801.77</v>
      </c>
      <c r="R172" s="6">
        <v>1218.92</v>
      </c>
      <c r="S172" s="6">
        <v>1218.92</v>
      </c>
      <c r="T172" s="9">
        <v>0.254</v>
      </c>
      <c r="U172" s="9">
        <f>IF(T172&gt;0.3, $AO$4, T172)</f>
        <v>0.254</v>
      </c>
      <c r="V172" s="7" t="str">
        <f t="shared" si="32"/>
        <v>Greater than 20%</v>
      </c>
      <c r="W172" s="11">
        <v>16</v>
      </c>
      <c r="X172" s="6">
        <f t="shared" si="29"/>
        <v>14549.029120000001</v>
      </c>
      <c r="Y172" s="6">
        <f t="shared" si="30"/>
        <v>12828.32</v>
      </c>
      <c r="Z172" s="6">
        <f t="shared" si="33"/>
        <v>1720.7091200000013</v>
      </c>
      <c r="AA172" s="9">
        <f t="shared" si="34"/>
        <v>0.11826968698788344</v>
      </c>
      <c r="AB172" s="9">
        <f>IF(U172&gt;'What-If Analysis'!$F$16, 'What-If Analysis'!$F$16,T172)</f>
        <v>0.17</v>
      </c>
      <c r="AC172" s="42">
        <f>S172*(1-AB172)</f>
        <v>1011.7036000000001</v>
      </c>
      <c r="AD172" s="42">
        <f>Q172*(1+'What-If Analysis'!F187)</f>
        <v>801.77</v>
      </c>
      <c r="AE172" s="41">
        <f>W172*(1+'What-If Analysis'!$F$18)</f>
        <v>18.72</v>
      </c>
      <c r="AF172" s="42">
        <f t="shared" si="35"/>
        <v>18939.091391999998</v>
      </c>
      <c r="AG172" s="42">
        <f t="shared" si="36"/>
        <v>15009.134399999999</v>
      </c>
      <c r="AH172" s="42">
        <f t="shared" si="37"/>
        <v>3929.9569919999994</v>
      </c>
      <c r="AI172" s="44">
        <f t="shared" si="38"/>
        <v>0.20750504396742286</v>
      </c>
      <c r="AJ172" s="42">
        <f t="shared" si="39"/>
        <v>4390.0622719999974</v>
      </c>
      <c r="AK172" s="42">
        <f t="shared" si="40"/>
        <v>1720.7091200000013</v>
      </c>
      <c r="AL172" s="9">
        <f t="shared" si="41"/>
        <v>8.9235356979539424E-2</v>
      </c>
      <c r="AM172" s="42"/>
    </row>
    <row r="173" spans="1:39" x14ac:dyDescent="0.25">
      <c r="A173" t="s">
        <v>186</v>
      </c>
      <c r="B173" s="20">
        <v>45190</v>
      </c>
      <c r="C173" s="4">
        <v>45209</v>
      </c>
      <c r="D173" s="4" t="s">
        <v>1444</v>
      </c>
      <c r="E173" s="4">
        <v>45209</v>
      </c>
      <c r="F173" s="11">
        <f t="shared" si="28"/>
        <v>19</v>
      </c>
      <c r="G173" s="11" t="str">
        <f t="shared" si="31"/>
        <v>Does not Meet Target</v>
      </c>
      <c r="H173" t="s">
        <v>647</v>
      </c>
      <c r="I173" t="s">
        <v>652</v>
      </c>
      <c r="J173" t="s">
        <v>689</v>
      </c>
      <c r="K173" t="s">
        <v>702</v>
      </c>
      <c r="L173" t="s">
        <v>708</v>
      </c>
      <c r="M173" t="s">
        <v>726</v>
      </c>
      <c r="N173" t="s">
        <v>727</v>
      </c>
      <c r="O173" t="str" cm="1">
        <f t="array" ref="O173">_xlfn.IFS(S173&lt;=_xlfn.PERCENTILE.INC(IF(N173:N803=N173, S173:S803), 0.33), "Low", S173&lt;=_xlfn.PERCENTILE.INC(IF(N173:N803=N173, S173:S803), 0.66), "Medium", S173 &gt; _xlfn.PERCENTILE.INC(IF(N173:N803=N173, S173:S803), 0.66), "High")</f>
        <v>High</v>
      </c>
      <c r="P173" t="s">
        <v>905</v>
      </c>
      <c r="Q173" s="6">
        <v>845.63</v>
      </c>
      <c r="R173" s="6">
        <v>2062.12</v>
      </c>
      <c r="S173" s="6">
        <v>2062.12</v>
      </c>
      <c r="T173" s="9">
        <v>0.13400000000000001</v>
      </c>
      <c r="U173" s="9">
        <f>IF(T173&gt;0.3, $AO$4, T173)</f>
        <v>0.13400000000000001</v>
      </c>
      <c r="V173" s="7" t="str">
        <f t="shared" si="32"/>
        <v>Less than 20%</v>
      </c>
      <c r="W173" s="11">
        <v>5</v>
      </c>
      <c r="X173" s="6">
        <f t="shared" si="29"/>
        <v>8928.9795999999988</v>
      </c>
      <c r="Y173" s="6">
        <f t="shared" si="30"/>
        <v>4228.1499999999996</v>
      </c>
      <c r="Z173" s="6">
        <f t="shared" si="33"/>
        <v>4700.8295999999991</v>
      </c>
      <c r="AA173" s="9">
        <f t="shared" si="34"/>
        <v>0.52646884757133949</v>
      </c>
      <c r="AB173" s="9">
        <f>IF(U173&gt;'What-If Analysis'!$F$16, 'What-If Analysis'!$F$16,T173)</f>
        <v>0.13400000000000001</v>
      </c>
      <c r="AC173" s="42">
        <f>S173*(1-AB173)</f>
        <v>1785.7959199999998</v>
      </c>
      <c r="AD173" s="42">
        <f>Q173*(1+'What-If Analysis'!F188)</f>
        <v>845.63</v>
      </c>
      <c r="AE173" s="41">
        <f>W173*(1+'What-If Analysis'!$F$18)</f>
        <v>5.85</v>
      </c>
      <c r="AF173" s="42">
        <f t="shared" si="35"/>
        <v>10446.906131999998</v>
      </c>
      <c r="AG173" s="42">
        <f t="shared" si="36"/>
        <v>4946.9354999999996</v>
      </c>
      <c r="AH173" s="42">
        <f t="shared" si="37"/>
        <v>5499.9706319999987</v>
      </c>
      <c r="AI173" s="44">
        <f t="shared" si="38"/>
        <v>0.52646884757133949</v>
      </c>
      <c r="AJ173" s="42">
        <f t="shared" si="39"/>
        <v>1517.9265319999995</v>
      </c>
      <c r="AK173" s="42">
        <f t="shared" si="40"/>
        <v>4700.8295999999991</v>
      </c>
      <c r="AL173" s="9">
        <f t="shared" si="41"/>
        <v>0</v>
      </c>
      <c r="AM173" s="42"/>
    </row>
    <row r="174" spans="1:39" x14ac:dyDescent="0.25">
      <c r="A174" t="s">
        <v>187</v>
      </c>
      <c r="B174" s="20">
        <v>44981</v>
      </c>
      <c r="C174" s="4">
        <v>44994</v>
      </c>
      <c r="D174" s="4" t="s">
        <v>1436</v>
      </c>
      <c r="E174" s="4">
        <v>44994</v>
      </c>
      <c r="F174" s="11">
        <f t="shared" si="28"/>
        <v>13</v>
      </c>
      <c r="G174" s="11" t="str">
        <f t="shared" si="31"/>
        <v>Does not Meet Target</v>
      </c>
      <c r="H174" t="s">
        <v>648</v>
      </c>
      <c r="I174" t="s">
        <v>660</v>
      </c>
      <c r="J174" t="s">
        <v>700</v>
      </c>
      <c r="K174" t="s">
        <v>706</v>
      </c>
      <c r="L174" t="s">
        <v>708</v>
      </c>
      <c r="M174" t="s">
        <v>724</v>
      </c>
      <c r="N174" t="s">
        <v>727</v>
      </c>
      <c r="O174" t="str" cm="1">
        <f t="array" ref="O174">_xlfn.IFS(S174&lt;=_xlfn.PERCENTILE.INC(IF(N174:N804=N174, S174:S804), 0.33), "Low", S174&lt;=_xlfn.PERCENTILE.INC(IF(N174:N804=N174, S174:S804), 0.66), "Medium", S174 &gt; _xlfn.PERCENTILE.INC(IF(N174:N804=N174, S174:S804), 0.66), "High")</f>
        <v>Low</v>
      </c>
      <c r="P174" t="s">
        <v>906</v>
      </c>
      <c r="Q174" s="6">
        <v>6.85</v>
      </c>
      <c r="R174" s="6">
        <v>10.18</v>
      </c>
      <c r="S174" s="6">
        <v>10.18</v>
      </c>
      <c r="T174" s="9">
        <v>4.7E-2</v>
      </c>
      <c r="U174" s="9">
        <f>IF(T174&gt;0.3, $AO$4, T174)</f>
        <v>4.7E-2</v>
      </c>
      <c r="V174" s="7" t="str">
        <f t="shared" si="32"/>
        <v>Less than 20%</v>
      </c>
      <c r="W174" s="11">
        <v>10</v>
      </c>
      <c r="X174" s="6">
        <f t="shared" si="29"/>
        <v>97.0154</v>
      </c>
      <c r="Y174" s="6">
        <f t="shared" si="30"/>
        <v>68.5</v>
      </c>
      <c r="Z174" s="6">
        <f t="shared" si="33"/>
        <v>28.5154</v>
      </c>
      <c r="AA174" s="9">
        <f t="shared" si="34"/>
        <v>0.2939265312517394</v>
      </c>
      <c r="AB174" s="9">
        <f>IF(U174&gt;'What-If Analysis'!$F$16, 'What-If Analysis'!$F$16,T174)</f>
        <v>4.7E-2</v>
      </c>
      <c r="AC174" s="42">
        <f>S174*(1-AB174)</f>
        <v>9.7015399999999996</v>
      </c>
      <c r="AD174" s="42">
        <f>Q174*(1+'What-If Analysis'!F189)</f>
        <v>6.85</v>
      </c>
      <c r="AE174" s="41">
        <f>W174*(1+'What-If Analysis'!$F$18)</f>
        <v>11.7</v>
      </c>
      <c r="AF174" s="42">
        <f t="shared" si="35"/>
        <v>113.50801799999999</v>
      </c>
      <c r="AG174" s="42">
        <f t="shared" si="36"/>
        <v>80.144999999999996</v>
      </c>
      <c r="AH174" s="42">
        <f t="shared" si="37"/>
        <v>33.363017999999997</v>
      </c>
      <c r="AI174" s="44">
        <f t="shared" si="38"/>
        <v>0.2939265312517394</v>
      </c>
      <c r="AJ174" s="42">
        <f t="shared" si="39"/>
        <v>16.492617999999993</v>
      </c>
      <c r="AK174" s="42">
        <f t="shared" si="40"/>
        <v>28.5154</v>
      </c>
      <c r="AL174" s="9">
        <f t="shared" si="41"/>
        <v>0</v>
      </c>
      <c r="AM174" s="42"/>
    </row>
    <row r="175" spans="1:39" x14ac:dyDescent="0.25">
      <c r="A175" t="s">
        <v>188</v>
      </c>
      <c r="B175" s="20">
        <v>45798</v>
      </c>
      <c r="C175" s="4">
        <v>45796</v>
      </c>
      <c r="D175" s="4" t="s">
        <v>1440</v>
      </c>
      <c r="E175" s="4">
        <v>45816</v>
      </c>
      <c r="F175" s="11">
        <f t="shared" si="28"/>
        <v>18</v>
      </c>
      <c r="G175" s="11" t="str">
        <f t="shared" si="31"/>
        <v>Does not Meet Target</v>
      </c>
      <c r="H175" t="s">
        <v>646</v>
      </c>
      <c r="I175" t="s">
        <v>661</v>
      </c>
      <c r="J175" t="s">
        <v>682</v>
      </c>
      <c r="K175" t="s">
        <v>703</v>
      </c>
      <c r="L175" t="s">
        <v>710</v>
      </c>
      <c r="M175" t="s">
        <v>719</v>
      </c>
      <c r="N175" t="s">
        <v>731</v>
      </c>
      <c r="O175" t="str" cm="1">
        <f t="array" ref="O175">_xlfn.IFS(S175&lt;=_xlfn.PERCENTILE.INC(IF(N175:N805=N175, S175:S805), 0.33), "Low", S175&lt;=_xlfn.PERCENTILE.INC(IF(N175:N805=N175, S175:S805), 0.66), "Medium", S175 &gt; _xlfn.PERCENTILE.INC(IF(N175:N805=N175, S175:S805), 0.66), "High")</f>
        <v>High</v>
      </c>
      <c r="P175" t="s">
        <v>907</v>
      </c>
      <c r="Q175" s="6">
        <v>1263.8399999999999</v>
      </c>
      <c r="R175" s="6">
        <v>2281.7199999999998</v>
      </c>
      <c r="S175" s="6">
        <v>2281.7199999999998</v>
      </c>
      <c r="T175" s="9">
        <v>7.8E-2</v>
      </c>
      <c r="U175" s="9">
        <f>IF(T175&gt;0.3, $AO$4, T175)</f>
        <v>7.8E-2</v>
      </c>
      <c r="V175" s="7" t="str">
        <f t="shared" si="32"/>
        <v>Less than 20%</v>
      </c>
      <c r="W175" s="11">
        <v>15</v>
      </c>
      <c r="X175" s="6">
        <f t="shared" si="29"/>
        <v>31556.187599999997</v>
      </c>
      <c r="Y175" s="6">
        <f t="shared" si="30"/>
        <v>18957.599999999999</v>
      </c>
      <c r="Z175" s="6">
        <f t="shared" si="33"/>
        <v>12598.587599999999</v>
      </c>
      <c r="AA175" s="9">
        <f t="shared" si="34"/>
        <v>0.39924301882398494</v>
      </c>
      <c r="AB175" s="9">
        <f>IF(U175&gt;'What-If Analysis'!$F$16, 'What-If Analysis'!$F$16,T175)</f>
        <v>7.8E-2</v>
      </c>
      <c r="AC175" s="42">
        <f>S175*(1-AB175)</f>
        <v>2103.74584</v>
      </c>
      <c r="AD175" s="42">
        <f>Q175*(1+'What-If Analysis'!F190)</f>
        <v>1263.8399999999999</v>
      </c>
      <c r="AE175" s="41">
        <f>W175*(1+'What-If Analysis'!$F$18)</f>
        <v>17.549999999999997</v>
      </c>
      <c r="AF175" s="42">
        <f t="shared" si="35"/>
        <v>36920.739491999993</v>
      </c>
      <c r="AG175" s="42">
        <f t="shared" si="36"/>
        <v>22180.391999999996</v>
      </c>
      <c r="AH175" s="42">
        <f t="shared" si="37"/>
        <v>14740.347491999997</v>
      </c>
      <c r="AI175" s="44">
        <f t="shared" si="38"/>
        <v>0.39924301882398494</v>
      </c>
      <c r="AJ175" s="42">
        <f t="shared" si="39"/>
        <v>5364.5518919999959</v>
      </c>
      <c r="AK175" s="42">
        <f t="shared" si="40"/>
        <v>12598.587599999999</v>
      </c>
      <c r="AL175" s="9">
        <f t="shared" si="41"/>
        <v>0</v>
      </c>
      <c r="AM175" s="42"/>
    </row>
    <row r="176" spans="1:39" x14ac:dyDescent="0.25">
      <c r="A176" t="s">
        <v>189</v>
      </c>
      <c r="B176" s="20">
        <v>45435</v>
      </c>
      <c r="C176" s="4">
        <v>45446</v>
      </c>
      <c r="D176" s="4" t="s">
        <v>1439</v>
      </c>
      <c r="E176" s="4">
        <v>45446</v>
      </c>
      <c r="F176" s="11">
        <f t="shared" si="28"/>
        <v>11</v>
      </c>
      <c r="G176" s="11" t="str">
        <f t="shared" si="31"/>
        <v>Does not Meet Target</v>
      </c>
      <c r="H176" t="s">
        <v>646</v>
      </c>
      <c r="I176" t="s">
        <v>661</v>
      </c>
      <c r="J176" t="s">
        <v>682</v>
      </c>
      <c r="K176" t="s">
        <v>705</v>
      </c>
      <c r="L176" t="s">
        <v>710</v>
      </c>
      <c r="M176" t="s">
        <v>721</v>
      </c>
      <c r="N176" t="s">
        <v>728</v>
      </c>
      <c r="O176" t="str" cm="1">
        <f t="array" ref="O176">_xlfn.IFS(S176&lt;=_xlfn.PERCENTILE.INC(IF(N176:N806=N176, S176:S806), 0.33), "Low", S176&lt;=_xlfn.PERCENTILE.INC(IF(N176:N806=N176, S176:S806), 0.66), "Medium", S176 &gt; _xlfn.PERCENTILE.INC(IF(N176:N806=N176, S176:S806), 0.66), "High")</f>
        <v>Low</v>
      </c>
      <c r="P176" t="s">
        <v>908</v>
      </c>
      <c r="Q176" s="6">
        <v>180.89</v>
      </c>
      <c r="R176" s="6">
        <v>249.57</v>
      </c>
      <c r="S176" s="6">
        <v>249.57</v>
      </c>
      <c r="T176" s="9">
        <v>2.1999999999999999E-2</v>
      </c>
      <c r="U176" s="9">
        <f>IF(T176&gt;0.3, $AO$4, T176)</f>
        <v>2.1999999999999999E-2</v>
      </c>
      <c r="V176" s="7" t="str">
        <f t="shared" si="32"/>
        <v>Less than 20%</v>
      </c>
      <c r="W176" s="11">
        <v>8</v>
      </c>
      <c r="X176" s="6">
        <f t="shared" si="29"/>
        <v>1952.6356799999999</v>
      </c>
      <c r="Y176" s="6">
        <f t="shared" si="30"/>
        <v>1447.12</v>
      </c>
      <c r="Z176" s="6">
        <f t="shared" si="33"/>
        <v>505.51567999999997</v>
      </c>
      <c r="AA176" s="9">
        <f t="shared" si="34"/>
        <v>0.25888888806948362</v>
      </c>
      <c r="AB176" s="9">
        <f>IF(U176&gt;'What-If Analysis'!$F$16, 'What-If Analysis'!$F$16,T176)</f>
        <v>2.1999999999999999E-2</v>
      </c>
      <c r="AC176" s="42">
        <f>S176*(1-AB176)</f>
        <v>244.07945999999998</v>
      </c>
      <c r="AD176" s="42">
        <f>Q176*(1+'What-If Analysis'!F191)</f>
        <v>180.89</v>
      </c>
      <c r="AE176" s="41">
        <f>W176*(1+'What-If Analysis'!$F$18)</f>
        <v>9.36</v>
      </c>
      <c r="AF176" s="42">
        <f t="shared" si="35"/>
        <v>2284.5837455999999</v>
      </c>
      <c r="AG176" s="42">
        <f t="shared" si="36"/>
        <v>1693.1303999999998</v>
      </c>
      <c r="AH176" s="42">
        <f t="shared" si="37"/>
        <v>591.45334560000015</v>
      </c>
      <c r="AI176" s="44">
        <f t="shared" si="38"/>
        <v>0.25888888806948368</v>
      </c>
      <c r="AJ176" s="42">
        <f t="shared" si="39"/>
        <v>331.94806560000006</v>
      </c>
      <c r="AK176" s="42">
        <f t="shared" si="40"/>
        <v>505.51567999999997</v>
      </c>
      <c r="AL176" s="9">
        <f t="shared" si="41"/>
        <v>0</v>
      </c>
      <c r="AM176" s="42"/>
    </row>
    <row r="177" spans="1:39" x14ac:dyDescent="0.25">
      <c r="A177" t="s">
        <v>190</v>
      </c>
      <c r="B177" s="20">
        <v>45761</v>
      </c>
      <c r="C177" s="4">
        <v>45781</v>
      </c>
      <c r="D177" s="4" t="s">
        <v>1440</v>
      </c>
      <c r="E177" s="4">
        <v>45781</v>
      </c>
      <c r="F177" s="11">
        <f t="shared" si="28"/>
        <v>20</v>
      </c>
      <c r="G177" s="11" t="str">
        <f t="shared" si="31"/>
        <v>Does not Meet Target</v>
      </c>
      <c r="H177" t="s">
        <v>649</v>
      </c>
      <c r="I177" t="s">
        <v>658</v>
      </c>
      <c r="J177" t="s">
        <v>674</v>
      </c>
      <c r="K177" t="s">
        <v>706</v>
      </c>
      <c r="L177" t="s">
        <v>709</v>
      </c>
      <c r="M177" t="s">
        <v>723</v>
      </c>
      <c r="N177" t="s">
        <v>732</v>
      </c>
      <c r="O177" t="str" cm="1">
        <f t="array" ref="O177">_xlfn.IFS(S177&lt;=_xlfn.PERCENTILE.INC(IF(N177:N807=N177, S177:S807), 0.33), "Low", S177&lt;=_xlfn.PERCENTILE.INC(IF(N177:N807=N177, S177:S807), 0.66), "Medium", S177 &gt; _xlfn.PERCENTILE.INC(IF(N177:N807=N177, S177:S807), 0.66), "High")</f>
        <v>High</v>
      </c>
      <c r="P177" t="s">
        <v>909</v>
      </c>
      <c r="Q177" s="6">
        <v>1413.87</v>
      </c>
      <c r="R177" s="6">
        <v>3275</v>
      </c>
      <c r="S177" s="6">
        <v>3275</v>
      </c>
      <c r="T177" s="9">
        <v>0.255</v>
      </c>
      <c r="U177" s="9">
        <f>IF(T177&gt;0.3, $AO$4, T177)</f>
        <v>0.255</v>
      </c>
      <c r="V177" s="7" t="str">
        <f t="shared" si="32"/>
        <v>Greater than 20%</v>
      </c>
      <c r="W177" s="11">
        <v>38</v>
      </c>
      <c r="X177" s="6">
        <f t="shared" si="29"/>
        <v>92715.25</v>
      </c>
      <c r="Y177" s="6">
        <f t="shared" si="30"/>
        <v>53727.06</v>
      </c>
      <c r="Z177" s="6">
        <f t="shared" si="33"/>
        <v>38988.19</v>
      </c>
      <c r="AA177" s="9">
        <f t="shared" si="34"/>
        <v>0.42051539525590453</v>
      </c>
      <c r="AB177" s="9">
        <f>IF(U177&gt;'What-If Analysis'!$F$16, 'What-If Analysis'!$F$16,T177)</f>
        <v>0.17</v>
      </c>
      <c r="AC177" s="42">
        <f>S177*(1-AB177)</f>
        <v>2718.25</v>
      </c>
      <c r="AD177" s="42">
        <f>Q177*(1+'What-If Analysis'!F192)</f>
        <v>1413.87</v>
      </c>
      <c r="AE177" s="41">
        <f>W177*(1+'What-If Analysis'!$F$18)</f>
        <v>44.459999999999994</v>
      </c>
      <c r="AF177" s="42">
        <f t="shared" si="35"/>
        <v>120853.39499999999</v>
      </c>
      <c r="AG177" s="42">
        <f t="shared" si="36"/>
        <v>62860.660199999984</v>
      </c>
      <c r="AH177" s="42">
        <f t="shared" si="37"/>
        <v>57992.734800000006</v>
      </c>
      <c r="AI177" s="44">
        <f t="shared" si="38"/>
        <v>0.47986020417548064</v>
      </c>
      <c r="AJ177" s="42">
        <f t="shared" si="39"/>
        <v>28138.14499999999</v>
      </c>
      <c r="AK177" s="42">
        <f t="shared" si="40"/>
        <v>38988.19</v>
      </c>
      <c r="AL177" s="9">
        <f t="shared" si="41"/>
        <v>5.9344808919576109E-2</v>
      </c>
      <c r="AM177" s="42"/>
    </row>
    <row r="178" spans="1:39" x14ac:dyDescent="0.25">
      <c r="A178" t="s">
        <v>191</v>
      </c>
      <c r="B178" s="20">
        <v>45165</v>
      </c>
      <c r="C178" s="4">
        <v>45180</v>
      </c>
      <c r="D178" s="4" t="s">
        <v>1444</v>
      </c>
      <c r="E178" s="4">
        <v>45180</v>
      </c>
      <c r="F178" s="11">
        <f t="shared" si="28"/>
        <v>15</v>
      </c>
      <c r="G178" s="11" t="str">
        <f t="shared" si="31"/>
        <v>Does not Meet Target</v>
      </c>
      <c r="H178" t="s">
        <v>649</v>
      </c>
      <c r="I178" t="s">
        <v>658</v>
      </c>
      <c r="J178" t="s">
        <v>683</v>
      </c>
      <c r="K178" t="s">
        <v>704</v>
      </c>
      <c r="L178" t="s">
        <v>709</v>
      </c>
      <c r="M178" t="s">
        <v>725</v>
      </c>
      <c r="N178" t="s">
        <v>728</v>
      </c>
      <c r="O178" t="str" cm="1">
        <f t="array" ref="O178">_xlfn.IFS(S178&lt;=_xlfn.PERCENTILE.INC(IF(N178:N808=N178, S178:S808), 0.33), "Low", S178&lt;=_xlfn.PERCENTILE.INC(IF(N178:N808=N178, S178:S808), 0.66), "Medium", S178 &gt; _xlfn.PERCENTILE.INC(IF(N178:N808=N178, S178:S808), 0.66), "High")</f>
        <v>High</v>
      </c>
      <c r="P178" t="s">
        <v>910</v>
      </c>
      <c r="Q178" s="6">
        <v>943.79</v>
      </c>
      <c r="R178" s="6">
        <v>1913.76</v>
      </c>
      <c r="S178" s="6">
        <v>1913.76</v>
      </c>
      <c r="T178" s="9">
        <v>9.0999999999999998E-2</v>
      </c>
      <c r="U178" s="9">
        <f>IF(T178&gt;0.3, $AO$4, T178)</f>
        <v>9.0999999999999998E-2</v>
      </c>
      <c r="V178" s="7" t="str">
        <f t="shared" si="32"/>
        <v>Less than 20%</v>
      </c>
      <c r="W178" s="11">
        <v>9</v>
      </c>
      <c r="X178" s="6">
        <f t="shared" si="29"/>
        <v>15656.47056</v>
      </c>
      <c r="Y178" s="6">
        <f t="shared" si="30"/>
        <v>8494.11</v>
      </c>
      <c r="Z178" s="6">
        <f t="shared" si="33"/>
        <v>7162.3605599999992</v>
      </c>
      <c r="AA178" s="9">
        <f t="shared" si="34"/>
        <v>0.45746967891338081</v>
      </c>
      <c r="AB178" s="9">
        <f>IF(U178&gt;'What-If Analysis'!$F$16, 'What-If Analysis'!$F$16,T178)</f>
        <v>9.0999999999999998E-2</v>
      </c>
      <c r="AC178" s="42">
        <f>S178*(1-AB178)</f>
        <v>1739.6078400000001</v>
      </c>
      <c r="AD178" s="42">
        <f>Q178*(1+'What-If Analysis'!F193)</f>
        <v>943.79</v>
      </c>
      <c r="AE178" s="41">
        <f>W178*(1+'What-If Analysis'!$F$18)</f>
        <v>10.53</v>
      </c>
      <c r="AF178" s="42">
        <f t="shared" si="35"/>
        <v>18318.0705552</v>
      </c>
      <c r="AG178" s="42">
        <f t="shared" si="36"/>
        <v>9938.1086999999989</v>
      </c>
      <c r="AH178" s="42">
        <f t="shared" si="37"/>
        <v>8379.9618552000011</v>
      </c>
      <c r="AI178" s="44">
        <f t="shared" si="38"/>
        <v>0.45746967891338092</v>
      </c>
      <c r="AJ178" s="42">
        <f t="shared" si="39"/>
        <v>2661.5999952000002</v>
      </c>
      <c r="AK178" s="42">
        <f t="shared" si="40"/>
        <v>7162.3605599999992</v>
      </c>
      <c r="AL178" s="9">
        <f t="shared" si="41"/>
        <v>0</v>
      </c>
      <c r="AM178" s="42"/>
    </row>
    <row r="179" spans="1:39" x14ac:dyDescent="0.25">
      <c r="A179" t="s">
        <v>192</v>
      </c>
      <c r="B179" s="20">
        <v>45325</v>
      </c>
      <c r="C179" s="4">
        <v>45343</v>
      </c>
      <c r="D179" s="4" t="s">
        <v>1434</v>
      </c>
      <c r="E179" s="4">
        <v>45343</v>
      </c>
      <c r="F179" s="11">
        <f t="shared" si="28"/>
        <v>18</v>
      </c>
      <c r="G179" s="11" t="str">
        <f t="shared" si="31"/>
        <v>Does not Meet Target</v>
      </c>
      <c r="H179" t="s">
        <v>649</v>
      </c>
      <c r="I179" t="s">
        <v>656</v>
      </c>
      <c r="J179" t="s">
        <v>698</v>
      </c>
      <c r="K179" t="s">
        <v>701</v>
      </c>
      <c r="L179" t="s">
        <v>707</v>
      </c>
      <c r="M179" t="s">
        <v>722</v>
      </c>
      <c r="N179" t="s">
        <v>727</v>
      </c>
      <c r="O179" t="str" cm="1">
        <f t="array" ref="O179">_xlfn.IFS(S179&lt;=_xlfn.PERCENTILE.INC(IF(N179:N809=N179, S179:S809), 0.33), "Low", S179&lt;=_xlfn.PERCENTILE.INC(IF(N179:N809=N179, S179:S809), 0.66), "Medium", S179 &gt; _xlfn.PERCENTILE.INC(IF(N179:N809=N179, S179:S809), 0.66), "High")</f>
        <v>Low</v>
      </c>
      <c r="P179" t="s">
        <v>911</v>
      </c>
      <c r="Q179" s="6">
        <v>39.229999999999997</v>
      </c>
      <c r="R179" s="6">
        <v>30.09</v>
      </c>
      <c r="S179" s="6">
        <v>30.09</v>
      </c>
      <c r="T179" s="9">
        <v>0.17699999999999999</v>
      </c>
      <c r="U179" s="9">
        <f>IF(T179&gt;0.3, $AO$4, T179)</f>
        <v>0.17699999999999999</v>
      </c>
      <c r="V179" s="7" t="str">
        <f t="shared" si="32"/>
        <v>Less than 20%</v>
      </c>
      <c r="W179" s="11">
        <v>13</v>
      </c>
      <c r="X179" s="6">
        <f t="shared" si="29"/>
        <v>321.93290999999999</v>
      </c>
      <c r="Y179" s="6">
        <f t="shared" si="30"/>
        <v>509.98999999999995</v>
      </c>
      <c r="Z179" s="6">
        <f t="shared" si="33"/>
        <v>-188.05708999999996</v>
      </c>
      <c r="AA179" s="9">
        <f t="shared" si="34"/>
        <v>-0.58414993981199359</v>
      </c>
      <c r="AB179" s="9">
        <f>IF(U179&gt;'What-If Analysis'!$F$16, 'What-If Analysis'!$F$16,T179)</f>
        <v>0.17</v>
      </c>
      <c r="AC179" s="42">
        <f>S179*(1-AB179)</f>
        <v>24.974699999999999</v>
      </c>
      <c r="AD179" s="42">
        <f>Q179*(1+'What-If Analysis'!F194)</f>
        <v>39.229999999999997</v>
      </c>
      <c r="AE179" s="41">
        <f>W179*(1+'What-If Analysis'!$F$18)</f>
        <v>15.209999999999999</v>
      </c>
      <c r="AF179" s="42">
        <f t="shared" si="35"/>
        <v>379.86518699999993</v>
      </c>
      <c r="AG179" s="42">
        <f t="shared" si="36"/>
        <v>596.68829999999991</v>
      </c>
      <c r="AH179" s="42">
        <f t="shared" si="37"/>
        <v>-216.82311299999998</v>
      </c>
      <c r="AI179" s="44">
        <f t="shared" si="38"/>
        <v>-0.5707896391147842</v>
      </c>
      <c r="AJ179" s="42">
        <f t="shared" si="39"/>
        <v>57.932276999999942</v>
      </c>
      <c r="AK179" s="42">
        <f t="shared" si="40"/>
        <v>-188.05708999999996</v>
      </c>
      <c r="AL179" s="9">
        <f t="shared" si="41"/>
        <v>1.3360300697209393E-2</v>
      </c>
      <c r="AM179" s="42"/>
    </row>
    <row r="180" spans="1:39" x14ac:dyDescent="0.25">
      <c r="A180" t="s">
        <v>193</v>
      </c>
      <c r="B180" s="20">
        <v>45021</v>
      </c>
      <c r="C180" s="4">
        <v>45032</v>
      </c>
      <c r="D180" s="4" t="s">
        <v>1442</v>
      </c>
      <c r="E180" s="4">
        <v>45032</v>
      </c>
      <c r="F180" s="11">
        <f t="shared" si="28"/>
        <v>11</v>
      </c>
      <c r="G180" s="11" t="str">
        <f t="shared" si="31"/>
        <v>Does not Meet Target</v>
      </c>
      <c r="H180" t="s">
        <v>648</v>
      </c>
      <c r="I180" t="s">
        <v>653</v>
      </c>
      <c r="J180" t="s">
        <v>688</v>
      </c>
      <c r="K180" t="s">
        <v>703</v>
      </c>
      <c r="L180" t="s">
        <v>708</v>
      </c>
      <c r="M180" t="s">
        <v>719</v>
      </c>
      <c r="N180" t="s">
        <v>732</v>
      </c>
      <c r="O180" t="str" cm="1">
        <f t="array" ref="O180">_xlfn.IFS(S180&lt;=_xlfn.PERCENTILE.INC(IF(N180:N810=N180, S180:S810), 0.33), "Low", S180&lt;=_xlfn.PERCENTILE.INC(IF(N180:N810=N180, S180:S810), 0.66), "Medium", S180 &gt; _xlfn.PERCENTILE.INC(IF(N180:N810=N180, S180:S810), 0.66), "High")</f>
        <v>Low</v>
      </c>
      <c r="P180" t="s">
        <v>912</v>
      </c>
      <c r="Q180" s="6">
        <v>213.1</v>
      </c>
      <c r="R180" s="6">
        <v>501.31</v>
      </c>
      <c r="S180" s="6">
        <v>501.31</v>
      </c>
      <c r="T180" s="9">
        <v>5.6000000000000001E-2</v>
      </c>
      <c r="U180" s="9">
        <f>IF(T180&gt;0.3, $AO$4, T180)</f>
        <v>5.6000000000000001E-2</v>
      </c>
      <c r="V180" s="7" t="str">
        <f t="shared" si="32"/>
        <v>Less than 20%</v>
      </c>
      <c r="W180" s="11">
        <v>15</v>
      </c>
      <c r="X180" s="6">
        <f t="shared" si="29"/>
        <v>7098.5495999999994</v>
      </c>
      <c r="Y180" s="6">
        <f t="shared" si="30"/>
        <v>3196.5</v>
      </c>
      <c r="Z180" s="6">
        <f t="shared" si="33"/>
        <v>3902.0495999999994</v>
      </c>
      <c r="AA180" s="9">
        <f t="shared" si="34"/>
        <v>0.54969674368409005</v>
      </c>
      <c r="AB180" s="9">
        <f>IF(U180&gt;'What-If Analysis'!$F$16, 'What-If Analysis'!$F$16,T180)</f>
        <v>5.6000000000000001E-2</v>
      </c>
      <c r="AC180" s="42">
        <f>S180*(1-AB180)</f>
        <v>473.23663999999997</v>
      </c>
      <c r="AD180" s="42">
        <f>Q180*(1+'What-If Analysis'!F195)</f>
        <v>213.1</v>
      </c>
      <c r="AE180" s="41">
        <f>W180*(1+'What-If Analysis'!$F$18)</f>
        <v>17.549999999999997</v>
      </c>
      <c r="AF180" s="42">
        <f t="shared" si="35"/>
        <v>8305.303031999998</v>
      </c>
      <c r="AG180" s="42">
        <f t="shared" si="36"/>
        <v>3739.9049999999993</v>
      </c>
      <c r="AH180" s="42">
        <f t="shared" si="37"/>
        <v>4565.3980319999991</v>
      </c>
      <c r="AI180" s="44">
        <f t="shared" si="38"/>
        <v>0.54969674368409005</v>
      </c>
      <c r="AJ180" s="42">
        <f t="shared" si="39"/>
        <v>1206.7534319999986</v>
      </c>
      <c r="AK180" s="42">
        <f t="shared" si="40"/>
        <v>3902.0495999999994</v>
      </c>
      <c r="AL180" s="9">
        <f t="shared" si="41"/>
        <v>0</v>
      </c>
      <c r="AM180" s="42"/>
    </row>
    <row r="181" spans="1:39" x14ac:dyDescent="0.25">
      <c r="A181" t="s">
        <v>194</v>
      </c>
      <c r="B181" s="20">
        <v>45890</v>
      </c>
      <c r="C181" s="4">
        <v>45912</v>
      </c>
      <c r="D181" s="4" t="s">
        <v>1441</v>
      </c>
      <c r="E181" s="4">
        <v>45912</v>
      </c>
      <c r="F181" s="11">
        <f t="shared" si="28"/>
        <v>22</v>
      </c>
      <c r="G181" s="11" t="str">
        <f t="shared" si="31"/>
        <v>Does not Meet Target</v>
      </c>
      <c r="H181" t="s">
        <v>647</v>
      </c>
      <c r="I181" t="s">
        <v>659</v>
      </c>
      <c r="J181" t="s">
        <v>676</v>
      </c>
      <c r="K181" t="s">
        <v>702</v>
      </c>
      <c r="L181" t="s">
        <v>707</v>
      </c>
      <c r="M181" t="s">
        <v>717</v>
      </c>
      <c r="N181" t="s">
        <v>728</v>
      </c>
      <c r="O181" t="str" cm="1">
        <f t="array" ref="O181">_xlfn.IFS(S181&lt;=_xlfn.PERCENTILE.INC(IF(N181:N811=N181, S181:S811), 0.33), "Low", S181&lt;=_xlfn.PERCENTILE.INC(IF(N181:N811=N181, S181:S811), 0.66), "Medium", S181 &gt; _xlfn.PERCENTILE.INC(IF(N181:N811=N181, S181:S811), 0.66), "High")</f>
        <v>Low</v>
      </c>
      <c r="P181" t="s">
        <v>913</v>
      </c>
      <c r="Q181" s="6">
        <v>352.66</v>
      </c>
      <c r="R181" s="6">
        <v>411.18</v>
      </c>
      <c r="S181" s="6">
        <v>411.18</v>
      </c>
      <c r="T181" s="9">
        <v>0.17299999999999999</v>
      </c>
      <c r="U181" s="9">
        <f>IF(T181&gt;0.3, $AO$4, T181)</f>
        <v>0.17299999999999999</v>
      </c>
      <c r="V181" s="7" t="str">
        <f t="shared" si="32"/>
        <v>Less than 20%</v>
      </c>
      <c r="W181" s="11">
        <v>13</v>
      </c>
      <c r="X181" s="6">
        <f t="shared" si="29"/>
        <v>4420.5961799999995</v>
      </c>
      <c r="Y181" s="6">
        <f t="shared" si="30"/>
        <v>4584.58</v>
      </c>
      <c r="Z181" s="6">
        <f t="shared" si="33"/>
        <v>-163.98382000000038</v>
      </c>
      <c r="AA181" s="9">
        <f t="shared" si="34"/>
        <v>-3.7095408248758066E-2</v>
      </c>
      <c r="AB181" s="9">
        <f>IF(U181&gt;'What-If Analysis'!$F$16, 'What-If Analysis'!$F$16,T181)</f>
        <v>0.17</v>
      </c>
      <c r="AC181" s="42">
        <f>S181*(1-AB181)</f>
        <v>341.27940000000001</v>
      </c>
      <c r="AD181" s="42">
        <f>Q181*(1+'What-If Analysis'!F196)</f>
        <v>352.66</v>
      </c>
      <c r="AE181" s="41">
        <f>W181*(1+'What-If Analysis'!$F$18)</f>
        <v>15.209999999999999</v>
      </c>
      <c r="AF181" s="42">
        <f t="shared" si="35"/>
        <v>5190.8596740000003</v>
      </c>
      <c r="AG181" s="42">
        <f t="shared" si="36"/>
        <v>5363.9585999999999</v>
      </c>
      <c r="AH181" s="42">
        <f t="shared" si="37"/>
        <v>-173.09892599999966</v>
      </c>
      <c r="AI181" s="44">
        <f t="shared" si="38"/>
        <v>-3.3346870628581674E-2</v>
      </c>
      <c r="AJ181" s="42">
        <f t="shared" si="39"/>
        <v>770.26349400000072</v>
      </c>
      <c r="AK181" s="42">
        <f t="shared" si="40"/>
        <v>-163.98382000000038</v>
      </c>
      <c r="AL181" s="9">
        <f t="shared" si="41"/>
        <v>3.7485376201763926E-3</v>
      </c>
      <c r="AM181" s="42"/>
    </row>
    <row r="182" spans="1:39" x14ac:dyDescent="0.25">
      <c r="A182" t="s">
        <v>195</v>
      </c>
      <c r="B182" s="20">
        <v>45915</v>
      </c>
      <c r="C182" s="4">
        <v>45918</v>
      </c>
      <c r="D182" s="4" t="s">
        <v>1441</v>
      </c>
      <c r="E182" s="4">
        <v>45918</v>
      </c>
      <c r="F182" s="11">
        <f t="shared" si="28"/>
        <v>3</v>
      </c>
      <c r="G182" s="11" t="str">
        <f t="shared" si="31"/>
        <v>Meets Target</v>
      </c>
      <c r="H182" t="s">
        <v>648</v>
      </c>
      <c r="I182" t="s">
        <v>655</v>
      </c>
      <c r="J182" t="s">
        <v>692</v>
      </c>
      <c r="K182" t="s">
        <v>703</v>
      </c>
      <c r="L182" t="s">
        <v>711</v>
      </c>
      <c r="M182" t="s">
        <v>716</v>
      </c>
      <c r="N182" t="s">
        <v>733</v>
      </c>
      <c r="O182" t="str" cm="1">
        <f t="array" ref="O182">_xlfn.IFS(S182&lt;=_xlfn.PERCENTILE.INC(IF(N182:N812=N182, S182:S812), 0.33), "Low", S182&lt;=_xlfn.PERCENTILE.INC(IF(N182:N812=N182, S182:S812), 0.66), "Medium", S182 &gt; _xlfn.PERCENTILE.INC(IF(N182:N812=N182, S182:S812), 0.66), "High")</f>
        <v>Low</v>
      </c>
      <c r="P182" t="s">
        <v>914</v>
      </c>
      <c r="Q182" s="6">
        <v>5.5</v>
      </c>
      <c r="R182" s="6">
        <v>5.92</v>
      </c>
      <c r="S182" s="6">
        <v>5.92</v>
      </c>
      <c r="T182" s="9">
        <v>0.21199999999999999</v>
      </c>
      <c r="U182" s="9">
        <f>IF(T182&gt;0.3, $AO$4, T182)</f>
        <v>0.21199999999999999</v>
      </c>
      <c r="V182" s="7" t="str">
        <f t="shared" si="32"/>
        <v>Greater than 20%</v>
      </c>
      <c r="W182" s="11">
        <v>4</v>
      </c>
      <c r="X182" s="6">
        <f t="shared" si="29"/>
        <v>18.659839999999999</v>
      </c>
      <c r="Y182" s="6">
        <f t="shared" si="30"/>
        <v>22</v>
      </c>
      <c r="Z182" s="6">
        <f t="shared" si="33"/>
        <v>-3.3401600000000009</v>
      </c>
      <c r="AA182" s="9">
        <f t="shared" si="34"/>
        <v>-0.17900260666758133</v>
      </c>
      <c r="AB182" s="9">
        <f>IF(U182&gt;'What-If Analysis'!$F$16, 'What-If Analysis'!$F$16,T182)</f>
        <v>0.17</v>
      </c>
      <c r="AC182" s="42">
        <f>S182*(1-AB182)</f>
        <v>4.9135999999999997</v>
      </c>
      <c r="AD182" s="42">
        <f>Q182*(1+'What-If Analysis'!F197)</f>
        <v>5.5</v>
      </c>
      <c r="AE182" s="41">
        <f>W182*(1+'What-If Analysis'!$F$18)</f>
        <v>4.68</v>
      </c>
      <c r="AF182" s="42">
        <f t="shared" si="35"/>
        <v>22.995647999999996</v>
      </c>
      <c r="AG182" s="42">
        <f t="shared" si="36"/>
        <v>25.74</v>
      </c>
      <c r="AH182" s="42">
        <f t="shared" si="37"/>
        <v>-2.7443520000000028</v>
      </c>
      <c r="AI182" s="44">
        <f t="shared" si="38"/>
        <v>-0.11934223380006527</v>
      </c>
      <c r="AJ182" s="42">
        <f t="shared" si="39"/>
        <v>4.3358079999999966</v>
      </c>
      <c r="AK182" s="42">
        <f t="shared" si="40"/>
        <v>-3.3401600000000009</v>
      </c>
      <c r="AL182" s="9">
        <f t="shared" si="41"/>
        <v>5.9660372867516062E-2</v>
      </c>
      <c r="AM182" s="42"/>
    </row>
    <row r="183" spans="1:39" x14ac:dyDescent="0.25">
      <c r="A183" t="s">
        <v>196</v>
      </c>
      <c r="B183" s="20">
        <v>45568</v>
      </c>
      <c r="C183" s="4">
        <v>45576</v>
      </c>
      <c r="D183" s="4" t="s">
        <v>1435</v>
      </c>
      <c r="E183" s="4">
        <v>45576</v>
      </c>
      <c r="F183" s="11">
        <f t="shared" si="28"/>
        <v>8</v>
      </c>
      <c r="G183" s="11" t="str">
        <f t="shared" si="31"/>
        <v>Does not Meet Target</v>
      </c>
      <c r="H183" t="s">
        <v>647</v>
      </c>
      <c r="I183" t="s">
        <v>659</v>
      </c>
      <c r="J183" t="s">
        <v>699</v>
      </c>
      <c r="K183" t="s">
        <v>706</v>
      </c>
      <c r="L183" t="s">
        <v>711</v>
      </c>
      <c r="M183" t="s">
        <v>717</v>
      </c>
      <c r="N183" t="s">
        <v>730</v>
      </c>
      <c r="O183" t="str" cm="1">
        <f t="array" ref="O183">_xlfn.IFS(S183&lt;=_xlfn.PERCENTILE.INC(IF(N183:N813=N183, S183:S813), 0.33), "Low", S183&lt;=_xlfn.PERCENTILE.INC(IF(N183:N813=N183, S183:S813), 0.66), "Medium", S183 &gt; _xlfn.PERCENTILE.INC(IF(N183:N813=N183, S183:S813), 0.66), "High")</f>
        <v>High</v>
      </c>
      <c r="P183" t="s">
        <v>915</v>
      </c>
      <c r="Q183" s="6">
        <v>1132.6099999999999</v>
      </c>
      <c r="R183" s="6">
        <v>2206.63</v>
      </c>
      <c r="S183" s="6">
        <v>2206.63</v>
      </c>
      <c r="T183" s="9">
        <v>6.3E-2</v>
      </c>
      <c r="U183" s="9">
        <f>IF(T183&gt;0.3, $AO$4, T183)</f>
        <v>6.3E-2</v>
      </c>
      <c r="V183" s="7" t="str">
        <f t="shared" si="32"/>
        <v>Less than 20%</v>
      </c>
      <c r="W183" s="11">
        <v>20</v>
      </c>
      <c r="X183" s="6">
        <f t="shared" si="29"/>
        <v>41352.246200000009</v>
      </c>
      <c r="Y183" s="6">
        <f t="shared" si="30"/>
        <v>22652.199999999997</v>
      </c>
      <c r="Z183" s="6">
        <f t="shared" si="33"/>
        <v>18700.046200000012</v>
      </c>
      <c r="AA183" s="9">
        <f t="shared" si="34"/>
        <v>0.45221355351671338</v>
      </c>
      <c r="AB183" s="9">
        <f>IF(U183&gt;'What-If Analysis'!$F$16, 'What-If Analysis'!$F$16,T183)</f>
        <v>6.3E-2</v>
      </c>
      <c r="AC183" s="42">
        <f>S183*(1-AB183)</f>
        <v>2067.6123100000004</v>
      </c>
      <c r="AD183" s="42">
        <f>Q183*(1+'What-If Analysis'!F198)</f>
        <v>1132.6099999999999</v>
      </c>
      <c r="AE183" s="41">
        <f>W183*(1+'What-If Analysis'!$F$18)</f>
        <v>23.4</v>
      </c>
      <c r="AF183" s="42">
        <f t="shared" si="35"/>
        <v>48382.128054000008</v>
      </c>
      <c r="AG183" s="42">
        <f t="shared" si="36"/>
        <v>26503.073999999997</v>
      </c>
      <c r="AH183" s="42">
        <f t="shared" si="37"/>
        <v>21879.054054000011</v>
      </c>
      <c r="AI183" s="44">
        <f t="shared" si="38"/>
        <v>0.45221355351671333</v>
      </c>
      <c r="AJ183" s="42">
        <f t="shared" si="39"/>
        <v>7029.8818539999993</v>
      </c>
      <c r="AK183" s="42">
        <f t="shared" si="40"/>
        <v>18700.046200000012</v>
      </c>
      <c r="AL183" s="9">
        <f t="shared" si="41"/>
        <v>0</v>
      </c>
      <c r="AM183" s="42"/>
    </row>
    <row r="184" spans="1:39" x14ac:dyDescent="0.25">
      <c r="A184" t="s">
        <v>197</v>
      </c>
      <c r="B184" s="20">
        <v>45690</v>
      </c>
      <c r="C184" s="4">
        <v>45720</v>
      </c>
      <c r="D184" s="4" t="s">
        <v>1437</v>
      </c>
      <c r="E184" s="4">
        <v>45720</v>
      </c>
      <c r="F184" s="11">
        <f t="shared" si="28"/>
        <v>30</v>
      </c>
      <c r="G184" s="11" t="str">
        <f t="shared" si="31"/>
        <v>Does not Meet Target</v>
      </c>
      <c r="H184" t="s">
        <v>647</v>
      </c>
      <c r="I184" t="s">
        <v>652</v>
      </c>
      <c r="J184" t="s">
        <v>666</v>
      </c>
      <c r="K184" t="s">
        <v>702</v>
      </c>
      <c r="L184" t="s">
        <v>710</v>
      </c>
      <c r="M184" t="s">
        <v>716</v>
      </c>
      <c r="N184" t="s">
        <v>733</v>
      </c>
      <c r="O184" t="str" cm="1">
        <f t="array" ref="O184">_xlfn.IFS(S184&lt;=_xlfn.PERCENTILE.INC(IF(N184:N814=N184, S184:S814), 0.33), "Low", S184&lt;=_xlfn.PERCENTILE.INC(IF(N184:N814=N184, S184:S814), 0.66), "Medium", S184 &gt; _xlfn.PERCENTILE.INC(IF(N184:N814=N184, S184:S814), 0.66), "High")</f>
        <v>High</v>
      </c>
      <c r="P184" t="s">
        <v>916</v>
      </c>
      <c r="Q184" s="6">
        <v>766.59</v>
      </c>
      <c r="R184" s="6">
        <v>1912.8</v>
      </c>
      <c r="S184" s="6">
        <v>1912.8</v>
      </c>
      <c r="T184" s="9">
        <v>0.19600000000000001</v>
      </c>
      <c r="U184" s="9">
        <f>IF(T184&gt;0.3, $AO$4, T184)</f>
        <v>0.19600000000000001</v>
      </c>
      <c r="V184" s="7" t="str">
        <f t="shared" si="32"/>
        <v>Less than 20%</v>
      </c>
      <c r="W184" s="11">
        <v>5</v>
      </c>
      <c r="X184" s="6">
        <f t="shared" si="29"/>
        <v>7689.4560000000001</v>
      </c>
      <c r="Y184" s="6">
        <f t="shared" si="30"/>
        <v>3832.9500000000003</v>
      </c>
      <c r="Z184" s="6">
        <f t="shared" si="33"/>
        <v>3856.5059999999999</v>
      </c>
      <c r="AA184" s="9">
        <f t="shared" si="34"/>
        <v>0.50153170783472845</v>
      </c>
      <c r="AB184" s="9">
        <f>IF(U184&gt;'What-If Analysis'!$F$16, 'What-If Analysis'!$F$16,T184)</f>
        <v>0.17</v>
      </c>
      <c r="AC184" s="42">
        <f>S184*(1-AB184)</f>
        <v>1587.6239999999998</v>
      </c>
      <c r="AD184" s="42">
        <f>Q184*(1+'What-If Analysis'!F199)</f>
        <v>766.59</v>
      </c>
      <c r="AE184" s="41">
        <f>W184*(1+'What-If Analysis'!$F$18)</f>
        <v>5.85</v>
      </c>
      <c r="AF184" s="42">
        <f t="shared" si="35"/>
        <v>9287.6003999999975</v>
      </c>
      <c r="AG184" s="42">
        <f t="shared" si="36"/>
        <v>4484.5514999999996</v>
      </c>
      <c r="AH184" s="42">
        <f t="shared" si="37"/>
        <v>4803.048899999998</v>
      </c>
      <c r="AI184" s="44">
        <f t="shared" si="38"/>
        <v>0.51714637722785739</v>
      </c>
      <c r="AJ184" s="42">
        <f t="shared" si="39"/>
        <v>1598.1443999999974</v>
      </c>
      <c r="AK184" s="42">
        <f t="shared" si="40"/>
        <v>3856.5059999999999</v>
      </c>
      <c r="AL184" s="9">
        <f t="shared" si="41"/>
        <v>1.5614669393128944E-2</v>
      </c>
      <c r="AM184" s="42"/>
    </row>
    <row r="185" spans="1:39" x14ac:dyDescent="0.25">
      <c r="A185" t="s">
        <v>198</v>
      </c>
      <c r="B185" s="20">
        <v>45157</v>
      </c>
      <c r="C185" s="4">
        <v>45161</v>
      </c>
      <c r="D185" s="4" t="s">
        <v>1444</v>
      </c>
      <c r="E185" s="4">
        <v>45161</v>
      </c>
      <c r="F185" s="11">
        <f t="shared" si="28"/>
        <v>4</v>
      </c>
      <c r="G185" s="11" t="str">
        <f t="shared" si="31"/>
        <v>Meets Target</v>
      </c>
      <c r="H185" t="s">
        <v>646</v>
      </c>
      <c r="I185" t="s">
        <v>651</v>
      </c>
      <c r="J185" t="s">
        <v>669</v>
      </c>
      <c r="K185" t="s">
        <v>705</v>
      </c>
      <c r="L185" t="s">
        <v>708</v>
      </c>
      <c r="M185" t="s">
        <v>713</v>
      </c>
      <c r="N185" t="s">
        <v>732</v>
      </c>
      <c r="O185" t="str" cm="1">
        <f t="array" ref="O185">_xlfn.IFS(S185&lt;=_xlfn.PERCENTILE.INC(IF(N185:N815=N185, S185:S815), 0.33), "Low", S185&lt;=_xlfn.PERCENTILE.INC(IF(N185:N815=N185, S185:S815), 0.66), "Medium", S185 &gt; _xlfn.PERCENTILE.INC(IF(N185:N815=N185, S185:S815), 0.66), "High")</f>
        <v>Medium</v>
      </c>
      <c r="P185" t="s">
        <v>917</v>
      </c>
      <c r="Q185" s="6">
        <v>790.63</v>
      </c>
      <c r="R185" s="6">
        <v>1382.31</v>
      </c>
      <c r="S185" s="6">
        <v>1382.31</v>
      </c>
      <c r="T185" s="9">
        <v>0.10100000000000001</v>
      </c>
      <c r="U185" s="9">
        <f>IF(T185&gt;0.3, $AO$4, T185)</f>
        <v>0.10100000000000001</v>
      </c>
      <c r="V185" s="7" t="str">
        <f t="shared" si="32"/>
        <v>Less than 20%</v>
      </c>
      <c r="W185" s="11">
        <v>7</v>
      </c>
      <c r="X185" s="6">
        <f t="shared" si="29"/>
        <v>8698.8768300000011</v>
      </c>
      <c r="Y185" s="6">
        <f t="shared" si="30"/>
        <v>5534.41</v>
      </c>
      <c r="Z185" s="6">
        <f t="shared" si="33"/>
        <v>3164.4668300000012</v>
      </c>
      <c r="AA185" s="9">
        <f t="shared" si="34"/>
        <v>0.36377878338116448</v>
      </c>
      <c r="AB185" s="9">
        <f>IF(U185&gt;'What-If Analysis'!$F$16, 'What-If Analysis'!$F$16,T185)</f>
        <v>0.10100000000000001</v>
      </c>
      <c r="AC185" s="42">
        <f>S185*(1-AB185)</f>
        <v>1242.69669</v>
      </c>
      <c r="AD185" s="42">
        <f>Q185*(1+'What-If Analysis'!F200)</f>
        <v>790.63</v>
      </c>
      <c r="AE185" s="41">
        <f>W185*(1+'What-If Analysis'!$F$18)</f>
        <v>8.19</v>
      </c>
      <c r="AF185" s="42">
        <f t="shared" si="35"/>
        <v>10177.6858911</v>
      </c>
      <c r="AG185" s="42">
        <f t="shared" si="36"/>
        <v>6475.2596999999996</v>
      </c>
      <c r="AH185" s="42">
        <f t="shared" si="37"/>
        <v>3702.4261911000003</v>
      </c>
      <c r="AI185" s="44">
        <f t="shared" si="38"/>
        <v>0.36377878338116443</v>
      </c>
      <c r="AJ185" s="42">
        <f t="shared" si="39"/>
        <v>1478.8090610999989</v>
      </c>
      <c r="AK185" s="42">
        <f t="shared" si="40"/>
        <v>3164.4668300000012</v>
      </c>
      <c r="AL185" s="9">
        <f t="shared" si="41"/>
        <v>0</v>
      </c>
      <c r="AM185" s="42"/>
    </row>
    <row r="186" spans="1:39" x14ac:dyDescent="0.25">
      <c r="A186" t="s">
        <v>199</v>
      </c>
      <c r="B186" s="20">
        <v>45587</v>
      </c>
      <c r="C186" s="4">
        <v>45594</v>
      </c>
      <c r="D186" s="4" t="s">
        <v>1435</v>
      </c>
      <c r="E186" s="4">
        <v>45594</v>
      </c>
      <c r="F186" s="11">
        <f t="shared" si="28"/>
        <v>7</v>
      </c>
      <c r="G186" s="11" t="str">
        <f t="shared" si="31"/>
        <v>Meets Target</v>
      </c>
      <c r="H186" t="s">
        <v>646</v>
      </c>
      <c r="I186" t="s">
        <v>651</v>
      </c>
      <c r="J186" t="s">
        <v>663</v>
      </c>
      <c r="K186" t="s">
        <v>706</v>
      </c>
      <c r="L186" t="s">
        <v>710</v>
      </c>
      <c r="M186" t="s">
        <v>724</v>
      </c>
      <c r="N186" t="s">
        <v>732</v>
      </c>
      <c r="O186" t="str" cm="1">
        <f t="array" ref="O186">_xlfn.IFS(S186&lt;=_xlfn.PERCENTILE.INC(IF(N186:N816=N186, S186:S816), 0.33), "Low", S186&lt;=_xlfn.PERCENTILE.INC(IF(N186:N816=N186, S186:S816), 0.66), "Medium", S186 &gt; _xlfn.PERCENTILE.INC(IF(N186:N816=N186, S186:S816), 0.66), "High")</f>
        <v>Medium</v>
      </c>
      <c r="P186" t="s">
        <v>918</v>
      </c>
      <c r="Q186" s="6">
        <v>1023.06</v>
      </c>
      <c r="R186" s="6">
        <v>1355.61</v>
      </c>
      <c r="S186" s="6">
        <v>1355.61</v>
      </c>
      <c r="T186" s="9">
        <v>0.153</v>
      </c>
      <c r="U186" s="9">
        <f>IF(T186&gt;0.3, $AO$4, T186)</f>
        <v>0.153</v>
      </c>
      <c r="V186" s="7" t="str">
        <f t="shared" si="32"/>
        <v>Less than 20%</v>
      </c>
      <c r="W186" s="11">
        <v>23</v>
      </c>
      <c r="X186" s="6">
        <f t="shared" si="29"/>
        <v>26408.63841</v>
      </c>
      <c r="Y186" s="6">
        <f t="shared" si="30"/>
        <v>23530.379999999997</v>
      </c>
      <c r="Z186" s="6">
        <f t="shared" si="33"/>
        <v>2878.2584100000022</v>
      </c>
      <c r="AA186" s="9">
        <f t="shared" si="34"/>
        <v>0.10898927711888809</v>
      </c>
      <c r="AB186" s="9">
        <f>IF(U186&gt;'What-If Analysis'!$F$16, 'What-If Analysis'!$F$16,T186)</f>
        <v>0.153</v>
      </c>
      <c r="AC186" s="42">
        <f>S186*(1-AB186)</f>
        <v>1148.2016699999999</v>
      </c>
      <c r="AD186" s="42">
        <f>Q186*(1+'What-If Analysis'!F201)</f>
        <v>1023.06</v>
      </c>
      <c r="AE186" s="41">
        <f>W186*(1+'What-If Analysis'!$F$18)</f>
        <v>26.909999999999997</v>
      </c>
      <c r="AF186" s="42">
        <f t="shared" si="35"/>
        <v>30898.106939699996</v>
      </c>
      <c r="AG186" s="42">
        <f t="shared" si="36"/>
        <v>27530.544599999994</v>
      </c>
      <c r="AH186" s="42">
        <f t="shared" si="37"/>
        <v>3367.5623397000018</v>
      </c>
      <c r="AI186" s="44">
        <f t="shared" si="38"/>
        <v>0.10898927711888808</v>
      </c>
      <c r="AJ186" s="42">
        <f t="shared" si="39"/>
        <v>4489.468529699996</v>
      </c>
      <c r="AK186" s="42">
        <f t="shared" si="40"/>
        <v>2878.2584100000022</v>
      </c>
      <c r="AL186" s="9">
        <f t="shared" si="41"/>
        <v>0</v>
      </c>
      <c r="AM186" s="42"/>
    </row>
    <row r="187" spans="1:39" x14ac:dyDescent="0.25">
      <c r="A187" t="s">
        <v>200</v>
      </c>
      <c r="B187" s="20">
        <v>45099</v>
      </c>
      <c r="C187" s="4">
        <v>45128</v>
      </c>
      <c r="D187" s="4" t="s">
        <v>1442</v>
      </c>
      <c r="E187" s="4">
        <v>45128</v>
      </c>
      <c r="F187" s="11">
        <f t="shared" si="28"/>
        <v>29</v>
      </c>
      <c r="G187" s="11" t="str">
        <f t="shared" si="31"/>
        <v>Does not Meet Target</v>
      </c>
      <c r="H187" t="s">
        <v>649</v>
      </c>
      <c r="I187" t="s">
        <v>657</v>
      </c>
      <c r="J187" t="s">
        <v>679</v>
      </c>
      <c r="K187" t="s">
        <v>701</v>
      </c>
      <c r="L187" t="s">
        <v>707</v>
      </c>
      <c r="M187" t="s">
        <v>713</v>
      </c>
      <c r="N187" t="s">
        <v>733</v>
      </c>
      <c r="O187" t="str" cm="1">
        <f t="array" ref="O187">_xlfn.IFS(S187&lt;=_xlfn.PERCENTILE.INC(IF(N187:N817=N187, S187:S817), 0.33), "Low", S187&lt;=_xlfn.PERCENTILE.INC(IF(N187:N817=N187, S187:S817), 0.66), "Medium", S187 &gt; _xlfn.PERCENTILE.INC(IF(N187:N817=N187, S187:S817), 0.66), "High")</f>
        <v>Medium</v>
      </c>
      <c r="P187" t="s">
        <v>919</v>
      </c>
      <c r="Q187" s="6">
        <v>734.34</v>
      </c>
      <c r="R187" s="6">
        <v>887.9</v>
      </c>
      <c r="S187" s="6">
        <v>887.9</v>
      </c>
      <c r="T187" s="9">
        <v>2.5000000000000001E-2</v>
      </c>
      <c r="U187" s="9">
        <f>IF(T187&gt;0.3, $AO$4, T187)</f>
        <v>2.5000000000000001E-2</v>
      </c>
      <c r="V187" s="7" t="str">
        <f t="shared" si="32"/>
        <v>Less than 20%</v>
      </c>
      <c r="W187" s="11">
        <v>12</v>
      </c>
      <c r="X187" s="6">
        <f t="shared" si="29"/>
        <v>10388.429999999998</v>
      </c>
      <c r="Y187" s="6">
        <f t="shared" si="30"/>
        <v>8812.08</v>
      </c>
      <c r="Z187" s="6">
        <f t="shared" si="33"/>
        <v>1576.3499999999985</v>
      </c>
      <c r="AA187" s="9">
        <f t="shared" si="34"/>
        <v>0.15174092716608753</v>
      </c>
      <c r="AB187" s="9">
        <f>IF(U187&gt;'What-If Analysis'!$F$16, 'What-If Analysis'!$F$16,T187)</f>
        <v>2.5000000000000001E-2</v>
      </c>
      <c r="AC187" s="42">
        <f>S187*(1-AB187)</f>
        <v>865.70249999999999</v>
      </c>
      <c r="AD187" s="42">
        <f>Q187*(1+'What-If Analysis'!F202)</f>
        <v>734.34</v>
      </c>
      <c r="AE187" s="41">
        <f>W187*(1+'What-If Analysis'!$F$18)</f>
        <v>14.04</v>
      </c>
      <c r="AF187" s="42">
        <f t="shared" si="35"/>
        <v>12154.463099999999</v>
      </c>
      <c r="AG187" s="42">
        <f t="shared" si="36"/>
        <v>10310.133599999999</v>
      </c>
      <c r="AH187" s="42">
        <f t="shared" si="37"/>
        <v>1844.3294999999998</v>
      </c>
      <c r="AI187" s="44">
        <f t="shared" si="38"/>
        <v>0.15174092716608764</v>
      </c>
      <c r="AJ187" s="42">
        <f t="shared" si="39"/>
        <v>1766.0331000000006</v>
      </c>
      <c r="AK187" s="42">
        <f t="shared" si="40"/>
        <v>1576.3499999999985</v>
      </c>
      <c r="AL187" s="9">
        <f t="shared" si="41"/>
        <v>0</v>
      </c>
      <c r="AM187" s="42"/>
    </row>
    <row r="188" spans="1:39" x14ac:dyDescent="0.25">
      <c r="A188" t="s">
        <v>201</v>
      </c>
      <c r="B188" s="20">
        <v>45670</v>
      </c>
      <c r="C188" s="4">
        <v>45696</v>
      </c>
      <c r="D188" s="4" t="s">
        <v>1437</v>
      </c>
      <c r="E188" s="4">
        <v>45696</v>
      </c>
      <c r="F188" s="11">
        <f t="shared" si="28"/>
        <v>26</v>
      </c>
      <c r="G188" s="11" t="str">
        <f t="shared" si="31"/>
        <v>Does not Meet Target</v>
      </c>
      <c r="H188" t="s">
        <v>649</v>
      </c>
      <c r="I188" t="s">
        <v>657</v>
      </c>
      <c r="J188" t="s">
        <v>690</v>
      </c>
      <c r="K188" t="s">
        <v>703</v>
      </c>
      <c r="L188" t="s">
        <v>1422</v>
      </c>
      <c r="M188" t="s">
        <v>718</v>
      </c>
      <c r="N188" t="s">
        <v>732</v>
      </c>
      <c r="O188" t="str" cm="1">
        <f t="array" ref="O188">_xlfn.IFS(S188&lt;=_xlfn.PERCENTILE.INC(IF(N188:N818=N188, S188:S818), 0.33), "Low", S188&lt;=_xlfn.PERCENTILE.INC(IF(N188:N818=N188, S188:S818), 0.66), "Medium", S188 &gt; _xlfn.PERCENTILE.INC(IF(N188:N818=N188, S188:S818), 0.66), "High")</f>
        <v>Medium</v>
      </c>
      <c r="P188" t="s">
        <v>920</v>
      </c>
      <c r="Q188" s="6">
        <v>594.74</v>
      </c>
      <c r="R188" s="6">
        <v>1020.69</v>
      </c>
      <c r="S188" s="6">
        <v>1020.69</v>
      </c>
      <c r="T188" s="9">
        <v>0.21099999999999999</v>
      </c>
      <c r="U188" s="9">
        <f>IF(T188&gt;0.3, $AO$4, T188)</f>
        <v>0.21099999999999999</v>
      </c>
      <c r="V188" s="7" t="str">
        <f t="shared" si="32"/>
        <v>Greater than 20%</v>
      </c>
      <c r="W188" s="11">
        <v>6</v>
      </c>
      <c r="X188" s="6">
        <f t="shared" si="29"/>
        <v>4831.9464600000001</v>
      </c>
      <c r="Y188" s="6">
        <f t="shared" si="30"/>
        <v>3568.44</v>
      </c>
      <c r="Z188" s="6">
        <f t="shared" si="33"/>
        <v>1263.5064600000001</v>
      </c>
      <c r="AA188" s="9">
        <f t="shared" si="34"/>
        <v>0.26149016146176424</v>
      </c>
      <c r="AB188" s="9">
        <f>IF(U188&gt;'What-If Analysis'!$F$16, 'What-If Analysis'!$F$16,T188)</f>
        <v>0.17</v>
      </c>
      <c r="AC188" s="42">
        <f>S188*(1-AB188)</f>
        <v>847.17269999999996</v>
      </c>
      <c r="AD188" s="42">
        <f>Q188*(1+'What-If Analysis'!F203)</f>
        <v>594.74</v>
      </c>
      <c r="AE188" s="41">
        <f>W188*(1+'What-If Analysis'!$F$18)</f>
        <v>7.02</v>
      </c>
      <c r="AF188" s="42">
        <f t="shared" si="35"/>
        <v>5947.1523539999998</v>
      </c>
      <c r="AG188" s="42">
        <f t="shared" si="36"/>
        <v>4175.0747999999994</v>
      </c>
      <c r="AH188" s="42">
        <f t="shared" si="37"/>
        <v>1772.0775540000004</v>
      </c>
      <c r="AI188" s="44">
        <f t="shared" si="38"/>
        <v>0.29797076794377353</v>
      </c>
      <c r="AJ188" s="42">
        <f t="shared" si="39"/>
        <v>1115.2058939999997</v>
      </c>
      <c r="AK188" s="42">
        <f t="shared" si="40"/>
        <v>1263.5064600000001</v>
      </c>
      <c r="AL188" s="9">
        <f t="shared" si="41"/>
        <v>3.6480606482009292E-2</v>
      </c>
      <c r="AM188" s="42"/>
    </row>
    <row r="189" spans="1:39" x14ac:dyDescent="0.25">
      <c r="A189" t="s">
        <v>202</v>
      </c>
      <c r="B189" s="20">
        <v>45126</v>
      </c>
      <c r="C189" s="4">
        <v>45138</v>
      </c>
      <c r="D189" s="4" t="s">
        <v>1444</v>
      </c>
      <c r="E189" s="4">
        <v>45138</v>
      </c>
      <c r="F189" s="11">
        <f t="shared" si="28"/>
        <v>12</v>
      </c>
      <c r="G189" s="11" t="str">
        <f t="shared" si="31"/>
        <v>Does not Meet Target</v>
      </c>
      <c r="H189" t="s">
        <v>648</v>
      </c>
      <c r="I189" t="s">
        <v>655</v>
      </c>
      <c r="J189" t="s">
        <v>692</v>
      </c>
      <c r="K189" t="s">
        <v>701</v>
      </c>
      <c r="L189" t="s">
        <v>707</v>
      </c>
      <c r="M189" t="s">
        <v>712</v>
      </c>
      <c r="N189" t="s">
        <v>732</v>
      </c>
      <c r="O189" t="str" cm="1">
        <f t="array" ref="O189">_xlfn.IFS(S189&lt;=_xlfn.PERCENTILE.INC(IF(N189:N819=N189, S189:S819), 0.33), "Low", S189&lt;=_xlfn.PERCENTILE.INC(IF(N189:N819=N189, S189:S819), 0.66), "Medium", S189 &gt; _xlfn.PERCENTILE.INC(IF(N189:N819=N189, S189:S819), 0.66), "High")</f>
        <v>High</v>
      </c>
      <c r="P189" t="s">
        <v>922</v>
      </c>
      <c r="Q189" s="6">
        <v>1334.64</v>
      </c>
      <c r="R189" s="6">
        <v>2273.42</v>
      </c>
      <c r="S189" s="6">
        <v>2273.42</v>
      </c>
      <c r="T189" s="9">
        <v>0.11799999999999999</v>
      </c>
      <c r="U189" s="9">
        <f>IF(T189&gt;0.3, $AO$4, T189)</f>
        <v>0.11799999999999999</v>
      </c>
      <c r="V189" s="7" t="str">
        <f t="shared" si="32"/>
        <v>Less than 20%</v>
      </c>
      <c r="W189" s="11">
        <v>14</v>
      </c>
      <c r="X189" s="6">
        <f t="shared" si="29"/>
        <v>28072.190160000002</v>
      </c>
      <c r="Y189" s="6">
        <f t="shared" si="30"/>
        <v>18684.960000000003</v>
      </c>
      <c r="Z189" s="6">
        <f t="shared" si="33"/>
        <v>9387.2301599999992</v>
      </c>
      <c r="AA189" s="9">
        <f t="shared" si="34"/>
        <v>0.33439607335575267</v>
      </c>
      <c r="AB189" s="9">
        <f>IF(U189&gt;'What-If Analysis'!$F$16, 'What-If Analysis'!$F$16,T189)</f>
        <v>0.11799999999999999</v>
      </c>
      <c r="AC189" s="42">
        <f>S189*(1-AB189)</f>
        <v>2005.15644</v>
      </c>
      <c r="AD189" s="42">
        <f>Q189*(1+'What-If Analysis'!F204)</f>
        <v>1334.64</v>
      </c>
      <c r="AE189" s="41">
        <f>W189*(1+'What-If Analysis'!$F$18)</f>
        <v>16.38</v>
      </c>
      <c r="AF189" s="42">
        <f t="shared" si="35"/>
        <v>32844.462487199999</v>
      </c>
      <c r="AG189" s="42">
        <f t="shared" si="36"/>
        <v>21861.403200000001</v>
      </c>
      <c r="AH189" s="42">
        <f t="shared" si="37"/>
        <v>10983.059287199998</v>
      </c>
      <c r="AI189" s="44">
        <f t="shared" si="38"/>
        <v>0.33439607335575267</v>
      </c>
      <c r="AJ189" s="42">
        <f t="shared" si="39"/>
        <v>4772.2723271999967</v>
      </c>
      <c r="AK189" s="42">
        <f t="shared" si="40"/>
        <v>9387.2301599999992</v>
      </c>
      <c r="AL189" s="9">
        <f t="shared" si="41"/>
        <v>0</v>
      </c>
      <c r="AM189" s="42"/>
    </row>
    <row r="190" spans="1:39" x14ac:dyDescent="0.25">
      <c r="A190" t="s">
        <v>203</v>
      </c>
      <c r="B190" s="20">
        <v>45431</v>
      </c>
      <c r="C190" s="4">
        <v>45451</v>
      </c>
      <c r="D190" s="4" t="s">
        <v>1439</v>
      </c>
      <c r="E190" s="4">
        <v>45451</v>
      </c>
      <c r="F190" s="11">
        <f t="shared" si="28"/>
        <v>20</v>
      </c>
      <c r="G190" s="11" t="str">
        <f t="shared" si="31"/>
        <v>Does not Meet Target</v>
      </c>
      <c r="H190" t="s">
        <v>648</v>
      </c>
      <c r="I190" t="s">
        <v>655</v>
      </c>
      <c r="J190" t="s">
        <v>672</v>
      </c>
      <c r="K190" t="s">
        <v>705</v>
      </c>
      <c r="L190" t="s">
        <v>707</v>
      </c>
      <c r="M190" t="s">
        <v>718</v>
      </c>
      <c r="N190" t="s">
        <v>732</v>
      </c>
      <c r="O190" t="str" cm="1">
        <f t="array" ref="O190">_xlfn.IFS(S190&lt;=_xlfn.PERCENTILE.INC(IF(N190:N820=N190, S190:S820), 0.33), "Low", S190&lt;=_xlfn.PERCENTILE.INC(IF(N190:N820=N190, S190:S820), 0.66), "Medium", S190 &gt; _xlfn.PERCENTILE.INC(IF(N190:N820=N190, S190:S820), 0.66), "High")</f>
        <v>Medium</v>
      </c>
      <c r="P190" t="s">
        <v>923</v>
      </c>
      <c r="Q190" s="6">
        <v>1075.9000000000001</v>
      </c>
      <c r="R190" s="6">
        <v>1242.1500000000001</v>
      </c>
      <c r="S190" s="6">
        <v>1242.1500000000001</v>
      </c>
      <c r="T190" s="9">
        <v>1.2E-2</v>
      </c>
      <c r="U190" s="9">
        <f>IF(T190&gt;0.3, $AO$4, T190)</f>
        <v>1.2E-2</v>
      </c>
      <c r="V190" s="7" t="str">
        <f t="shared" si="32"/>
        <v>Less than 20%</v>
      </c>
      <c r="W190" s="11">
        <v>7</v>
      </c>
      <c r="X190" s="6">
        <f t="shared" si="29"/>
        <v>8590.7094000000016</v>
      </c>
      <c r="Y190" s="6">
        <f t="shared" si="30"/>
        <v>7531.3000000000011</v>
      </c>
      <c r="Z190" s="6">
        <f t="shared" si="33"/>
        <v>1059.4094000000005</v>
      </c>
      <c r="AA190" s="9">
        <f t="shared" si="34"/>
        <v>0.12332036280961853</v>
      </c>
      <c r="AB190" s="9">
        <f>IF(U190&gt;'What-If Analysis'!$F$16, 'What-If Analysis'!$F$16,T190)</f>
        <v>1.2E-2</v>
      </c>
      <c r="AC190" s="42">
        <f>S190*(1-AB190)</f>
        <v>1227.2442000000001</v>
      </c>
      <c r="AD190" s="42">
        <f>Q190*(1+'What-If Analysis'!F205)</f>
        <v>1075.9000000000001</v>
      </c>
      <c r="AE190" s="41">
        <f>W190*(1+'What-If Analysis'!$F$18)</f>
        <v>8.19</v>
      </c>
      <c r="AF190" s="42">
        <f t="shared" si="35"/>
        <v>10051.129998</v>
      </c>
      <c r="AG190" s="42">
        <f t="shared" si="36"/>
        <v>8811.621000000001</v>
      </c>
      <c r="AH190" s="42">
        <f t="shared" si="37"/>
        <v>1239.5089979999993</v>
      </c>
      <c r="AI190" s="44">
        <f t="shared" si="38"/>
        <v>0.12332036280961842</v>
      </c>
      <c r="AJ190" s="42">
        <f t="shared" si="39"/>
        <v>1460.4205979999988</v>
      </c>
      <c r="AK190" s="42">
        <f t="shared" si="40"/>
        <v>1059.4094000000005</v>
      </c>
      <c r="AL190" s="9">
        <f t="shared" si="41"/>
        <v>-1.1102230246251565E-16</v>
      </c>
      <c r="AM190" s="42"/>
    </row>
    <row r="191" spans="1:39" x14ac:dyDescent="0.25">
      <c r="A191" t="s">
        <v>204</v>
      </c>
      <c r="B191" s="20">
        <v>45325</v>
      </c>
      <c r="C191" s="4">
        <v>45341</v>
      </c>
      <c r="D191" s="4" t="s">
        <v>1434</v>
      </c>
      <c r="E191" s="4">
        <v>45341</v>
      </c>
      <c r="F191" s="11">
        <f t="shared" si="28"/>
        <v>16</v>
      </c>
      <c r="G191" s="11" t="str">
        <f t="shared" si="31"/>
        <v>Does not Meet Target</v>
      </c>
      <c r="H191" t="s">
        <v>647</v>
      </c>
      <c r="I191" t="s">
        <v>659</v>
      </c>
      <c r="J191" t="s">
        <v>676</v>
      </c>
      <c r="K191" t="s">
        <v>705</v>
      </c>
      <c r="L191" t="s">
        <v>708</v>
      </c>
      <c r="M191" t="s">
        <v>722</v>
      </c>
      <c r="N191" t="s">
        <v>731</v>
      </c>
      <c r="O191" t="str" cm="1">
        <f t="array" ref="O191">_xlfn.IFS(S191&lt;=_xlfn.PERCENTILE.INC(IF(N191:N821=N191, S191:S821), 0.33), "Low", S191&lt;=_xlfn.PERCENTILE.INC(IF(N191:N821=N191, S191:S821), 0.66), "Medium", S191 &gt; _xlfn.PERCENTILE.INC(IF(N191:N821=N191, S191:S821), 0.66), "High")</f>
        <v>Medium</v>
      </c>
      <c r="P191" t="s">
        <v>924</v>
      </c>
      <c r="Q191" s="6">
        <v>993.75</v>
      </c>
      <c r="R191" s="6">
        <v>1310.29</v>
      </c>
      <c r="S191" s="6">
        <v>1310.29</v>
      </c>
      <c r="T191" s="9">
        <v>0.215</v>
      </c>
      <c r="U191" s="9">
        <f>IF(T191&gt;0.3, $AO$4, T191)</f>
        <v>0.215</v>
      </c>
      <c r="V191" s="7" t="str">
        <f t="shared" si="32"/>
        <v>Greater than 20%</v>
      </c>
      <c r="W191" s="11">
        <v>19</v>
      </c>
      <c r="X191" s="6">
        <f t="shared" si="29"/>
        <v>19542.975350000001</v>
      </c>
      <c r="Y191" s="6">
        <f t="shared" si="30"/>
        <v>18881.25</v>
      </c>
      <c r="Z191" s="6">
        <f t="shared" si="33"/>
        <v>661.72535000000062</v>
      </c>
      <c r="AA191" s="9">
        <f t="shared" si="34"/>
        <v>3.3860010471742245E-2</v>
      </c>
      <c r="AB191" s="9">
        <f>IF(U191&gt;'What-If Analysis'!$F$16, 'What-If Analysis'!$F$16,T191)</f>
        <v>0.17</v>
      </c>
      <c r="AC191" s="42">
        <f>S191*(1-AB191)</f>
        <v>1087.5407</v>
      </c>
      <c r="AD191" s="42">
        <f>Q191*(1+'What-If Analysis'!F206)</f>
        <v>993.75</v>
      </c>
      <c r="AE191" s="41">
        <f>W191*(1+'What-If Analysis'!$F$18)</f>
        <v>22.229999999999997</v>
      </c>
      <c r="AF191" s="42">
        <f t="shared" si="35"/>
        <v>24176.029760999998</v>
      </c>
      <c r="AG191" s="42">
        <f t="shared" si="36"/>
        <v>22091.062499999996</v>
      </c>
      <c r="AH191" s="42">
        <f t="shared" si="37"/>
        <v>2084.9672610000016</v>
      </c>
      <c r="AI191" s="44">
        <f t="shared" si="38"/>
        <v>8.6241094241346627E-2</v>
      </c>
      <c r="AJ191" s="42">
        <f t="shared" si="39"/>
        <v>4633.0544109999973</v>
      </c>
      <c r="AK191" s="42">
        <f t="shared" si="40"/>
        <v>661.72535000000062</v>
      </c>
      <c r="AL191" s="9">
        <f t="shared" si="41"/>
        <v>5.2381083769604382E-2</v>
      </c>
      <c r="AM191" s="42"/>
    </row>
    <row r="192" spans="1:39" x14ac:dyDescent="0.25">
      <c r="A192" t="s">
        <v>205</v>
      </c>
      <c r="B192" s="20">
        <v>45146</v>
      </c>
      <c r="C192" s="4">
        <v>45160</v>
      </c>
      <c r="D192" s="4" t="s">
        <v>1444</v>
      </c>
      <c r="E192" s="4">
        <v>45160</v>
      </c>
      <c r="F192" s="11">
        <f t="shared" si="28"/>
        <v>14</v>
      </c>
      <c r="G192" s="11" t="str">
        <f t="shared" si="31"/>
        <v>Does not Meet Target</v>
      </c>
      <c r="H192" t="s">
        <v>649</v>
      </c>
      <c r="I192" t="s">
        <v>658</v>
      </c>
      <c r="J192" t="s">
        <v>674</v>
      </c>
      <c r="K192" t="s">
        <v>703</v>
      </c>
      <c r="L192" t="s">
        <v>711</v>
      </c>
      <c r="M192" t="s">
        <v>725</v>
      </c>
      <c r="N192" t="s">
        <v>732</v>
      </c>
      <c r="O192" t="str" cm="1">
        <f t="array" ref="O192">_xlfn.IFS(S192&lt;=_xlfn.PERCENTILE.INC(IF(N192:N822=N192, S192:S822), 0.33), "Low", S192&lt;=_xlfn.PERCENTILE.INC(IF(N192:N822=N192, S192:S822), 0.66), "Medium", S192 &gt; _xlfn.PERCENTILE.INC(IF(N192:N822=N192, S192:S822), 0.66), "High")</f>
        <v>Medium</v>
      </c>
      <c r="P192" t="s">
        <v>925</v>
      </c>
      <c r="Q192" s="6">
        <v>446.69</v>
      </c>
      <c r="R192" s="6">
        <v>967.25</v>
      </c>
      <c r="S192" s="6">
        <v>967.25</v>
      </c>
      <c r="T192" s="9">
        <v>9.4E-2</v>
      </c>
      <c r="U192" s="9">
        <f>IF(T192&gt;0.3, $AO$4, T192)</f>
        <v>9.4E-2</v>
      </c>
      <c r="V192" s="7" t="str">
        <f t="shared" si="32"/>
        <v>Less than 20%</v>
      </c>
      <c r="W192" s="11">
        <v>10</v>
      </c>
      <c r="X192" s="6">
        <f t="shared" si="29"/>
        <v>8763.2849999999999</v>
      </c>
      <c r="Y192" s="6">
        <f t="shared" si="30"/>
        <v>4466.8999999999996</v>
      </c>
      <c r="Z192" s="6">
        <f t="shared" si="33"/>
        <v>4296.3850000000002</v>
      </c>
      <c r="AA192" s="9">
        <f t="shared" si="34"/>
        <v>0.49027105702941309</v>
      </c>
      <c r="AB192" s="9">
        <f>IF(U192&gt;'What-If Analysis'!$F$16, 'What-If Analysis'!$F$16,T192)</f>
        <v>9.4E-2</v>
      </c>
      <c r="AC192" s="42">
        <f>S192*(1-AB192)</f>
        <v>876.32850000000008</v>
      </c>
      <c r="AD192" s="42">
        <f>Q192*(1+'What-If Analysis'!F207)</f>
        <v>446.69</v>
      </c>
      <c r="AE192" s="41">
        <f>W192*(1+'What-If Analysis'!$F$18)</f>
        <v>11.7</v>
      </c>
      <c r="AF192" s="42">
        <f t="shared" si="35"/>
        <v>10253.043450000001</v>
      </c>
      <c r="AG192" s="42">
        <f t="shared" si="36"/>
        <v>5226.2729999999992</v>
      </c>
      <c r="AH192" s="42">
        <f t="shared" si="37"/>
        <v>5026.7704500000018</v>
      </c>
      <c r="AI192" s="44">
        <f t="shared" si="38"/>
        <v>0.4902710570294132</v>
      </c>
      <c r="AJ192" s="42">
        <f t="shared" si="39"/>
        <v>1489.7584500000012</v>
      </c>
      <c r="AK192" s="42">
        <f t="shared" si="40"/>
        <v>4296.3850000000002</v>
      </c>
      <c r="AL192" s="9">
        <f t="shared" si="41"/>
        <v>0</v>
      </c>
      <c r="AM192" s="42"/>
    </row>
    <row r="193" spans="1:39" x14ac:dyDescent="0.25">
      <c r="A193" t="s">
        <v>206</v>
      </c>
      <c r="B193" s="20">
        <v>45516</v>
      </c>
      <c r="C193" s="4">
        <v>45538</v>
      </c>
      <c r="D193" s="4" t="s">
        <v>1443</v>
      </c>
      <c r="E193" s="4">
        <v>45538</v>
      </c>
      <c r="F193" s="11">
        <f t="shared" si="28"/>
        <v>22</v>
      </c>
      <c r="G193" s="11" t="str">
        <f t="shared" si="31"/>
        <v>Does not Meet Target</v>
      </c>
      <c r="H193" t="s">
        <v>648</v>
      </c>
      <c r="I193" t="s">
        <v>660</v>
      </c>
      <c r="J193" t="s">
        <v>697</v>
      </c>
      <c r="K193" t="s">
        <v>704</v>
      </c>
      <c r="L193" t="s">
        <v>710</v>
      </c>
      <c r="M193" t="s">
        <v>714</v>
      </c>
      <c r="N193" t="s">
        <v>731</v>
      </c>
      <c r="O193" t="str" cm="1">
        <f t="array" ref="O193">_xlfn.IFS(S193&lt;=_xlfn.PERCENTILE.INC(IF(N193:N823=N193, S193:S823), 0.33), "Low", S193&lt;=_xlfn.PERCENTILE.INC(IF(N193:N823=N193, S193:S823), 0.66), "Medium", S193 &gt; _xlfn.PERCENTILE.INC(IF(N193:N823=N193, S193:S823), 0.66), "High")</f>
        <v>Low</v>
      </c>
      <c r="P193" t="s">
        <v>926</v>
      </c>
      <c r="Q193" s="6">
        <v>797.8</v>
      </c>
      <c r="R193" s="6">
        <v>886.22</v>
      </c>
      <c r="S193" s="6">
        <v>886.22</v>
      </c>
      <c r="T193" s="9">
        <v>0.23599999999999999</v>
      </c>
      <c r="U193" s="9">
        <f>IF(T193&gt;0.3, $AO$4, T193)</f>
        <v>0.23599999999999999</v>
      </c>
      <c r="V193" s="7" t="str">
        <f t="shared" si="32"/>
        <v>Greater than 20%</v>
      </c>
      <c r="W193" s="11">
        <v>36</v>
      </c>
      <c r="X193" s="6">
        <f t="shared" si="29"/>
        <v>24374.594880000001</v>
      </c>
      <c r="Y193" s="6">
        <f t="shared" si="30"/>
        <v>28720.799999999999</v>
      </c>
      <c r="Z193" s="6">
        <f t="shared" si="33"/>
        <v>-4346.2051199999987</v>
      </c>
      <c r="AA193" s="9">
        <f t="shared" si="34"/>
        <v>-0.17830881462428633</v>
      </c>
      <c r="AB193" s="9">
        <f>IF(U193&gt;'What-If Analysis'!$F$16, 'What-If Analysis'!$F$16,T193)</f>
        <v>0.17</v>
      </c>
      <c r="AC193" s="42">
        <f>S193*(1-AB193)</f>
        <v>735.56259999999997</v>
      </c>
      <c r="AD193" s="42">
        <f>Q193*(1+'What-If Analysis'!F208)</f>
        <v>797.8</v>
      </c>
      <c r="AE193" s="41">
        <f>W193*(1+'What-If Analysis'!$F$18)</f>
        <v>42.12</v>
      </c>
      <c r="AF193" s="42">
        <f t="shared" si="35"/>
        <v>30981.896711999998</v>
      </c>
      <c r="AG193" s="42">
        <f t="shared" si="36"/>
        <v>33603.335999999996</v>
      </c>
      <c r="AH193" s="42">
        <f t="shared" si="37"/>
        <v>-2621.4392879999978</v>
      </c>
      <c r="AI193" s="44">
        <f t="shared" si="38"/>
        <v>-8.4611969124041855E-2</v>
      </c>
      <c r="AJ193" s="42">
        <f t="shared" si="39"/>
        <v>6607.3018319999974</v>
      </c>
      <c r="AK193" s="42">
        <f t="shared" si="40"/>
        <v>-4346.2051199999987</v>
      </c>
      <c r="AL193" s="9">
        <f t="shared" si="41"/>
        <v>9.3696845500244472E-2</v>
      </c>
      <c r="AM193" s="42"/>
    </row>
    <row r="194" spans="1:39" x14ac:dyDescent="0.25">
      <c r="A194" t="s">
        <v>207</v>
      </c>
      <c r="B194" s="20">
        <v>45214</v>
      </c>
      <c r="C194" s="4">
        <v>45243</v>
      </c>
      <c r="D194" s="4" t="s">
        <v>1438</v>
      </c>
      <c r="E194" s="4">
        <v>45243</v>
      </c>
      <c r="F194" s="11">
        <f t="shared" ref="F194:F257" si="42">E194-B194</f>
        <v>29</v>
      </c>
      <c r="G194" s="11" t="str">
        <f t="shared" si="31"/>
        <v>Does not Meet Target</v>
      </c>
      <c r="H194" t="s">
        <v>647</v>
      </c>
      <c r="I194" t="s">
        <v>659</v>
      </c>
      <c r="J194" t="s">
        <v>676</v>
      </c>
      <c r="K194" t="s">
        <v>703</v>
      </c>
      <c r="L194" t="s">
        <v>710</v>
      </c>
      <c r="M194" t="s">
        <v>713</v>
      </c>
      <c r="N194" t="s">
        <v>728</v>
      </c>
      <c r="O194" t="str" cm="1">
        <f t="array" ref="O194">_xlfn.IFS(S194&lt;=_xlfn.PERCENTILE.INC(IF(N194:N824=N194, S194:S824), 0.33), "Low", S194&lt;=_xlfn.PERCENTILE.INC(IF(N194:N824=N194, S194:S824), 0.66), "Medium", S194 &gt; _xlfn.PERCENTILE.INC(IF(N194:N824=N194, S194:S824), 0.66), "High")</f>
        <v>Medium</v>
      </c>
      <c r="P194" t="s">
        <v>927</v>
      </c>
      <c r="Q194" s="6">
        <v>986.44</v>
      </c>
      <c r="R194" s="6">
        <v>790.61</v>
      </c>
      <c r="S194" s="6">
        <v>790.61</v>
      </c>
      <c r="T194" s="9">
        <v>7.1999999999999995E-2</v>
      </c>
      <c r="U194" s="9">
        <f>IF(T194&gt;0.3, $AO$4, T194)</f>
        <v>7.1999999999999995E-2</v>
      </c>
      <c r="V194" s="7" t="str">
        <f t="shared" si="32"/>
        <v>Less than 20%</v>
      </c>
      <c r="W194" s="11">
        <v>6</v>
      </c>
      <c r="X194" s="6">
        <f t="shared" ref="X194:X257" si="43">S194*W194*(1-U194)</f>
        <v>4402.1164799999997</v>
      </c>
      <c r="Y194" s="6">
        <f t="shared" ref="Y194:Y257" si="44">Q194*W194</f>
        <v>5918.64</v>
      </c>
      <c r="Z194" s="6">
        <f t="shared" si="33"/>
        <v>-1516.5235200000006</v>
      </c>
      <c r="AA194" s="9">
        <f t="shared" si="34"/>
        <v>-0.34449872621271499</v>
      </c>
      <c r="AB194" s="9">
        <f>IF(U194&gt;'What-If Analysis'!$F$16, 'What-If Analysis'!$F$16,T194)</f>
        <v>7.1999999999999995E-2</v>
      </c>
      <c r="AC194" s="42">
        <f>S194*(1-AB194)</f>
        <v>733.68608000000006</v>
      </c>
      <c r="AD194" s="42">
        <f>Q194*(1+'What-If Analysis'!F209)</f>
        <v>986.44</v>
      </c>
      <c r="AE194" s="41">
        <f>W194*(1+'What-If Analysis'!$F$18)</f>
        <v>7.02</v>
      </c>
      <c r="AF194" s="42">
        <f t="shared" si="35"/>
        <v>5150.4762816000002</v>
      </c>
      <c r="AG194" s="42">
        <f t="shared" si="36"/>
        <v>6924.8087999999998</v>
      </c>
      <c r="AH194" s="42">
        <f t="shared" si="37"/>
        <v>-1774.3325183999996</v>
      </c>
      <c r="AI194" s="44">
        <f t="shared" si="38"/>
        <v>-0.34449872621271477</v>
      </c>
      <c r="AJ194" s="42">
        <f t="shared" si="39"/>
        <v>748.35980160000054</v>
      </c>
      <c r="AK194" s="42">
        <f t="shared" si="40"/>
        <v>-1516.5235200000006</v>
      </c>
      <c r="AL194" s="9">
        <f t="shared" si="41"/>
        <v>0</v>
      </c>
      <c r="AM194" s="42"/>
    </row>
    <row r="195" spans="1:39" x14ac:dyDescent="0.25">
      <c r="A195" t="s">
        <v>208</v>
      </c>
      <c r="B195" s="20">
        <v>45050</v>
      </c>
      <c r="C195" s="4">
        <v>45072</v>
      </c>
      <c r="D195" s="4" t="s">
        <v>1442</v>
      </c>
      <c r="E195" s="4">
        <v>45072</v>
      </c>
      <c r="F195" s="11">
        <f t="shared" si="42"/>
        <v>22</v>
      </c>
      <c r="G195" s="11" t="str">
        <f t="shared" ref="G195:G258" si="45">IF(F195&lt;=7, "Meets Target", "Does not Meet Target")</f>
        <v>Does not Meet Target</v>
      </c>
      <c r="H195" t="s">
        <v>648</v>
      </c>
      <c r="I195" t="s">
        <v>660</v>
      </c>
      <c r="J195" t="s">
        <v>686</v>
      </c>
      <c r="K195" t="s">
        <v>706</v>
      </c>
      <c r="L195" t="s">
        <v>708</v>
      </c>
      <c r="M195" t="s">
        <v>713</v>
      </c>
      <c r="N195" t="s">
        <v>729</v>
      </c>
      <c r="O195" t="str" cm="1">
        <f t="array" ref="O195">_xlfn.IFS(S195&lt;=_xlfn.PERCENTILE.INC(IF(N195:N825=N195, S195:S825), 0.33), "Low", S195&lt;=_xlfn.PERCENTILE.INC(IF(N195:N825=N195, S195:S825), 0.66), "Medium", S195 &gt; _xlfn.PERCENTILE.INC(IF(N195:N825=N195, S195:S825), 0.66), "High")</f>
        <v>Low</v>
      </c>
      <c r="P195" t="s">
        <v>928</v>
      </c>
      <c r="Q195" s="6">
        <v>249.71</v>
      </c>
      <c r="R195" s="6">
        <v>361.33</v>
      </c>
      <c r="S195" s="6">
        <v>361.33</v>
      </c>
      <c r="T195" s="9">
        <v>9.4E-2</v>
      </c>
      <c r="U195" s="9">
        <f>IF(T195&gt;0.3, $AO$4, T195)</f>
        <v>9.4E-2</v>
      </c>
      <c r="V195" s="7" t="str">
        <f t="shared" ref="V195:V258" si="46">IF(U195&gt;20%, "Greater than 20%", "Less than 20%")</f>
        <v>Less than 20%</v>
      </c>
      <c r="W195" s="11">
        <v>12</v>
      </c>
      <c r="X195" s="6">
        <f t="shared" si="43"/>
        <v>3928.3797600000003</v>
      </c>
      <c r="Y195" s="6">
        <f t="shared" si="44"/>
        <v>2996.52</v>
      </c>
      <c r="Z195" s="6">
        <f t="shared" ref="Z195:Z258" si="47">X195-Y195</f>
        <v>931.85976000000028</v>
      </c>
      <c r="AA195" s="9">
        <f t="shared" ref="AA195:AA258" si="48">IF(X195=0, 0, Z195/X195)</f>
        <v>0.23721223937881206</v>
      </c>
      <c r="AB195" s="9">
        <f>IF(U195&gt;'What-If Analysis'!$F$16, 'What-If Analysis'!$F$16,T195)</f>
        <v>9.4E-2</v>
      </c>
      <c r="AC195" s="42">
        <f>S195*(1-AB195)</f>
        <v>327.36498</v>
      </c>
      <c r="AD195" s="42">
        <f>Q195*(1+'What-If Analysis'!F210)</f>
        <v>249.71</v>
      </c>
      <c r="AE195" s="41">
        <f>W195*(1+'What-If Analysis'!$F$18)</f>
        <v>14.04</v>
      </c>
      <c r="AF195" s="42">
        <f t="shared" ref="AF195:AF258" si="49">AC195*AE195</f>
        <v>4596.2043192000001</v>
      </c>
      <c r="AG195" s="42">
        <f t="shared" ref="AG195:AG258" si="50">AD195*AE195</f>
        <v>3505.9283999999998</v>
      </c>
      <c r="AH195" s="42">
        <f t="shared" ref="AH195:AH258" si="51">AF195-AG195</f>
        <v>1090.2759192000003</v>
      </c>
      <c r="AI195" s="44">
        <f t="shared" ref="AI195:AI258" si="52">IF(AF195=0, 0, AH195/AF195)</f>
        <v>0.23721223937881206</v>
      </c>
      <c r="AJ195" s="42">
        <f t="shared" ref="AJ195:AJ258" si="53">AF195-X195</f>
        <v>667.82455919999984</v>
      </c>
      <c r="AK195" s="42">
        <f t="shared" ref="AK195:AK258" si="54">Z195</f>
        <v>931.85976000000028</v>
      </c>
      <c r="AL195" s="9">
        <f t="shared" ref="AL195:AL258" si="55">AI195-AA195</f>
        <v>0</v>
      </c>
      <c r="AM195" s="42"/>
    </row>
    <row r="196" spans="1:39" x14ac:dyDescent="0.25">
      <c r="A196" t="s">
        <v>209</v>
      </c>
      <c r="B196" s="20">
        <v>45557</v>
      </c>
      <c r="C196" s="4">
        <v>45566</v>
      </c>
      <c r="D196" s="4" t="s">
        <v>1443</v>
      </c>
      <c r="E196" s="4">
        <v>45566</v>
      </c>
      <c r="F196" s="11">
        <f t="shared" si="42"/>
        <v>9</v>
      </c>
      <c r="G196" s="11" t="str">
        <f t="shared" si="45"/>
        <v>Does not Meet Target</v>
      </c>
      <c r="H196" t="s">
        <v>648</v>
      </c>
      <c r="I196" t="s">
        <v>655</v>
      </c>
      <c r="J196" t="s">
        <v>670</v>
      </c>
      <c r="K196" t="s">
        <v>703</v>
      </c>
      <c r="L196" t="s">
        <v>708</v>
      </c>
      <c r="M196" t="s">
        <v>723</v>
      </c>
      <c r="N196" t="s">
        <v>732</v>
      </c>
      <c r="O196" t="str" cm="1">
        <f t="array" ref="O196">_xlfn.IFS(S196&lt;=_xlfn.PERCENTILE.INC(IF(N196:N826=N196, S196:S826), 0.33), "Low", S196&lt;=_xlfn.PERCENTILE.INC(IF(N196:N826=N196, S196:S826), 0.66), "Medium", S196 &gt; _xlfn.PERCENTILE.INC(IF(N196:N826=N196, S196:S826), 0.66), "High")</f>
        <v>High</v>
      </c>
      <c r="P196" t="s">
        <v>929</v>
      </c>
      <c r="Q196" s="6">
        <v>1378.8</v>
      </c>
      <c r="R196" s="6">
        <v>1952.04</v>
      </c>
      <c r="S196" s="6">
        <v>1952.04</v>
      </c>
      <c r="T196" s="9">
        <v>0.159</v>
      </c>
      <c r="U196" s="9">
        <f>IF(T196&gt;0.3, $AO$4, T196)</f>
        <v>0.159</v>
      </c>
      <c r="V196" s="7" t="str">
        <f t="shared" si="46"/>
        <v>Less than 20%</v>
      </c>
      <c r="W196" s="11">
        <v>19</v>
      </c>
      <c r="X196" s="6">
        <f t="shared" si="43"/>
        <v>31191.64716</v>
      </c>
      <c r="Y196" s="6">
        <f t="shared" si="44"/>
        <v>26197.200000000001</v>
      </c>
      <c r="Z196" s="6">
        <f t="shared" si="47"/>
        <v>4994.4471599999997</v>
      </c>
      <c r="AA196" s="9">
        <f t="shared" si="48"/>
        <v>0.16012130216723058</v>
      </c>
      <c r="AB196" s="9">
        <f>IF(U196&gt;'What-If Analysis'!$F$16, 'What-If Analysis'!$F$16,T196)</f>
        <v>0.159</v>
      </c>
      <c r="AC196" s="42">
        <f>S196*(1-AB196)</f>
        <v>1641.6656399999999</v>
      </c>
      <c r="AD196" s="42">
        <f>Q196*(1+'What-If Analysis'!F211)</f>
        <v>1378.8</v>
      </c>
      <c r="AE196" s="41">
        <f>W196*(1+'What-If Analysis'!$F$18)</f>
        <v>22.229999999999997</v>
      </c>
      <c r="AF196" s="42">
        <f t="shared" si="49"/>
        <v>36494.227177199995</v>
      </c>
      <c r="AG196" s="42">
        <f t="shared" si="50"/>
        <v>30650.723999999995</v>
      </c>
      <c r="AH196" s="42">
        <f t="shared" si="51"/>
        <v>5843.5031772000002</v>
      </c>
      <c r="AI196" s="44">
        <f t="shared" si="52"/>
        <v>0.16012130216723061</v>
      </c>
      <c r="AJ196" s="42">
        <f t="shared" si="53"/>
        <v>5302.5800171999945</v>
      </c>
      <c r="AK196" s="42">
        <f t="shared" si="54"/>
        <v>4994.4471599999997</v>
      </c>
      <c r="AL196" s="9">
        <f t="shared" si="55"/>
        <v>0</v>
      </c>
      <c r="AM196" s="42"/>
    </row>
    <row r="197" spans="1:39" x14ac:dyDescent="0.25">
      <c r="A197" t="s">
        <v>210</v>
      </c>
      <c r="B197" s="20">
        <v>45588</v>
      </c>
      <c r="C197" s="4">
        <v>45610</v>
      </c>
      <c r="D197" s="4" t="s">
        <v>1435</v>
      </c>
      <c r="E197" s="4">
        <v>45610</v>
      </c>
      <c r="F197" s="11">
        <f t="shared" si="42"/>
        <v>22</v>
      </c>
      <c r="G197" s="11" t="str">
        <f t="shared" si="45"/>
        <v>Does not Meet Target</v>
      </c>
      <c r="H197" t="s">
        <v>647</v>
      </c>
      <c r="I197" t="s">
        <v>652</v>
      </c>
      <c r="J197" t="s">
        <v>666</v>
      </c>
      <c r="K197" t="s">
        <v>703</v>
      </c>
      <c r="L197" t="s">
        <v>711</v>
      </c>
      <c r="M197" t="s">
        <v>717</v>
      </c>
      <c r="N197" t="s">
        <v>730</v>
      </c>
      <c r="O197" t="str" cm="1">
        <f t="array" ref="O197">_xlfn.IFS(S197&lt;=_xlfn.PERCENTILE.INC(IF(N197:N827=N197, S197:S827), 0.33), "Low", S197&lt;=_xlfn.PERCENTILE.INC(IF(N197:N827=N197, S197:S827), 0.66), "Medium", S197 &gt; _xlfn.PERCENTILE.INC(IF(N197:N827=N197, S197:S827), 0.66), "High")</f>
        <v>High</v>
      </c>
      <c r="P197" t="s">
        <v>930</v>
      </c>
      <c r="Q197" s="6">
        <v>1406.4</v>
      </c>
      <c r="R197" s="6">
        <v>1564.76</v>
      </c>
      <c r="S197" s="6">
        <v>1564.76</v>
      </c>
      <c r="T197" s="9">
        <v>0.185</v>
      </c>
      <c r="U197" s="9">
        <f>IF(T197&gt;0.3, $AO$4, T197)</f>
        <v>0.185</v>
      </c>
      <c r="V197" s="7" t="str">
        <f t="shared" si="46"/>
        <v>Less than 20%</v>
      </c>
      <c r="W197" s="11">
        <v>17</v>
      </c>
      <c r="X197" s="6">
        <f t="shared" si="43"/>
        <v>21679.749799999998</v>
      </c>
      <c r="Y197" s="6">
        <f t="shared" si="44"/>
        <v>23908.800000000003</v>
      </c>
      <c r="Z197" s="6">
        <f t="shared" si="47"/>
        <v>-2229.0502000000051</v>
      </c>
      <c r="AA197" s="9">
        <f t="shared" si="48"/>
        <v>-0.10281715520536151</v>
      </c>
      <c r="AB197" s="9">
        <f>IF(U197&gt;'What-If Analysis'!$F$16, 'What-If Analysis'!$F$16,T197)</f>
        <v>0.17</v>
      </c>
      <c r="AC197" s="42">
        <f>S197*(1-AB197)</f>
        <v>1298.7508</v>
      </c>
      <c r="AD197" s="42">
        <f>Q197*(1+'What-If Analysis'!F212)</f>
        <v>1406.4</v>
      </c>
      <c r="AE197" s="41">
        <f>W197*(1+'What-If Analysis'!$F$18)</f>
        <v>19.89</v>
      </c>
      <c r="AF197" s="42">
        <f t="shared" si="49"/>
        <v>25832.153412</v>
      </c>
      <c r="AG197" s="42">
        <f t="shared" si="50"/>
        <v>27973.296000000002</v>
      </c>
      <c r="AH197" s="42">
        <f t="shared" si="51"/>
        <v>-2141.1425880000024</v>
      </c>
      <c r="AI197" s="44">
        <f t="shared" si="52"/>
        <v>-8.2886724689601829E-2</v>
      </c>
      <c r="AJ197" s="42">
        <f t="shared" si="53"/>
        <v>4152.4036120000019</v>
      </c>
      <c r="AK197" s="42">
        <f t="shared" si="54"/>
        <v>-2229.0502000000051</v>
      </c>
      <c r="AL197" s="9">
        <f t="shared" si="55"/>
        <v>1.9930430515759684E-2</v>
      </c>
      <c r="AM197" s="42"/>
    </row>
    <row r="198" spans="1:39" x14ac:dyDescent="0.25">
      <c r="A198" t="s">
        <v>211</v>
      </c>
      <c r="B198" s="20">
        <v>45333</v>
      </c>
      <c r="C198" s="4">
        <v>45354</v>
      </c>
      <c r="D198" s="4" t="s">
        <v>1434</v>
      </c>
      <c r="E198" s="4">
        <v>45354</v>
      </c>
      <c r="F198" s="11">
        <f t="shared" si="42"/>
        <v>21</v>
      </c>
      <c r="G198" s="11" t="str">
        <f t="shared" si="45"/>
        <v>Does not Meet Target</v>
      </c>
      <c r="H198" t="s">
        <v>646</v>
      </c>
      <c r="I198" t="s">
        <v>650</v>
      </c>
      <c r="J198" t="s">
        <v>662</v>
      </c>
      <c r="K198" t="s">
        <v>706</v>
      </c>
      <c r="L198" t="s">
        <v>708</v>
      </c>
      <c r="M198" t="s">
        <v>717</v>
      </c>
      <c r="N198" t="s">
        <v>730</v>
      </c>
      <c r="O198" t="str" cm="1">
        <f t="array" ref="O198">_xlfn.IFS(S198&lt;=_xlfn.PERCENTILE.INC(IF(N198:N828=N198, S198:S828), 0.33), "Low", S198&lt;=_xlfn.PERCENTILE.INC(IF(N198:N828=N198, S198:S828), 0.66), "Medium", S198 &gt; _xlfn.PERCENTILE.INC(IF(N198:N828=N198, S198:S828), 0.66), "High")</f>
        <v>Low</v>
      </c>
      <c r="P198" t="s">
        <v>931</v>
      </c>
      <c r="Q198" s="6">
        <v>516.86</v>
      </c>
      <c r="R198" s="6">
        <v>852.54</v>
      </c>
      <c r="S198" s="6">
        <v>852.54</v>
      </c>
      <c r="T198" s="9">
        <v>5.0999999999999997E-2</v>
      </c>
      <c r="U198" s="9">
        <f>IF(T198&gt;0.3, $AO$4, T198)</f>
        <v>5.0999999999999997E-2</v>
      </c>
      <c r="V198" s="7" t="str">
        <f t="shared" si="46"/>
        <v>Less than 20%</v>
      </c>
      <c r="W198" s="11">
        <v>14</v>
      </c>
      <c r="X198" s="6">
        <f t="shared" si="43"/>
        <v>11326.846439999999</v>
      </c>
      <c r="Y198" s="6">
        <f t="shared" si="44"/>
        <v>7236.04</v>
      </c>
      <c r="Z198" s="6">
        <f t="shared" si="47"/>
        <v>4090.8064399999994</v>
      </c>
      <c r="AA198" s="9">
        <f t="shared" si="48"/>
        <v>0.36116022775355994</v>
      </c>
      <c r="AB198" s="9">
        <f>IF(U198&gt;'What-If Analysis'!$F$16, 'What-If Analysis'!$F$16,T198)</f>
        <v>5.0999999999999997E-2</v>
      </c>
      <c r="AC198" s="42">
        <f>S198*(1-AB198)</f>
        <v>809.06045999999992</v>
      </c>
      <c r="AD198" s="42">
        <f>Q198*(1+'What-If Analysis'!F213)</f>
        <v>516.86</v>
      </c>
      <c r="AE198" s="41">
        <f>W198*(1+'What-If Analysis'!$F$18)</f>
        <v>16.38</v>
      </c>
      <c r="AF198" s="42">
        <f t="shared" si="49"/>
        <v>13252.410334799997</v>
      </c>
      <c r="AG198" s="42">
        <f t="shared" si="50"/>
        <v>8466.1667999999991</v>
      </c>
      <c r="AH198" s="42">
        <f t="shared" si="51"/>
        <v>4786.2435347999981</v>
      </c>
      <c r="AI198" s="44">
        <f t="shared" si="52"/>
        <v>0.36116022775355988</v>
      </c>
      <c r="AJ198" s="42">
        <f t="shared" si="53"/>
        <v>1925.5638947999978</v>
      </c>
      <c r="AK198" s="42">
        <f t="shared" si="54"/>
        <v>4090.8064399999994</v>
      </c>
      <c r="AL198" s="9">
        <f t="shared" si="55"/>
        <v>0</v>
      </c>
      <c r="AM198" s="42"/>
    </row>
    <row r="199" spans="1:39" x14ac:dyDescent="0.25">
      <c r="A199" t="s">
        <v>212</v>
      </c>
      <c r="B199" s="20">
        <v>44956</v>
      </c>
      <c r="C199" s="4">
        <v>44978</v>
      </c>
      <c r="D199" s="4" t="s">
        <v>1436</v>
      </c>
      <c r="E199" s="4">
        <v>44978</v>
      </c>
      <c r="F199" s="11">
        <f t="shared" si="42"/>
        <v>22</v>
      </c>
      <c r="G199" s="11" t="str">
        <f t="shared" si="45"/>
        <v>Does not Meet Target</v>
      </c>
      <c r="H199" t="s">
        <v>649</v>
      </c>
      <c r="I199" t="s">
        <v>656</v>
      </c>
      <c r="J199" t="s">
        <v>684</v>
      </c>
      <c r="K199" t="s">
        <v>705</v>
      </c>
      <c r="L199" t="s">
        <v>709</v>
      </c>
      <c r="M199" t="s">
        <v>715</v>
      </c>
      <c r="N199" t="s">
        <v>729</v>
      </c>
      <c r="O199" t="str" cm="1">
        <f t="array" ref="O199">_xlfn.IFS(S199&lt;=_xlfn.PERCENTILE.INC(IF(N199:N829=N199, S199:S829), 0.33), "Low", S199&lt;=_xlfn.PERCENTILE.INC(IF(N199:N829=N199, S199:S829), 0.66), "Medium", S199 &gt; _xlfn.PERCENTILE.INC(IF(N199:N829=N199, S199:S829), 0.66), "High")</f>
        <v>Medium</v>
      </c>
      <c r="P199" t="s">
        <v>932</v>
      </c>
      <c r="Q199" s="6">
        <v>1142.8800000000001</v>
      </c>
      <c r="R199" s="6">
        <v>1465.29</v>
      </c>
      <c r="S199" s="6">
        <v>1465.29</v>
      </c>
      <c r="T199" s="9">
        <v>0.186</v>
      </c>
      <c r="U199" s="9">
        <f>IF(T199&gt;0.3, $AO$4, T199)</f>
        <v>0.186</v>
      </c>
      <c r="V199" s="7" t="str">
        <f t="shared" si="46"/>
        <v>Less than 20%</v>
      </c>
      <c r="W199" s="11">
        <v>7</v>
      </c>
      <c r="X199" s="6">
        <f t="shared" si="43"/>
        <v>8349.2224200000001</v>
      </c>
      <c r="Y199" s="6">
        <f t="shared" si="44"/>
        <v>8000.1600000000008</v>
      </c>
      <c r="Z199" s="6">
        <f t="shared" si="47"/>
        <v>349.06241999999929</v>
      </c>
      <c r="AA199" s="9">
        <f t="shared" si="48"/>
        <v>4.1807775915017401E-2</v>
      </c>
      <c r="AB199" s="9">
        <f>IF(U199&gt;'What-If Analysis'!$F$16, 'What-If Analysis'!$F$16,T199)</f>
        <v>0.17</v>
      </c>
      <c r="AC199" s="42">
        <f>S199*(1-AB199)</f>
        <v>1216.1906999999999</v>
      </c>
      <c r="AD199" s="42">
        <f>Q199*(1+'What-If Analysis'!F214)</f>
        <v>1142.8800000000001</v>
      </c>
      <c r="AE199" s="41">
        <f>W199*(1+'What-If Analysis'!$F$18)</f>
        <v>8.19</v>
      </c>
      <c r="AF199" s="42">
        <f t="shared" si="49"/>
        <v>9960.6018329999988</v>
      </c>
      <c r="AG199" s="42">
        <f t="shared" si="50"/>
        <v>9360.1872000000003</v>
      </c>
      <c r="AH199" s="42">
        <f t="shared" si="51"/>
        <v>600.4146329999985</v>
      </c>
      <c r="AI199" s="44">
        <f t="shared" si="52"/>
        <v>6.0278951319065195E-2</v>
      </c>
      <c r="AJ199" s="42">
        <f t="shared" si="53"/>
        <v>1611.3794129999987</v>
      </c>
      <c r="AK199" s="42">
        <f t="shared" si="54"/>
        <v>349.06241999999929</v>
      </c>
      <c r="AL199" s="9">
        <f t="shared" si="55"/>
        <v>1.8471175404047795E-2</v>
      </c>
      <c r="AM199" s="42"/>
    </row>
    <row r="200" spans="1:39" x14ac:dyDescent="0.25">
      <c r="A200" t="s">
        <v>213</v>
      </c>
      <c r="B200" s="20">
        <v>45030</v>
      </c>
      <c r="C200" s="4">
        <v>45059</v>
      </c>
      <c r="D200" s="4" t="s">
        <v>1442</v>
      </c>
      <c r="E200" s="4">
        <v>45059</v>
      </c>
      <c r="F200" s="11">
        <f t="shared" si="42"/>
        <v>29</v>
      </c>
      <c r="G200" s="11" t="str">
        <f t="shared" si="45"/>
        <v>Does not Meet Target</v>
      </c>
      <c r="H200" t="s">
        <v>649</v>
      </c>
      <c r="I200" t="s">
        <v>656</v>
      </c>
      <c r="J200" t="s">
        <v>698</v>
      </c>
      <c r="K200" t="s">
        <v>704</v>
      </c>
      <c r="L200" t="s">
        <v>711</v>
      </c>
      <c r="M200" t="s">
        <v>713</v>
      </c>
      <c r="N200" t="s">
        <v>728</v>
      </c>
      <c r="O200" t="str" cm="1">
        <f t="array" ref="O200">_xlfn.IFS(S200&lt;=_xlfn.PERCENTILE.INC(IF(N200:N830=N200, S200:S830), 0.33), "Low", S200&lt;=_xlfn.PERCENTILE.INC(IF(N200:N830=N200, S200:S830), 0.66), "Medium", S200 &gt; _xlfn.PERCENTILE.INC(IF(N200:N830=N200, S200:S830), 0.66), "High")</f>
        <v>High</v>
      </c>
      <c r="P200" t="s">
        <v>933</v>
      </c>
      <c r="Q200" s="6">
        <v>1320.33</v>
      </c>
      <c r="R200" s="6">
        <v>2645.23</v>
      </c>
      <c r="S200" s="6">
        <v>2645.23</v>
      </c>
      <c r="T200" s="9">
        <v>0.155</v>
      </c>
      <c r="U200" s="9">
        <f>IF(T200&gt;0.3, $AO$4, T200)</f>
        <v>0.155</v>
      </c>
      <c r="V200" s="7" t="str">
        <f t="shared" si="46"/>
        <v>Less than 20%</v>
      </c>
      <c r="W200" s="11">
        <v>25</v>
      </c>
      <c r="X200" s="6">
        <f t="shared" si="43"/>
        <v>55880.483749999999</v>
      </c>
      <c r="Y200" s="6">
        <f t="shared" si="44"/>
        <v>33008.25</v>
      </c>
      <c r="Z200" s="6">
        <f t="shared" si="47"/>
        <v>22872.233749999999</v>
      </c>
      <c r="AA200" s="9">
        <f t="shared" si="48"/>
        <v>0.40930629470436536</v>
      </c>
      <c r="AB200" s="9">
        <f>IF(U200&gt;'What-If Analysis'!$F$16, 'What-If Analysis'!$F$16,T200)</f>
        <v>0.155</v>
      </c>
      <c r="AC200" s="42">
        <f>S200*(1-AB200)</f>
        <v>2235.2193499999998</v>
      </c>
      <c r="AD200" s="42">
        <f>Q200*(1+'What-If Analysis'!F215)</f>
        <v>1320.33</v>
      </c>
      <c r="AE200" s="41">
        <f>W200*(1+'What-If Analysis'!$F$18)</f>
        <v>29.25</v>
      </c>
      <c r="AF200" s="42">
        <f t="shared" si="49"/>
        <v>65380.165987499997</v>
      </c>
      <c r="AG200" s="42">
        <f t="shared" si="50"/>
        <v>38619.652499999997</v>
      </c>
      <c r="AH200" s="42">
        <f t="shared" si="51"/>
        <v>26760.5134875</v>
      </c>
      <c r="AI200" s="44">
        <f t="shared" si="52"/>
        <v>0.40930629470436541</v>
      </c>
      <c r="AJ200" s="42">
        <f t="shared" si="53"/>
        <v>9499.6822374999974</v>
      </c>
      <c r="AK200" s="42">
        <f t="shared" si="54"/>
        <v>22872.233749999999</v>
      </c>
      <c r="AL200" s="9">
        <f t="shared" si="55"/>
        <v>0</v>
      </c>
      <c r="AM200" s="42"/>
    </row>
    <row r="201" spans="1:39" x14ac:dyDescent="0.25">
      <c r="A201" t="s">
        <v>214</v>
      </c>
      <c r="B201" s="20">
        <v>44939</v>
      </c>
      <c r="C201" s="4">
        <v>44945</v>
      </c>
      <c r="D201" s="4" t="s">
        <v>1436</v>
      </c>
      <c r="E201" s="4">
        <v>44945</v>
      </c>
      <c r="F201" s="11">
        <f t="shared" si="42"/>
        <v>6</v>
      </c>
      <c r="G201" s="11" t="str">
        <f t="shared" si="45"/>
        <v>Meets Target</v>
      </c>
      <c r="H201" t="s">
        <v>648</v>
      </c>
      <c r="I201" t="s">
        <v>660</v>
      </c>
      <c r="J201" t="s">
        <v>677</v>
      </c>
      <c r="K201" t="s">
        <v>701</v>
      </c>
      <c r="L201" t="s">
        <v>711</v>
      </c>
      <c r="M201" t="s">
        <v>722</v>
      </c>
      <c r="N201" t="s">
        <v>730</v>
      </c>
      <c r="O201" t="str" cm="1">
        <f t="array" ref="O201">_xlfn.IFS(S201&lt;=_xlfn.PERCENTILE.INC(IF(N201:N831=N201, S201:S831), 0.33), "Low", S201&lt;=_xlfn.PERCENTILE.INC(IF(N201:N831=N201, S201:S831), 0.66), "Medium", S201 &gt; _xlfn.PERCENTILE.INC(IF(N201:N831=N201, S201:S831), 0.66), "High")</f>
        <v>Medium</v>
      </c>
      <c r="P201" t="s">
        <v>934</v>
      </c>
      <c r="Q201" s="6">
        <v>833.57</v>
      </c>
      <c r="R201" s="6">
        <v>881.57</v>
      </c>
      <c r="S201" s="6">
        <v>881.57</v>
      </c>
      <c r="T201" s="9">
        <v>5.7000000000000002E-2</v>
      </c>
      <c r="U201" s="9">
        <f>IF(T201&gt;0.3, $AO$4, T201)</f>
        <v>5.7000000000000002E-2</v>
      </c>
      <c r="V201" s="7" t="str">
        <f t="shared" si="46"/>
        <v>Less than 20%</v>
      </c>
      <c r="W201" s="11">
        <v>18</v>
      </c>
      <c r="X201" s="6">
        <f t="shared" si="43"/>
        <v>14963.769179999999</v>
      </c>
      <c r="Y201" s="6">
        <f t="shared" si="44"/>
        <v>15004.26</v>
      </c>
      <c r="Z201" s="6">
        <f t="shared" si="47"/>
        <v>-40.490820000000895</v>
      </c>
      <c r="AA201" s="9">
        <f t="shared" si="48"/>
        <v>-2.7059238560107821E-3</v>
      </c>
      <c r="AB201" s="9">
        <f>IF(U201&gt;'What-If Analysis'!$F$16, 'What-If Analysis'!$F$16,T201)</f>
        <v>5.7000000000000002E-2</v>
      </c>
      <c r="AC201" s="42">
        <f>S201*(1-AB201)</f>
        <v>831.32051000000001</v>
      </c>
      <c r="AD201" s="42">
        <f>Q201*(1+'What-If Analysis'!F216)</f>
        <v>833.57</v>
      </c>
      <c r="AE201" s="41">
        <f>W201*(1+'What-If Analysis'!$F$18)</f>
        <v>21.06</v>
      </c>
      <c r="AF201" s="42">
        <f t="shared" si="49"/>
        <v>17507.609940599999</v>
      </c>
      <c r="AG201" s="42">
        <f t="shared" si="50"/>
        <v>17554.984199999999</v>
      </c>
      <c r="AH201" s="42">
        <f t="shared" si="51"/>
        <v>-47.374259399999573</v>
      </c>
      <c r="AI201" s="44">
        <f t="shared" si="52"/>
        <v>-2.7059238560106979E-3</v>
      </c>
      <c r="AJ201" s="42">
        <f t="shared" si="53"/>
        <v>2543.8407606000001</v>
      </c>
      <c r="AK201" s="42">
        <f t="shared" si="54"/>
        <v>-40.490820000000895</v>
      </c>
      <c r="AL201" s="9">
        <f t="shared" si="55"/>
        <v>8.4134088584875144E-17</v>
      </c>
      <c r="AM201" s="42"/>
    </row>
    <row r="202" spans="1:39" x14ac:dyDescent="0.25">
      <c r="A202" t="s">
        <v>215</v>
      </c>
      <c r="B202" s="20">
        <v>45303</v>
      </c>
      <c r="C202" s="4">
        <v>45320</v>
      </c>
      <c r="D202" s="4" t="s">
        <v>1434</v>
      </c>
      <c r="E202" s="4">
        <v>45320</v>
      </c>
      <c r="F202" s="11">
        <f t="shared" si="42"/>
        <v>17</v>
      </c>
      <c r="G202" s="11" t="str">
        <f t="shared" si="45"/>
        <v>Does not Meet Target</v>
      </c>
      <c r="H202" t="s">
        <v>648</v>
      </c>
      <c r="I202" t="s">
        <v>660</v>
      </c>
      <c r="J202" t="s">
        <v>677</v>
      </c>
      <c r="K202" t="s">
        <v>702</v>
      </c>
      <c r="L202" t="s">
        <v>710</v>
      </c>
      <c r="M202" t="s">
        <v>720</v>
      </c>
      <c r="N202" t="s">
        <v>728</v>
      </c>
      <c r="O202" t="str" cm="1">
        <f t="array" ref="O202">_xlfn.IFS(S202&lt;=_xlfn.PERCENTILE.INC(IF(N202:N832=N202, S202:S832), 0.33), "Low", S202&lt;=_xlfn.PERCENTILE.INC(IF(N202:N832=N202, S202:S832), 0.66), "Medium", S202 &gt; _xlfn.PERCENTILE.INC(IF(N202:N832=N202, S202:S832), 0.66), "High")</f>
        <v>Low</v>
      </c>
      <c r="P202" t="s">
        <v>935</v>
      </c>
      <c r="Q202" s="6">
        <v>493.76</v>
      </c>
      <c r="R202" s="6">
        <v>625.04</v>
      </c>
      <c r="S202" s="6">
        <v>625.04</v>
      </c>
      <c r="T202" s="9">
        <v>0.25800000000000001</v>
      </c>
      <c r="U202" s="9">
        <f>IF(T202&gt;0.3, $AO$4, T202)</f>
        <v>0.25800000000000001</v>
      </c>
      <c r="V202" s="7" t="str">
        <f t="shared" si="46"/>
        <v>Greater than 20%</v>
      </c>
      <c r="W202" s="11">
        <v>10</v>
      </c>
      <c r="X202" s="6">
        <f t="shared" si="43"/>
        <v>4637.7968000000001</v>
      </c>
      <c r="Y202" s="6">
        <f t="shared" si="44"/>
        <v>4937.6000000000004</v>
      </c>
      <c r="Z202" s="6">
        <f t="shared" si="47"/>
        <v>-299.80320000000029</v>
      </c>
      <c r="AA202" s="9">
        <f t="shared" si="48"/>
        <v>-6.464345311549663E-2</v>
      </c>
      <c r="AB202" s="9">
        <f>IF(U202&gt;'What-If Analysis'!$F$16, 'What-If Analysis'!$F$16,T202)</f>
        <v>0.17</v>
      </c>
      <c r="AC202" s="42">
        <f>S202*(1-AB202)</f>
        <v>518.78319999999997</v>
      </c>
      <c r="AD202" s="42">
        <f>Q202*(1+'What-If Analysis'!F217)</f>
        <v>493.76</v>
      </c>
      <c r="AE202" s="41">
        <f>W202*(1+'What-If Analysis'!$F$18)</f>
        <v>11.7</v>
      </c>
      <c r="AF202" s="42">
        <f t="shared" si="49"/>
        <v>6069.7634399999988</v>
      </c>
      <c r="AG202" s="42">
        <f t="shared" si="50"/>
        <v>5776.9919999999993</v>
      </c>
      <c r="AH202" s="42">
        <f t="shared" si="51"/>
        <v>292.77143999999953</v>
      </c>
      <c r="AI202" s="44">
        <f t="shared" si="52"/>
        <v>4.8234406973857218E-2</v>
      </c>
      <c r="AJ202" s="42">
        <f t="shared" si="53"/>
        <v>1431.9666399999987</v>
      </c>
      <c r="AK202" s="42">
        <f t="shared" si="54"/>
        <v>-299.80320000000029</v>
      </c>
      <c r="AL202" s="9">
        <f t="shared" si="55"/>
        <v>0.11287786008935385</v>
      </c>
      <c r="AM202" s="42"/>
    </row>
    <row r="203" spans="1:39" x14ac:dyDescent="0.25">
      <c r="A203" t="s">
        <v>216</v>
      </c>
      <c r="B203" s="20">
        <v>45153</v>
      </c>
      <c r="C203" s="4">
        <v>45176</v>
      </c>
      <c r="D203" s="4" t="s">
        <v>1444</v>
      </c>
      <c r="E203" s="4">
        <v>45176</v>
      </c>
      <c r="F203" s="11">
        <f t="shared" si="42"/>
        <v>23</v>
      </c>
      <c r="G203" s="11" t="str">
        <f t="shared" si="45"/>
        <v>Does not Meet Target</v>
      </c>
      <c r="H203" t="s">
        <v>648</v>
      </c>
      <c r="I203" t="s">
        <v>660</v>
      </c>
      <c r="J203" t="s">
        <v>700</v>
      </c>
      <c r="K203" t="s">
        <v>706</v>
      </c>
      <c r="L203" t="s">
        <v>708</v>
      </c>
      <c r="M203" t="s">
        <v>723</v>
      </c>
      <c r="N203" t="s">
        <v>730</v>
      </c>
      <c r="O203" t="str" cm="1">
        <f t="array" ref="O203">_xlfn.IFS(S203&lt;=_xlfn.PERCENTILE.INC(IF(N203:N833=N203, S203:S833), 0.33), "Low", S203&lt;=_xlfn.PERCENTILE.INC(IF(N203:N833=N203, S203:S833), 0.66), "Medium", S203 &gt; _xlfn.PERCENTILE.INC(IF(N203:N833=N203, S203:S833), 0.66), "High")</f>
        <v>Medium</v>
      </c>
      <c r="P203" t="s">
        <v>936</v>
      </c>
      <c r="Q203" s="6">
        <v>590.33000000000004</v>
      </c>
      <c r="R203" s="6">
        <v>973.04</v>
      </c>
      <c r="S203" s="6">
        <v>973.04</v>
      </c>
      <c r="T203" s="9">
        <v>0</v>
      </c>
      <c r="U203" s="9">
        <f>IF(T203&gt;0.3, $AO$4, T203)</f>
        <v>0</v>
      </c>
      <c r="V203" s="7" t="str">
        <f t="shared" si="46"/>
        <v>Less than 20%</v>
      </c>
      <c r="W203" s="11">
        <v>26</v>
      </c>
      <c r="X203" s="6">
        <f t="shared" si="43"/>
        <v>25299.040000000001</v>
      </c>
      <c r="Y203" s="6">
        <f t="shared" si="44"/>
        <v>15348.580000000002</v>
      </c>
      <c r="Z203" s="6">
        <f t="shared" si="47"/>
        <v>9950.4599999999991</v>
      </c>
      <c r="AA203" s="9">
        <f t="shared" si="48"/>
        <v>0.39331373838691108</v>
      </c>
      <c r="AB203" s="9">
        <f>IF(U203&gt;'What-If Analysis'!$F$16, 'What-If Analysis'!$F$16,T203)</f>
        <v>0</v>
      </c>
      <c r="AC203" s="42">
        <f>S203*(1-AB203)</f>
        <v>973.04</v>
      </c>
      <c r="AD203" s="42">
        <f>Q203*(1+'What-If Analysis'!F218)</f>
        <v>590.33000000000004</v>
      </c>
      <c r="AE203" s="41">
        <f>W203*(1+'What-If Analysis'!$F$18)</f>
        <v>30.419999999999998</v>
      </c>
      <c r="AF203" s="42">
        <f t="shared" si="49"/>
        <v>29599.876799999998</v>
      </c>
      <c r="AG203" s="42">
        <f t="shared" si="50"/>
        <v>17957.838599999999</v>
      </c>
      <c r="AH203" s="42">
        <f t="shared" si="51"/>
        <v>11642.038199999999</v>
      </c>
      <c r="AI203" s="44">
        <f t="shared" si="52"/>
        <v>0.39331373838691114</v>
      </c>
      <c r="AJ203" s="42">
        <f t="shared" si="53"/>
        <v>4300.8367999999973</v>
      </c>
      <c r="AK203" s="42">
        <f t="shared" si="54"/>
        <v>9950.4599999999991</v>
      </c>
      <c r="AL203" s="9">
        <f t="shared" si="55"/>
        <v>0</v>
      </c>
      <c r="AM203" s="42"/>
    </row>
    <row r="204" spans="1:39" x14ac:dyDescent="0.25">
      <c r="A204" t="s">
        <v>217</v>
      </c>
      <c r="B204" s="20">
        <v>44946</v>
      </c>
      <c r="C204" s="4">
        <v>44960</v>
      </c>
      <c r="D204" s="4" t="s">
        <v>1436</v>
      </c>
      <c r="E204" s="4">
        <v>44960</v>
      </c>
      <c r="F204" s="11">
        <f t="shared" si="42"/>
        <v>14</v>
      </c>
      <c r="G204" s="11" t="str">
        <f t="shared" si="45"/>
        <v>Does not Meet Target</v>
      </c>
      <c r="H204" t="s">
        <v>646</v>
      </c>
      <c r="I204" t="s">
        <v>650</v>
      </c>
      <c r="J204" t="s">
        <v>662</v>
      </c>
      <c r="K204" t="s">
        <v>701</v>
      </c>
      <c r="L204" t="s">
        <v>707</v>
      </c>
      <c r="M204" t="s">
        <v>724</v>
      </c>
      <c r="N204" t="s">
        <v>729</v>
      </c>
      <c r="O204" t="str" cm="1">
        <f t="array" ref="O204">_xlfn.IFS(S204&lt;=_xlfn.PERCENTILE.INC(IF(N204:N834=N204, S204:S834), 0.33), "Low", S204&lt;=_xlfn.PERCENTILE.INC(IF(N204:N834=N204, S204:S834), 0.66), "Medium", S204 &gt; _xlfn.PERCENTILE.INC(IF(N204:N834=N204, S204:S834), 0.66), "High")</f>
        <v>Medium</v>
      </c>
      <c r="P204" t="s">
        <v>937</v>
      </c>
      <c r="Q204" s="6">
        <v>884.36</v>
      </c>
      <c r="R204" s="6">
        <v>1545.34</v>
      </c>
      <c r="S204" s="6">
        <v>1545.34</v>
      </c>
      <c r="T204" s="9">
        <v>0.24299999999999999</v>
      </c>
      <c r="U204" s="9">
        <f>IF(T204&gt;0.3, $AO$4, T204)</f>
        <v>0.24299999999999999</v>
      </c>
      <c r="V204" s="7" t="str">
        <f t="shared" si="46"/>
        <v>Greater than 20%</v>
      </c>
      <c r="W204" s="11">
        <v>41</v>
      </c>
      <c r="X204" s="6">
        <f t="shared" si="43"/>
        <v>47962.717579999997</v>
      </c>
      <c r="Y204" s="6">
        <f t="shared" si="44"/>
        <v>36258.76</v>
      </c>
      <c r="Z204" s="6">
        <f t="shared" si="47"/>
        <v>11703.957579999995</v>
      </c>
      <c r="AA204" s="9">
        <f t="shared" si="48"/>
        <v>0.24402198562827965</v>
      </c>
      <c r="AB204" s="9">
        <f>IF(U204&gt;'What-If Analysis'!$F$16, 'What-If Analysis'!$F$16,T204)</f>
        <v>0.17</v>
      </c>
      <c r="AC204" s="42">
        <f>S204*(1-AB204)</f>
        <v>1282.6321999999998</v>
      </c>
      <c r="AD204" s="42">
        <f>Q204*(1+'What-If Analysis'!F219)</f>
        <v>884.36</v>
      </c>
      <c r="AE204" s="41">
        <f>W204*(1+'What-If Analysis'!$F$18)</f>
        <v>47.97</v>
      </c>
      <c r="AF204" s="42">
        <f t="shared" si="49"/>
        <v>61527.866633999991</v>
      </c>
      <c r="AG204" s="42">
        <f t="shared" si="50"/>
        <v>42422.749199999998</v>
      </c>
      <c r="AH204" s="42">
        <f t="shared" si="51"/>
        <v>19105.117433999992</v>
      </c>
      <c r="AI204" s="44">
        <f t="shared" si="52"/>
        <v>0.31051161821759965</v>
      </c>
      <c r="AJ204" s="42">
        <f t="shared" si="53"/>
        <v>13565.149053999994</v>
      </c>
      <c r="AK204" s="42">
        <f t="shared" si="54"/>
        <v>11703.957579999995</v>
      </c>
      <c r="AL204" s="9">
        <f t="shared" si="55"/>
        <v>6.6489632589320002E-2</v>
      </c>
      <c r="AM204" s="42"/>
    </row>
    <row r="205" spans="1:39" x14ac:dyDescent="0.25">
      <c r="A205" t="s">
        <v>218</v>
      </c>
      <c r="B205" s="20">
        <v>45692</v>
      </c>
      <c r="C205" s="4">
        <v>45713</v>
      </c>
      <c r="D205" s="4" t="s">
        <v>1437</v>
      </c>
      <c r="E205" s="4">
        <v>45713</v>
      </c>
      <c r="F205" s="11">
        <f t="shared" si="42"/>
        <v>21</v>
      </c>
      <c r="G205" s="11" t="str">
        <f t="shared" si="45"/>
        <v>Does not Meet Target</v>
      </c>
      <c r="H205" t="s">
        <v>649</v>
      </c>
      <c r="I205" t="s">
        <v>658</v>
      </c>
      <c r="J205" t="s">
        <v>674</v>
      </c>
      <c r="K205" t="s">
        <v>701</v>
      </c>
      <c r="L205" t="s">
        <v>709</v>
      </c>
      <c r="M205" t="s">
        <v>726</v>
      </c>
      <c r="N205" t="s">
        <v>732</v>
      </c>
      <c r="O205" t="str" cm="1">
        <f t="array" ref="O205">_xlfn.IFS(S205&lt;=_xlfn.PERCENTILE.INC(IF(N205:N835=N205, S205:S835), 0.33), "Low", S205&lt;=_xlfn.PERCENTILE.INC(IF(N205:N835=N205, S205:S835), 0.66), "Medium", S205 &gt; _xlfn.PERCENTILE.INC(IF(N205:N835=N205, S205:S835), 0.66), "High")</f>
        <v>High</v>
      </c>
      <c r="P205" t="s">
        <v>938</v>
      </c>
      <c r="Q205" s="6">
        <v>1016.32</v>
      </c>
      <c r="R205" s="6">
        <v>2253.42</v>
      </c>
      <c r="S205" s="6">
        <v>2253.42</v>
      </c>
      <c r="T205" s="9">
        <v>5.5E-2</v>
      </c>
      <c r="U205" s="9">
        <f>IF(T205&gt;0.3, $AO$4, T205)</f>
        <v>5.5E-2</v>
      </c>
      <c r="V205" s="7" t="str">
        <f t="shared" si="46"/>
        <v>Less than 20%</v>
      </c>
      <c r="W205" s="11">
        <v>12</v>
      </c>
      <c r="X205" s="6">
        <f t="shared" si="43"/>
        <v>25553.782800000001</v>
      </c>
      <c r="Y205" s="6">
        <f t="shared" si="44"/>
        <v>12195.84</v>
      </c>
      <c r="Z205" s="6">
        <f t="shared" si="47"/>
        <v>13357.942800000001</v>
      </c>
      <c r="AA205" s="9">
        <f t="shared" si="48"/>
        <v>0.52273837124419797</v>
      </c>
      <c r="AB205" s="9">
        <f>IF(U205&gt;'What-If Analysis'!$F$16, 'What-If Analysis'!$F$16,T205)</f>
        <v>5.5E-2</v>
      </c>
      <c r="AC205" s="42">
        <f>S205*(1-AB205)</f>
        <v>2129.4818999999998</v>
      </c>
      <c r="AD205" s="42">
        <f>Q205*(1+'What-If Analysis'!F220)</f>
        <v>1016.32</v>
      </c>
      <c r="AE205" s="41">
        <f>W205*(1+'What-If Analysis'!$F$18)</f>
        <v>14.04</v>
      </c>
      <c r="AF205" s="42">
        <f t="shared" si="49"/>
        <v>29897.925875999994</v>
      </c>
      <c r="AG205" s="42">
        <f t="shared" si="50"/>
        <v>14269.132799999999</v>
      </c>
      <c r="AH205" s="42">
        <f t="shared" si="51"/>
        <v>15628.793075999994</v>
      </c>
      <c r="AI205" s="44">
        <f t="shared" si="52"/>
        <v>0.52273837124419786</v>
      </c>
      <c r="AJ205" s="42">
        <f t="shared" si="53"/>
        <v>4344.143075999993</v>
      </c>
      <c r="AK205" s="42">
        <f t="shared" si="54"/>
        <v>13357.942800000001</v>
      </c>
      <c r="AL205" s="9">
        <f t="shared" si="55"/>
        <v>0</v>
      </c>
      <c r="AM205" s="42"/>
    </row>
    <row r="206" spans="1:39" x14ac:dyDescent="0.25">
      <c r="A206" t="s">
        <v>219</v>
      </c>
      <c r="B206" s="20">
        <v>45035</v>
      </c>
      <c r="C206" s="4">
        <v>45044</v>
      </c>
      <c r="D206" s="4" t="s">
        <v>1442</v>
      </c>
      <c r="E206" s="4">
        <v>45044</v>
      </c>
      <c r="F206" s="11">
        <f t="shared" si="42"/>
        <v>9</v>
      </c>
      <c r="G206" s="11" t="str">
        <f t="shared" si="45"/>
        <v>Does not Meet Target</v>
      </c>
      <c r="H206" t="s">
        <v>649</v>
      </c>
      <c r="I206" t="s">
        <v>656</v>
      </c>
      <c r="J206" t="s">
        <v>671</v>
      </c>
      <c r="K206" t="s">
        <v>702</v>
      </c>
      <c r="L206" t="s">
        <v>708</v>
      </c>
      <c r="M206" t="s">
        <v>718</v>
      </c>
      <c r="N206" t="s">
        <v>732</v>
      </c>
      <c r="O206" t="str" cm="1">
        <f t="array" ref="O206">_xlfn.IFS(S206&lt;=_xlfn.PERCENTILE.INC(IF(N206:N836=N206, S206:S836), 0.33), "Low", S206&lt;=_xlfn.PERCENTILE.INC(IF(N206:N836=N206, S206:S836), 0.66), "Medium", S206 &gt; _xlfn.PERCENTILE.INC(IF(N206:N836=N206, S206:S836), 0.66), "High")</f>
        <v>High</v>
      </c>
      <c r="P206" t="s">
        <v>939</v>
      </c>
      <c r="Q206" s="6">
        <v>1178.42</v>
      </c>
      <c r="R206" s="6">
        <v>2446.56</v>
      </c>
      <c r="S206" s="6">
        <v>2446.56</v>
      </c>
      <c r="T206" s="9">
        <v>2.9000000000000001E-2</v>
      </c>
      <c r="U206" s="9">
        <f>IF(T206&gt;0.3, $AO$4, T206)</f>
        <v>2.9000000000000001E-2</v>
      </c>
      <c r="V206" s="7" t="str">
        <f t="shared" si="46"/>
        <v>Less than 20%</v>
      </c>
      <c r="W206" s="11">
        <v>11</v>
      </c>
      <c r="X206" s="6">
        <f t="shared" si="43"/>
        <v>26131.70736</v>
      </c>
      <c r="Y206" s="6">
        <f t="shared" si="44"/>
        <v>12962.62</v>
      </c>
      <c r="Z206" s="6">
        <f t="shared" si="47"/>
        <v>13169.08736</v>
      </c>
      <c r="AA206" s="9">
        <f t="shared" si="48"/>
        <v>0.5039505141618883</v>
      </c>
      <c r="AB206" s="9">
        <f>IF(U206&gt;'What-If Analysis'!$F$16, 'What-If Analysis'!$F$16,T206)</f>
        <v>2.9000000000000001E-2</v>
      </c>
      <c r="AC206" s="42">
        <f>S206*(1-AB206)</f>
        <v>2375.6097599999998</v>
      </c>
      <c r="AD206" s="42">
        <f>Q206*(1+'What-If Analysis'!F221)</f>
        <v>1178.42</v>
      </c>
      <c r="AE206" s="41">
        <f>W206*(1+'What-If Analysis'!$F$18)</f>
        <v>12.87</v>
      </c>
      <c r="AF206" s="42">
        <f t="shared" si="49"/>
        <v>30574.097611199995</v>
      </c>
      <c r="AG206" s="42">
        <f t="shared" si="50"/>
        <v>15166.2654</v>
      </c>
      <c r="AH206" s="42">
        <f t="shared" si="51"/>
        <v>15407.832211199995</v>
      </c>
      <c r="AI206" s="44">
        <f t="shared" si="52"/>
        <v>0.50395051416188819</v>
      </c>
      <c r="AJ206" s="42">
        <f t="shared" si="53"/>
        <v>4442.390251199995</v>
      </c>
      <c r="AK206" s="42">
        <f t="shared" si="54"/>
        <v>13169.08736</v>
      </c>
      <c r="AL206" s="9">
        <f t="shared" si="55"/>
        <v>0</v>
      </c>
      <c r="AM206" s="42"/>
    </row>
    <row r="207" spans="1:39" x14ac:dyDescent="0.25">
      <c r="A207" t="s">
        <v>220</v>
      </c>
      <c r="B207" s="20">
        <v>45109</v>
      </c>
      <c r="C207" s="4">
        <v>45139</v>
      </c>
      <c r="D207" s="4" t="s">
        <v>1444</v>
      </c>
      <c r="E207" s="4">
        <v>45139</v>
      </c>
      <c r="F207" s="11">
        <f t="shared" si="42"/>
        <v>30</v>
      </c>
      <c r="G207" s="11" t="str">
        <f t="shared" si="45"/>
        <v>Does not Meet Target</v>
      </c>
      <c r="H207" t="s">
        <v>649</v>
      </c>
      <c r="I207" t="s">
        <v>658</v>
      </c>
      <c r="J207" t="s">
        <v>674</v>
      </c>
      <c r="K207" t="s">
        <v>705</v>
      </c>
      <c r="L207" t="s">
        <v>707</v>
      </c>
      <c r="M207" t="s">
        <v>717</v>
      </c>
      <c r="N207" t="s">
        <v>727</v>
      </c>
      <c r="O207" t="str" cm="1">
        <f t="array" ref="O207">_xlfn.IFS(S207&lt;=_xlfn.PERCENTILE.INC(IF(N207:N837=N207, S207:S837), 0.33), "Low", S207&lt;=_xlfn.PERCENTILE.INC(IF(N207:N837=N207, S207:S837), 0.66), "Medium", S207 &gt; _xlfn.PERCENTILE.INC(IF(N207:N837=N207, S207:S837), 0.66), "High")</f>
        <v>Low</v>
      </c>
      <c r="P207" t="s">
        <v>940</v>
      </c>
      <c r="Q207" s="6">
        <v>137.46</v>
      </c>
      <c r="R207" s="6">
        <v>188.3</v>
      </c>
      <c r="S207" s="6">
        <v>188.3</v>
      </c>
      <c r="T207" s="9">
        <v>3.7999999999999999E-2</v>
      </c>
      <c r="U207" s="9">
        <f>IF(T207&gt;0.3, $AO$4, T207)</f>
        <v>3.7999999999999999E-2</v>
      </c>
      <c r="V207" s="7" t="str">
        <f t="shared" si="46"/>
        <v>Less than 20%</v>
      </c>
      <c r="W207" s="11">
        <v>37</v>
      </c>
      <c r="X207" s="6">
        <f t="shared" si="43"/>
        <v>6702.3501999999999</v>
      </c>
      <c r="Y207" s="6">
        <f t="shared" si="44"/>
        <v>5086.0200000000004</v>
      </c>
      <c r="Z207" s="6">
        <f t="shared" si="47"/>
        <v>1616.3301999999994</v>
      </c>
      <c r="AA207" s="9">
        <f t="shared" si="48"/>
        <v>0.24115872071262398</v>
      </c>
      <c r="AB207" s="9">
        <f>IF(U207&gt;'What-If Analysis'!$F$16, 'What-If Analysis'!$F$16,T207)</f>
        <v>3.7999999999999999E-2</v>
      </c>
      <c r="AC207" s="42">
        <f>S207*(1-AB207)</f>
        <v>181.1446</v>
      </c>
      <c r="AD207" s="42">
        <f>Q207*(1+'What-If Analysis'!F222)</f>
        <v>137.46</v>
      </c>
      <c r="AE207" s="41">
        <f>W207*(1+'What-If Analysis'!$F$18)</f>
        <v>43.29</v>
      </c>
      <c r="AF207" s="42">
        <f t="shared" si="49"/>
        <v>7841.749734</v>
      </c>
      <c r="AG207" s="42">
        <f t="shared" si="50"/>
        <v>5950.6433999999999</v>
      </c>
      <c r="AH207" s="42">
        <f t="shared" si="51"/>
        <v>1891.1063340000001</v>
      </c>
      <c r="AI207" s="44">
        <f t="shared" si="52"/>
        <v>0.24115872071262406</v>
      </c>
      <c r="AJ207" s="42">
        <f t="shared" si="53"/>
        <v>1139.3995340000001</v>
      </c>
      <c r="AK207" s="42">
        <f t="shared" si="54"/>
        <v>1616.3301999999994</v>
      </c>
      <c r="AL207" s="9">
        <f t="shared" si="55"/>
        <v>0</v>
      </c>
      <c r="AM207" s="42"/>
    </row>
    <row r="208" spans="1:39" x14ac:dyDescent="0.25">
      <c r="A208" t="s">
        <v>221</v>
      </c>
      <c r="B208" s="20">
        <v>45678</v>
      </c>
      <c r="C208" s="4">
        <v>45702</v>
      </c>
      <c r="D208" s="4" t="s">
        <v>1437</v>
      </c>
      <c r="E208" s="4">
        <v>45702</v>
      </c>
      <c r="F208" s="11">
        <f t="shared" si="42"/>
        <v>24</v>
      </c>
      <c r="G208" s="11" t="str">
        <f t="shared" si="45"/>
        <v>Does not Meet Target</v>
      </c>
      <c r="H208" t="s">
        <v>646</v>
      </c>
      <c r="I208" t="s">
        <v>650</v>
      </c>
      <c r="J208" t="s">
        <v>664</v>
      </c>
      <c r="K208" t="s">
        <v>705</v>
      </c>
      <c r="L208" t="s">
        <v>707</v>
      </c>
      <c r="M208" t="s">
        <v>713</v>
      </c>
      <c r="N208" t="s">
        <v>733</v>
      </c>
      <c r="O208" t="str" cm="1">
        <f t="array" ref="O208">_xlfn.IFS(S208&lt;=_xlfn.PERCENTILE.INC(IF(N208:N838=N208, S208:S838), 0.33), "Low", S208&lt;=_xlfn.PERCENTILE.INC(IF(N208:N838=N208, S208:S838), 0.66), "Medium", S208 &gt; _xlfn.PERCENTILE.INC(IF(N208:N838=N208, S208:S838), 0.66), "High")</f>
        <v>High</v>
      </c>
      <c r="P208" t="s">
        <v>941</v>
      </c>
      <c r="Q208" s="6">
        <v>1030.44</v>
      </c>
      <c r="R208" s="6">
        <v>2562.84</v>
      </c>
      <c r="S208" s="6">
        <v>2562.84</v>
      </c>
      <c r="T208" s="9">
        <v>0.14799999999999999</v>
      </c>
      <c r="U208" s="9">
        <f>IF(T208&gt;0.3, $AO$4, T208)</f>
        <v>0.14799999999999999</v>
      </c>
      <c r="V208" s="7" t="str">
        <f t="shared" si="46"/>
        <v>Less than 20%</v>
      </c>
      <c r="W208" s="11">
        <v>13</v>
      </c>
      <c r="X208" s="6">
        <f t="shared" si="43"/>
        <v>28386.015839999996</v>
      </c>
      <c r="Y208" s="6">
        <f t="shared" si="44"/>
        <v>13395.720000000001</v>
      </c>
      <c r="Z208" s="6">
        <f t="shared" si="47"/>
        <v>14990.295839999995</v>
      </c>
      <c r="AA208" s="9">
        <f t="shared" si="48"/>
        <v>0.52808734852027039</v>
      </c>
      <c r="AB208" s="9">
        <f>IF(U208&gt;'What-If Analysis'!$F$16, 'What-If Analysis'!$F$16,T208)</f>
        <v>0.14799999999999999</v>
      </c>
      <c r="AC208" s="42">
        <f>S208*(1-AB208)</f>
        <v>2183.5396799999999</v>
      </c>
      <c r="AD208" s="42">
        <f>Q208*(1+'What-If Analysis'!F223)</f>
        <v>1030.44</v>
      </c>
      <c r="AE208" s="41">
        <f>W208*(1+'What-If Analysis'!$F$18)</f>
        <v>15.209999999999999</v>
      </c>
      <c r="AF208" s="42">
        <f t="shared" si="49"/>
        <v>33211.638532799996</v>
      </c>
      <c r="AG208" s="42">
        <f t="shared" si="50"/>
        <v>15672.992399999999</v>
      </c>
      <c r="AH208" s="42">
        <f t="shared" si="51"/>
        <v>17538.646132799997</v>
      </c>
      <c r="AI208" s="44">
        <f t="shared" si="52"/>
        <v>0.52808734852027051</v>
      </c>
      <c r="AJ208" s="42">
        <f t="shared" si="53"/>
        <v>4825.6226927999996</v>
      </c>
      <c r="AK208" s="42">
        <f t="shared" si="54"/>
        <v>14990.295839999995</v>
      </c>
      <c r="AL208" s="9">
        <f t="shared" si="55"/>
        <v>0</v>
      </c>
      <c r="AM208" s="42"/>
    </row>
    <row r="209" spans="1:39" x14ac:dyDescent="0.25">
      <c r="A209" t="s">
        <v>222</v>
      </c>
      <c r="B209" s="20">
        <v>45545</v>
      </c>
      <c r="C209" s="4">
        <v>45572</v>
      </c>
      <c r="D209" s="4" t="s">
        <v>1443</v>
      </c>
      <c r="E209" s="4">
        <v>45572</v>
      </c>
      <c r="F209" s="11">
        <f t="shared" si="42"/>
        <v>27</v>
      </c>
      <c r="G209" s="11" t="str">
        <f t="shared" si="45"/>
        <v>Does not Meet Target</v>
      </c>
      <c r="H209" t="s">
        <v>646</v>
      </c>
      <c r="I209" t="s">
        <v>650</v>
      </c>
      <c r="J209" t="s">
        <v>662</v>
      </c>
      <c r="K209" t="s">
        <v>704</v>
      </c>
      <c r="L209" t="s">
        <v>707</v>
      </c>
      <c r="M209" t="s">
        <v>716</v>
      </c>
      <c r="N209" t="s">
        <v>728</v>
      </c>
      <c r="O209" t="str" cm="1">
        <f t="array" ref="O209">_xlfn.IFS(S209&lt;=_xlfn.PERCENTILE.INC(IF(N209:N839=N209, S209:S839), 0.33), "Low", S209&lt;=_xlfn.PERCENTILE.INC(IF(N209:N839=N209, S209:S839), 0.66), "Medium", S209 &gt; _xlfn.PERCENTILE.INC(IF(N209:N839=N209, S209:S839), 0.66), "High")</f>
        <v>High</v>
      </c>
      <c r="P209" t="s">
        <v>942</v>
      </c>
      <c r="Q209" s="6">
        <v>1248.3900000000001</v>
      </c>
      <c r="R209" s="6">
        <v>1805.11</v>
      </c>
      <c r="S209" s="6">
        <v>1805.11</v>
      </c>
      <c r="T209" s="9">
        <v>0.20300000000000001</v>
      </c>
      <c r="U209" s="9">
        <f>IF(T209&gt;0.3, $AO$4, T209)</f>
        <v>0.20300000000000001</v>
      </c>
      <c r="V209" s="7" t="str">
        <f t="shared" si="46"/>
        <v>Greater than 20%</v>
      </c>
      <c r="W209" s="11">
        <v>11</v>
      </c>
      <c r="X209" s="6">
        <f t="shared" si="43"/>
        <v>15825.399369999997</v>
      </c>
      <c r="Y209" s="6">
        <f t="shared" si="44"/>
        <v>13732.29</v>
      </c>
      <c r="Z209" s="6">
        <f t="shared" si="47"/>
        <v>2093.1093699999965</v>
      </c>
      <c r="AA209" s="9">
        <f t="shared" si="48"/>
        <v>0.13226265707820786</v>
      </c>
      <c r="AB209" s="9">
        <f>IF(U209&gt;'What-If Analysis'!$F$16, 'What-If Analysis'!$F$16,T209)</f>
        <v>0.17</v>
      </c>
      <c r="AC209" s="42">
        <f>S209*(1-AB209)</f>
        <v>1498.2412999999999</v>
      </c>
      <c r="AD209" s="42">
        <f>Q209*(1+'What-If Analysis'!F224)</f>
        <v>1248.3900000000001</v>
      </c>
      <c r="AE209" s="41">
        <f>W209*(1+'What-If Analysis'!$F$18)</f>
        <v>12.87</v>
      </c>
      <c r="AF209" s="42">
        <f t="shared" si="49"/>
        <v>19282.365530999999</v>
      </c>
      <c r="AG209" s="42">
        <f t="shared" si="50"/>
        <v>16066.7793</v>
      </c>
      <c r="AH209" s="42">
        <f t="shared" si="51"/>
        <v>3215.5862309999993</v>
      </c>
      <c r="AI209" s="44">
        <f t="shared" si="52"/>
        <v>0.1667630574594359</v>
      </c>
      <c r="AJ209" s="42">
        <f t="shared" si="53"/>
        <v>3456.9661610000021</v>
      </c>
      <c r="AK209" s="42">
        <f t="shared" si="54"/>
        <v>2093.1093699999965</v>
      </c>
      <c r="AL209" s="9">
        <f t="shared" si="55"/>
        <v>3.4500400381228036E-2</v>
      </c>
      <c r="AM209" s="42"/>
    </row>
    <row r="210" spans="1:39" x14ac:dyDescent="0.25">
      <c r="A210" t="s">
        <v>223</v>
      </c>
      <c r="B210" s="20">
        <v>45859</v>
      </c>
      <c r="C210" s="4">
        <v>45876</v>
      </c>
      <c r="D210" s="4" t="s">
        <v>1441</v>
      </c>
      <c r="E210" s="4">
        <v>45876</v>
      </c>
      <c r="F210" s="11">
        <f t="shared" si="42"/>
        <v>17</v>
      </c>
      <c r="G210" s="11" t="str">
        <f t="shared" si="45"/>
        <v>Does not Meet Target</v>
      </c>
      <c r="H210" t="s">
        <v>646</v>
      </c>
      <c r="I210" t="s">
        <v>651</v>
      </c>
      <c r="J210" t="s">
        <v>665</v>
      </c>
      <c r="K210" t="s">
        <v>706</v>
      </c>
      <c r="L210" t="s">
        <v>711</v>
      </c>
      <c r="M210" t="s">
        <v>724</v>
      </c>
      <c r="N210" t="s">
        <v>733</v>
      </c>
      <c r="O210" t="str" cm="1">
        <f t="array" ref="O210">_xlfn.IFS(S210&lt;=_xlfn.PERCENTILE.INC(IF(N210:N840=N210, S210:S840), 0.33), "Low", S210&lt;=_xlfn.PERCENTILE.INC(IF(N210:N840=N210, S210:S840), 0.66), "Medium", S210 &gt; _xlfn.PERCENTILE.INC(IF(N210:N840=N210, S210:S840), 0.66), "High")</f>
        <v>High</v>
      </c>
      <c r="P210" t="s">
        <v>943</v>
      </c>
      <c r="Q210" s="6">
        <v>1204.95</v>
      </c>
      <c r="R210" s="6">
        <v>2065.73</v>
      </c>
      <c r="S210" s="6">
        <v>2065.73</v>
      </c>
      <c r="T210" s="9">
        <v>0.13600000000000001</v>
      </c>
      <c r="U210" s="9">
        <f>IF(T210&gt;0.3, $AO$4, T210)</f>
        <v>0.13600000000000001</v>
      </c>
      <c r="V210" s="7" t="str">
        <f t="shared" si="46"/>
        <v>Less than 20%</v>
      </c>
      <c r="W210" s="11">
        <v>10</v>
      </c>
      <c r="X210" s="6">
        <f t="shared" si="43"/>
        <v>17847.907199999998</v>
      </c>
      <c r="Y210" s="6">
        <f t="shared" si="44"/>
        <v>12049.5</v>
      </c>
      <c r="Z210" s="6">
        <f t="shared" si="47"/>
        <v>5798.4071999999978</v>
      </c>
      <c r="AA210" s="9">
        <f t="shared" si="48"/>
        <v>0.32487882949100039</v>
      </c>
      <c r="AB210" s="9">
        <f>IF(U210&gt;'What-If Analysis'!$F$16, 'What-If Analysis'!$F$16,T210)</f>
        <v>0.13600000000000001</v>
      </c>
      <c r="AC210" s="42">
        <f>S210*(1-AB210)</f>
        <v>1784.79072</v>
      </c>
      <c r="AD210" s="42">
        <f>Q210*(1+'What-If Analysis'!F225)</f>
        <v>1204.95</v>
      </c>
      <c r="AE210" s="41">
        <f>W210*(1+'What-If Analysis'!$F$18)</f>
        <v>11.7</v>
      </c>
      <c r="AF210" s="42">
        <f t="shared" si="49"/>
        <v>20882.051423999997</v>
      </c>
      <c r="AG210" s="42">
        <f t="shared" si="50"/>
        <v>14097.914999999999</v>
      </c>
      <c r="AH210" s="42">
        <f t="shared" si="51"/>
        <v>6784.1364239999984</v>
      </c>
      <c r="AI210" s="44">
        <f t="shared" si="52"/>
        <v>0.32487882949100044</v>
      </c>
      <c r="AJ210" s="42">
        <f t="shared" si="53"/>
        <v>3034.1442239999997</v>
      </c>
      <c r="AK210" s="42">
        <f t="shared" si="54"/>
        <v>5798.4071999999978</v>
      </c>
      <c r="AL210" s="9">
        <f t="shared" si="55"/>
        <v>0</v>
      </c>
      <c r="AM210" s="42"/>
    </row>
    <row r="211" spans="1:39" x14ac:dyDescent="0.25">
      <c r="A211" t="s">
        <v>224</v>
      </c>
      <c r="B211" s="20">
        <v>45567</v>
      </c>
      <c r="C211" s="4">
        <v>45588</v>
      </c>
      <c r="D211" s="4" t="s">
        <v>1435</v>
      </c>
      <c r="E211" s="4">
        <v>45588</v>
      </c>
      <c r="F211" s="11">
        <f t="shared" si="42"/>
        <v>21</v>
      </c>
      <c r="G211" s="11" t="str">
        <f t="shared" si="45"/>
        <v>Does not Meet Target</v>
      </c>
      <c r="H211" t="s">
        <v>646</v>
      </c>
      <c r="I211" t="s">
        <v>661</v>
      </c>
      <c r="J211" t="s">
        <v>687</v>
      </c>
      <c r="K211" t="s">
        <v>701</v>
      </c>
      <c r="L211" t="s">
        <v>709</v>
      </c>
      <c r="M211" t="s">
        <v>720</v>
      </c>
      <c r="N211" t="s">
        <v>727</v>
      </c>
      <c r="O211" t="str" cm="1">
        <f t="array" ref="O211">_xlfn.IFS(S211&lt;=_xlfn.PERCENTILE.INC(IF(N211:N841=N211, S211:S841), 0.33), "Low", S211&lt;=_xlfn.PERCENTILE.INC(IF(N211:N841=N211, S211:S841), 0.66), "Medium", S211 &gt; _xlfn.PERCENTILE.INC(IF(N211:N841=N211, S211:S841), 0.66), "High")</f>
        <v>High</v>
      </c>
      <c r="P211" t="s">
        <v>944</v>
      </c>
      <c r="Q211" s="6">
        <v>1095.6099999999999</v>
      </c>
      <c r="R211" s="6">
        <v>2366.5100000000002</v>
      </c>
      <c r="S211" s="6">
        <v>2366.5100000000002</v>
      </c>
      <c r="T211" s="9">
        <v>0.152</v>
      </c>
      <c r="U211" s="9">
        <f>IF(T211&gt;0.3, $AO$4, T211)</f>
        <v>0.152</v>
      </c>
      <c r="V211" s="7" t="str">
        <f t="shared" si="46"/>
        <v>Less than 20%</v>
      </c>
      <c r="W211" s="11">
        <v>9</v>
      </c>
      <c r="X211" s="6">
        <f t="shared" si="43"/>
        <v>18061.204320000004</v>
      </c>
      <c r="Y211" s="6">
        <f t="shared" si="44"/>
        <v>9860.49</v>
      </c>
      <c r="Z211" s="6">
        <f t="shared" si="47"/>
        <v>8200.7143200000046</v>
      </c>
      <c r="AA211" s="9">
        <f t="shared" si="48"/>
        <v>0.4540513564158607</v>
      </c>
      <c r="AB211" s="9">
        <f>IF(U211&gt;'What-If Analysis'!$F$16, 'What-If Analysis'!$F$16,T211)</f>
        <v>0.152</v>
      </c>
      <c r="AC211" s="42">
        <f>S211*(1-AB211)</f>
        <v>2006.8004800000001</v>
      </c>
      <c r="AD211" s="42">
        <f>Q211*(1+'What-If Analysis'!F226)</f>
        <v>1095.6099999999999</v>
      </c>
      <c r="AE211" s="41">
        <f>W211*(1+'What-If Analysis'!$F$18)</f>
        <v>10.53</v>
      </c>
      <c r="AF211" s="42">
        <f t="shared" si="49"/>
        <v>21131.6090544</v>
      </c>
      <c r="AG211" s="42">
        <f t="shared" si="50"/>
        <v>11536.773299999999</v>
      </c>
      <c r="AH211" s="42">
        <f t="shared" si="51"/>
        <v>9594.835754400001</v>
      </c>
      <c r="AI211" s="44">
        <f t="shared" si="52"/>
        <v>0.45405135641586059</v>
      </c>
      <c r="AJ211" s="42">
        <f t="shared" si="53"/>
        <v>3070.4047343999955</v>
      </c>
      <c r="AK211" s="42">
        <f t="shared" si="54"/>
        <v>8200.7143200000046</v>
      </c>
      <c r="AL211" s="9">
        <f t="shared" si="55"/>
        <v>0</v>
      </c>
      <c r="AM211" s="42"/>
    </row>
    <row r="212" spans="1:39" x14ac:dyDescent="0.25">
      <c r="A212" t="s">
        <v>225</v>
      </c>
      <c r="B212" s="20">
        <v>45852</v>
      </c>
      <c r="C212" s="4">
        <v>45873</v>
      </c>
      <c r="D212" s="4" t="s">
        <v>1441</v>
      </c>
      <c r="E212" s="4">
        <v>45873</v>
      </c>
      <c r="F212" s="11">
        <f t="shared" si="42"/>
        <v>21</v>
      </c>
      <c r="G212" s="11" t="str">
        <f t="shared" si="45"/>
        <v>Does not Meet Target</v>
      </c>
      <c r="H212" t="s">
        <v>648</v>
      </c>
      <c r="I212" t="s">
        <v>653</v>
      </c>
      <c r="J212" t="s">
        <v>681</v>
      </c>
      <c r="K212" t="s">
        <v>704</v>
      </c>
      <c r="L212" t="s">
        <v>708</v>
      </c>
      <c r="M212" t="s">
        <v>722</v>
      </c>
      <c r="N212" t="s">
        <v>732</v>
      </c>
      <c r="O212" t="str" cm="1">
        <f t="array" ref="O212">_xlfn.IFS(S212&lt;=_xlfn.PERCENTILE.INC(IF(N212:N842=N212, S212:S842), 0.33), "Low", S212&lt;=_xlfn.PERCENTILE.INC(IF(N212:N842=N212, S212:S842), 0.66), "Medium", S212 &gt; _xlfn.PERCENTILE.INC(IF(N212:N842=N212, S212:S842), 0.66), "High")</f>
        <v>Low</v>
      </c>
      <c r="P212" t="s">
        <v>945</v>
      </c>
      <c r="Q212" s="6">
        <v>90.3</v>
      </c>
      <c r="R212" s="6">
        <v>131.76</v>
      </c>
      <c r="S212" s="6">
        <v>131.76</v>
      </c>
      <c r="T212" s="9">
        <v>0.10199999999999999</v>
      </c>
      <c r="U212" s="9">
        <f>IF(T212&gt;0.3, $AO$4, T212)</f>
        <v>0.10199999999999999</v>
      </c>
      <c r="V212" s="7" t="str">
        <f t="shared" si="46"/>
        <v>Less than 20%</v>
      </c>
      <c r="W212" s="11">
        <v>15</v>
      </c>
      <c r="X212" s="6">
        <f t="shared" si="43"/>
        <v>1774.8072</v>
      </c>
      <c r="Y212" s="6">
        <f t="shared" si="44"/>
        <v>1354.5</v>
      </c>
      <c r="Z212" s="6">
        <f t="shared" si="47"/>
        <v>420.30719999999997</v>
      </c>
      <c r="AA212" s="9">
        <f t="shared" si="48"/>
        <v>0.23681851189244668</v>
      </c>
      <c r="AB212" s="9">
        <f>IF(U212&gt;'What-If Analysis'!$F$16, 'What-If Analysis'!$F$16,T212)</f>
        <v>0.10199999999999999</v>
      </c>
      <c r="AC212" s="42">
        <f>S212*(1-AB212)</f>
        <v>118.32047999999999</v>
      </c>
      <c r="AD212" s="42">
        <f>Q212*(1+'What-If Analysis'!F227)</f>
        <v>90.3</v>
      </c>
      <c r="AE212" s="41">
        <f>W212*(1+'What-If Analysis'!$F$18)</f>
        <v>17.549999999999997</v>
      </c>
      <c r="AF212" s="42">
        <f t="shared" si="49"/>
        <v>2076.5244239999993</v>
      </c>
      <c r="AG212" s="42">
        <f t="shared" si="50"/>
        <v>1584.7649999999996</v>
      </c>
      <c r="AH212" s="42">
        <f t="shared" si="51"/>
        <v>491.75942399999963</v>
      </c>
      <c r="AI212" s="44">
        <f t="shared" si="52"/>
        <v>0.2368185118924466</v>
      </c>
      <c r="AJ212" s="42">
        <f t="shared" si="53"/>
        <v>301.71722399999931</v>
      </c>
      <c r="AK212" s="42">
        <f t="shared" si="54"/>
        <v>420.30719999999997</v>
      </c>
      <c r="AL212" s="9">
        <f t="shared" si="55"/>
        <v>0</v>
      </c>
      <c r="AM212" s="42"/>
    </row>
    <row r="213" spans="1:39" x14ac:dyDescent="0.25">
      <c r="A213" t="s">
        <v>226</v>
      </c>
      <c r="B213" s="20">
        <v>45544</v>
      </c>
      <c r="C213" s="4">
        <v>45566</v>
      </c>
      <c r="D213" s="4" t="s">
        <v>1443</v>
      </c>
      <c r="E213" s="4">
        <v>45566</v>
      </c>
      <c r="F213" s="11">
        <f t="shared" si="42"/>
        <v>22</v>
      </c>
      <c r="G213" s="11" t="str">
        <f t="shared" si="45"/>
        <v>Does not Meet Target</v>
      </c>
      <c r="H213" t="s">
        <v>647</v>
      </c>
      <c r="I213" t="s">
        <v>659</v>
      </c>
      <c r="J213" t="s">
        <v>676</v>
      </c>
      <c r="K213" t="s">
        <v>704</v>
      </c>
      <c r="L213" t="s">
        <v>711</v>
      </c>
      <c r="M213" t="s">
        <v>716</v>
      </c>
      <c r="N213" t="s">
        <v>728</v>
      </c>
      <c r="O213" t="str" cm="1">
        <f t="array" ref="O213">_xlfn.IFS(S213&lt;=_xlfn.PERCENTILE.INC(IF(N213:N843=N213, S213:S843), 0.33), "Low", S213&lt;=_xlfn.PERCENTILE.INC(IF(N213:N843=N213, S213:S843), 0.66), "Medium", S213 &gt; _xlfn.PERCENTILE.INC(IF(N213:N843=N213, S213:S843), 0.66), "High")</f>
        <v>Medium</v>
      </c>
      <c r="P213" t="s">
        <v>946</v>
      </c>
      <c r="Q213" s="6">
        <v>1166.18</v>
      </c>
      <c r="R213" s="6">
        <v>1335.02</v>
      </c>
      <c r="S213" s="6">
        <v>1335.02</v>
      </c>
      <c r="T213" s="9">
        <v>0.128</v>
      </c>
      <c r="U213" s="9">
        <f>IF(T213&gt;0.3, $AO$4, T213)</f>
        <v>0.128</v>
      </c>
      <c r="V213" s="7" t="str">
        <f t="shared" si="46"/>
        <v>Less than 20%</v>
      </c>
      <c r="W213" s="11">
        <v>6</v>
      </c>
      <c r="X213" s="6">
        <f t="shared" si="43"/>
        <v>6984.8246399999998</v>
      </c>
      <c r="Y213" s="6">
        <f t="shared" si="44"/>
        <v>6997.08</v>
      </c>
      <c r="Z213" s="6">
        <f t="shared" si="47"/>
        <v>-12.25536000000011</v>
      </c>
      <c r="AA213" s="9">
        <f t="shared" si="48"/>
        <v>-1.7545694604582242E-3</v>
      </c>
      <c r="AB213" s="9">
        <f>IF(U213&gt;'What-If Analysis'!$F$16, 'What-If Analysis'!$F$16,T213)</f>
        <v>0.128</v>
      </c>
      <c r="AC213" s="42">
        <f>S213*(1-AB213)</f>
        <v>1164.13744</v>
      </c>
      <c r="AD213" s="42">
        <f>Q213*(1+'What-If Analysis'!F228)</f>
        <v>1166.18</v>
      </c>
      <c r="AE213" s="41">
        <f>W213*(1+'What-If Analysis'!$F$18)</f>
        <v>7.02</v>
      </c>
      <c r="AF213" s="42">
        <f t="shared" si="49"/>
        <v>8172.2448287999996</v>
      </c>
      <c r="AG213" s="42">
        <f t="shared" si="50"/>
        <v>8186.5835999999999</v>
      </c>
      <c r="AH213" s="42">
        <f t="shared" si="51"/>
        <v>-14.338771200000338</v>
      </c>
      <c r="AI213" s="44">
        <f t="shared" si="52"/>
        <v>-1.7545694604582497E-3</v>
      </c>
      <c r="AJ213" s="42">
        <f t="shared" si="53"/>
        <v>1187.4201887999998</v>
      </c>
      <c r="AK213" s="42">
        <f t="shared" si="54"/>
        <v>-12.25536000000011</v>
      </c>
      <c r="AL213" s="9">
        <f t="shared" si="55"/>
        <v>-2.5587171270657905E-17</v>
      </c>
      <c r="AM213" s="42"/>
    </row>
    <row r="214" spans="1:39" x14ac:dyDescent="0.25">
      <c r="A214" t="s">
        <v>227</v>
      </c>
      <c r="B214" s="20">
        <v>45686</v>
      </c>
      <c r="C214" s="4">
        <v>45694</v>
      </c>
      <c r="D214" s="4" t="s">
        <v>1437</v>
      </c>
      <c r="E214" s="4">
        <v>45694</v>
      </c>
      <c r="F214" s="11">
        <f t="shared" si="42"/>
        <v>8</v>
      </c>
      <c r="G214" s="11" t="str">
        <f t="shared" si="45"/>
        <v>Does not Meet Target</v>
      </c>
      <c r="H214" t="s">
        <v>646</v>
      </c>
      <c r="I214" t="s">
        <v>650</v>
      </c>
      <c r="J214" t="s">
        <v>662</v>
      </c>
      <c r="K214" t="s">
        <v>702</v>
      </c>
      <c r="L214" t="s">
        <v>707</v>
      </c>
      <c r="M214" t="s">
        <v>717</v>
      </c>
      <c r="N214" t="s">
        <v>730</v>
      </c>
      <c r="O214" t="str" cm="1">
        <f t="array" ref="O214">_xlfn.IFS(S214&lt;=_xlfn.PERCENTILE.INC(IF(N214:N844=N214, S214:S844), 0.33), "Low", S214&lt;=_xlfn.PERCENTILE.INC(IF(N214:N844=N214, S214:S844), 0.66), "Medium", S214 &gt; _xlfn.PERCENTILE.INC(IF(N214:N844=N214, S214:S844), 0.66), "High")</f>
        <v>High</v>
      </c>
      <c r="P214" t="s">
        <v>947</v>
      </c>
      <c r="Q214" s="6">
        <v>1445.27</v>
      </c>
      <c r="R214" s="6">
        <v>2691.45</v>
      </c>
      <c r="S214" s="6">
        <v>2691.45</v>
      </c>
      <c r="T214" s="9">
        <v>0</v>
      </c>
      <c r="U214" s="9">
        <f>IF(T214&gt;0.3, $AO$4, T214)</f>
        <v>0</v>
      </c>
      <c r="V214" s="7" t="str">
        <f t="shared" si="46"/>
        <v>Less than 20%</v>
      </c>
      <c r="W214" s="11">
        <v>9</v>
      </c>
      <c r="X214" s="6">
        <f t="shared" si="43"/>
        <v>24223.05</v>
      </c>
      <c r="Y214" s="6">
        <f t="shared" si="44"/>
        <v>13007.43</v>
      </c>
      <c r="Z214" s="6">
        <f t="shared" si="47"/>
        <v>11215.619999999999</v>
      </c>
      <c r="AA214" s="9">
        <f t="shared" si="48"/>
        <v>0.46301436028906351</v>
      </c>
      <c r="AB214" s="9">
        <f>IF(U214&gt;'What-If Analysis'!$F$16, 'What-If Analysis'!$F$16,T214)</f>
        <v>0</v>
      </c>
      <c r="AC214" s="42">
        <f>S214*(1-AB214)</f>
        <v>2691.45</v>
      </c>
      <c r="AD214" s="42">
        <f>Q214*(1+'What-If Analysis'!F229)</f>
        <v>1445.27</v>
      </c>
      <c r="AE214" s="41">
        <f>W214*(1+'What-If Analysis'!$F$18)</f>
        <v>10.53</v>
      </c>
      <c r="AF214" s="42">
        <f t="shared" si="49"/>
        <v>28340.968499999995</v>
      </c>
      <c r="AG214" s="42">
        <f t="shared" si="50"/>
        <v>15218.693099999999</v>
      </c>
      <c r="AH214" s="42">
        <f t="shared" si="51"/>
        <v>13122.275399999997</v>
      </c>
      <c r="AI214" s="44">
        <f t="shared" si="52"/>
        <v>0.46301436028906345</v>
      </c>
      <c r="AJ214" s="42">
        <f t="shared" si="53"/>
        <v>4117.9184999999961</v>
      </c>
      <c r="AK214" s="42">
        <f t="shared" si="54"/>
        <v>11215.619999999999</v>
      </c>
      <c r="AL214" s="9">
        <f t="shared" si="55"/>
        <v>0</v>
      </c>
      <c r="AM214" s="42"/>
    </row>
    <row r="215" spans="1:39" x14ac:dyDescent="0.25">
      <c r="A215" t="s">
        <v>228</v>
      </c>
      <c r="B215" s="20">
        <v>45240</v>
      </c>
      <c r="C215" s="4">
        <v>45258</v>
      </c>
      <c r="D215" s="4" t="s">
        <v>1438</v>
      </c>
      <c r="E215" s="4">
        <v>45258</v>
      </c>
      <c r="F215" s="11">
        <f t="shared" si="42"/>
        <v>18</v>
      </c>
      <c r="G215" s="11" t="str">
        <f t="shared" si="45"/>
        <v>Does not Meet Target</v>
      </c>
      <c r="H215" t="s">
        <v>648</v>
      </c>
      <c r="I215" t="s">
        <v>655</v>
      </c>
      <c r="J215" t="s">
        <v>672</v>
      </c>
      <c r="K215" t="s">
        <v>702</v>
      </c>
      <c r="L215" t="s">
        <v>709</v>
      </c>
      <c r="M215" t="s">
        <v>716</v>
      </c>
      <c r="N215" t="s">
        <v>733</v>
      </c>
      <c r="O215" t="str" cm="1">
        <f t="array" ref="O215">_xlfn.IFS(S215&lt;=_xlfn.PERCENTILE.INC(IF(N215:N845=N215, S215:S845), 0.33), "Low", S215&lt;=_xlfn.PERCENTILE.INC(IF(N215:N845=N215, S215:S845), 0.66), "Medium", S215 &gt; _xlfn.PERCENTILE.INC(IF(N215:N845=N215, S215:S845), 0.66), "High")</f>
        <v>Low</v>
      </c>
      <c r="P215" t="s">
        <v>948</v>
      </c>
      <c r="Q215" s="6">
        <v>388.51</v>
      </c>
      <c r="R215" s="6">
        <v>776.46</v>
      </c>
      <c r="S215" s="6">
        <v>776.46</v>
      </c>
      <c r="T215" s="9">
        <v>0.157</v>
      </c>
      <c r="U215" s="9">
        <f>IF(T215&gt;0.3, $AO$4, T215)</f>
        <v>0.157</v>
      </c>
      <c r="V215" s="7" t="str">
        <f t="shared" si="46"/>
        <v>Less than 20%</v>
      </c>
      <c r="W215" s="11">
        <v>12</v>
      </c>
      <c r="X215" s="6">
        <f t="shared" si="43"/>
        <v>7854.6693599999999</v>
      </c>
      <c r="Y215" s="6">
        <f t="shared" si="44"/>
        <v>4662.12</v>
      </c>
      <c r="Z215" s="6">
        <f t="shared" si="47"/>
        <v>3192.54936</v>
      </c>
      <c r="AA215" s="9">
        <f t="shared" si="48"/>
        <v>0.40645241876864946</v>
      </c>
      <c r="AB215" s="9">
        <f>IF(U215&gt;'What-If Analysis'!$F$16, 'What-If Analysis'!$F$16,T215)</f>
        <v>0.157</v>
      </c>
      <c r="AC215" s="42">
        <f>S215*(1-AB215)</f>
        <v>654.55578000000003</v>
      </c>
      <c r="AD215" s="42">
        <f>Q215*(1+'What-If Analysis'!F230)</f>
        <v>388.51</v>
      </c>
      <c r="AE215" s="41">
        <f>W215*(1+'What-If Analysis'!$F$18)</f>
        <v>14.04</v>
      </c>
      <c r="AF215" s="42">
        <f t="shared" si="49"/>
        <v>9189.9631511999996</v>
      </c>
      <c r="AG215" s="42">
        <f t="shared" si="50"/>
        <v>5454.6803999999993</v>
      </c>
      <c r="AH215" s="42">
        <f t="shared" si="51"/>
        <v>3735.2827512000003</v>
      </c>
      <c r="AI215" s="44">
        <f t="shared" si="52"/>
        <v>0.40645241876864951</v>
      </c>
      <c r="AJ215" s="42">
        <f t="shared" si="53"/>
        <v>1335.2937911999998</v>
      </c>
      <c r="AK215" s="42">
        <f t="shared" si="54"/>
        <v>3192.54936</v>
      </c>
      <c r="AL215" s="9">
        <f t="shared" si="55"/>
        <v>0</v>
      </c>
      <c r="AM215" s="42"/>
    </row>
    <row r="216" spans="1:39" x14ac:dyDescent="0.25">
      <c r="A216" t="s">
        <v>229</v>
      </c>
      <c r="B216" s="20">
        <v>45351</v>
      </c>
      <c r="C216" s="4">
        <v>45381</v>
      </c>
      <c r="D216" s="4" t="s">
        <v>1434</v>
      </c>
      <c r="E216" s="4">
        <v>45381</v>
      </c>
      <c r="F216" s="11">
        <f t="shared" si="42"/>
        <v>30</v>
      </c>
      <c r="G216" s="11" t="str">
        <f t="shared" si="45"/>
        <v>Does not Meet Target</v>
      </c>
      <c r="H216" t="s">
        <v>647</v>
      </c>
      <c r="I216" t="s">
        <v>652</v>
      </c>
      <c r="J216" t="s">
        <v>694</v>
      </c>
      <c r="K216" t="s">
        <v>705</v>
      </c>
      <c r="L216" t="s">
        <v>711</v>
      </c>
      <c r="M216" t="s">
        <v>714</v>
      </c>
      <c r="N216" t="s">
        <v>729</v>
      </c>
      <c r="O216" t="str" cm="1">
        <f t="array" ref="O216">_xlfn.IFS(S216&lt;=_xlfn.PERCENTILE.INC(IF(N216:N846=N216, S216:S846), 0.33), "Low", S216&lt;=_xlfn.PERCENTILE.INC(IF(N216:N846=N216, S216:S846), 0.66), "Medium", S216 &gt; _xlfn.PERCENTILE.INC(IF(N216:N846=N216, S216:S846), 0.66), "High")</f>
        <v>Low</v>
      </c>
      <c r="P216" t="s">
        <v>949</v>
      </c>
      <c r="Q216" s="6">
        <v>231.11</v>
      </c>
      <c r="R216" s="6">
        <v>318.17</v>
      </c>
      <c r="S216" s="6">
        <v>318.17</v>
      </c>
      <c r="T216" s="9">
        <v>0.20100000000000001</v>
      </c>
      <c r="U216" s="9">
        <f>IF(T216&gt;0.3, $AO$4, T216)</f>
        <v>0.20100000000000001</v>
      </c>
      <c r="V216" s="7" t="str">
        <f t="shared" si="46"/>
        <v>Greater than 20%</v>
      </c>
      <c r="W216" s="11">
        <v>60</v>
      </c>
      <c r="X216" s="6">
        <f t="shared" si="43"/>
        <v>15253.069799999999</v>
      </c>
      <c r="Y216" s="6">
        <f t="shared" si="44"/>
        <v>13866.6</v>
      </c>
      <c r="Z216" s="6">
        <f t="shared" si="47"/>
        <v>1386.4697999999989</v>
      </c>
      <c r="AA216" s="9">
        <f t="shared" si="48"/>
        <v>9.0897754889969692E-2</v>
      </c>
      <c r="AB216" s="9">
        <f>IF(U216&gt;'What-If Analysis'!$F$16, 'What-If Analysis'!$F$16,T216)</f>
        <v>0.17</v>
      </c>
      <c r="AC216" s="42">
        <f>S216*(1-AB216)</f>
        <v>264.08109999999999</v>
      </c>
      <c r="AD216" s="42">
        <f>Q216*(1+'What-If Analysis'!F231)</f>
        <v>231.11</v>
      </c>
      <c r="AE216" s="41">
        <f>W216*(1+'What-If Analysis'!$F$18)</f>
        <v>70.199999999999989</v>
      </c>
      <c r="AF216" s="42">
        <f t="shared" si="49"/>
        <v>18538.493219999997</v>
      </c>
      <c r="AG216" s="42">
        <f t="shared" si="50"/>
        <v>16223.921999999999</v>
      </c>
      <c r="AH216" s="42">
        <f t="shared" si="51"/>
        <v>2314.571219999998</v>
      </c>
      <c r="AI216" s="44">
        <f t="shared" si="52"/>
        <v>0.12485217609287441</v>
      </c>
      <c r="AJ216" s="42">
        <f t="shared" si="53"/>
        <v>3285.4234199999973</v>
      </c>
      <c r="AK216" s="42">
        <f t="shared" si="54"/>
        <v>1386.4697999999989</v>
      </c>
      <c r="AL216" s="9">
        <f t="shared" si="55"/>
        <v>3.3954421202904719E-2</v>
      </c>
      <c r="AM216" s="42"/>
    </row>
    <row r="217" spans="1:39" x14ac:dyDescent="0.25">
      <c r="A217" t="s">
        <v>230</v>
      </c>
      <c r="B217" s="20">
        <v>45280</v>
      </c>
      <c r="C217" s="4">
        <v>45305</v>
      </c>
      <c r="D217" s="4" t="s">
        <v>1438</v>
      </c>
      <c r="E217" s="4">
        <v>45305</v>
      </c>
      <c r="F217" s="11">
        <f t="shared" si="42"/>
        <v>25</v>
      </c>
      <c r="G217" s="11" t="str">
        <f t="shared" si="45"/>
        <v>Does not Meet Target</v>
      </c>
      <c r="H217" t="s">
        <v>647</v>
      </c>
      <c r="I217" t="s">
        <v>654</v>
      </c>
      <c r="J217" t="s">
        <v>691</v>
      </c>
      <c r="K217" t="s">
        <v>703</v>
      </c>
      <c r="L217" t="s">
        <v>709</v>
      </c>
      <c r="M217" t="s">
        <v>716</v>
      </c>
      <c r="N217" t="s">
        <v>732</v>
      </c>
      <c r="O217" t="str" cm="1">
        <f t="array" ref="O217">_xlfn.IFS(S217&lt;=_xlfn.PERCENTILE.INC(IF(N217:N847=N217, S217:S847), 0.33), "Low", S217&lt;=_xlfn.PERCENTILE.INC(IF(N217:N847=N217, S217:S847), 0.66), "Medium", S217 &gt; _xlfn.PERCENTILE.INC(IF(N217:N847=N217, S217:S847), 0.66), "High")</f>
        <v>Medium</v>
      </c>
      <c r="P217" t="s">
        <v>950</v>
      </c>
      <c r="Q217" s="6">
        <v>1085.6099999999999</v>
      </c>
      <c r="R217" s="6">
        <v>1246.4100000000001</v>
      </c>
      <c r="S217" s="6">
        <v>1246.4100000000001</v>
      </c>
      <c r="T217" s="9">
        <v>0.113</v>
      </c>
      <c r="U217" s="9">
        <f>IF(T217&gt;0.3, $AO$4, T217)</f>
        <v>0.113</v>
      </c>
      <c r="V217" s="7" t="str">
        <f t="shared" si="46"/>
        <v>Less than 20%</v>
      </c>
      <c r="W217" s="11">
        <v>7</v>
      </c>
      <c r="X217" s="6">
        <f t="shared" si="43"/>
        <v>7738.9596900000006</v>
      </c>
      <c r="Y217" s="6">
        <f t="shared" si="44"/>
        <v>7599.2699999999995</v>
      </c>
      <c r="Z217" s="6">
        <f t="shared" si="47"/>
        <v>139.68969000000106</v>
      </c>
      <c r="AA217" s="9">
        <f t="shared" si="48"/>
        <v>1.8050189637310417E-2</v>
      </c>
      <c r="AB217" s="9">
        <f>IF(U217&gt;'What-If Analysis'!$F$16, 'What-If Analysis'!$F$16,T217)</f>
        <v>0.113</v>
      </c>
      <c r="AC217" s="42">
        <f>S217*(1-AB217)</f>
        <v>1105.5656700000002</v>
      </c>
      <c r="AD217" s="42">
        <f>Q217*(1+'What-If Analysis'!F232)</f>
        <v>1085.6099999999999</v>
      </c>
      <c r="AE217" s="41">
        <f>W217*(1+'What-If Analysis'!$F$18)</f>
        <v>8.19</v>
      </c>
      <c r="AF217" s="42">
        <f t="shared" si="49"/>
        <v>9054.5828373000004</v>
      </c>
      <c r="AG217" s="42">
        <f t="shared" si="50"/>
        <v>8891.1458999999995</v>
      </c>
      <c r="AH217" s="42">
        <f t="shared" si="51"/>
        <v>163.43693730000086</v>
      </c>
      <c r="AI217" s="44">
        <f t="shared" si="52"/>
        <v>1.8050189637310379E-2</v>
      </c>
      <c r="AJ217" s="42">
        <f t="shared" si="53"/>
        <v>1315.6231472999998</v>
      </c>
      <c r="AK217" s="42">
        <f t="shared" si="54"/>
        <v>139.68969000000106</v>
      </c>
      <c r="AL217" s="9">
        <f t="shared" si="55"/>
        <v>-3.8163916471489756E-17</v>
      </c>
      <c r="AM217" s="42"/>
    </row>
    <row r="218" spans="1:39" x14ac:dyDescent="0.25">
      <c r="A218" t="s">
        <v>231</v>
      </c>
      <c r="B218" s="20">
        <v>44948</v>
      </c>
      <c r="C218" s="4">
        <v>44947</v>
      </c>
      <c r="D218" s="4" t="s">
        <v>1436</v>
      </c>
      <c r="E218" s="4">
        <v>44967</v>
      </c>
      <c r="F218" s="11">
        <f t="shared" si="42"/>
        <v>19</v>
      </c>
      <c r="G218" s="11" t="str">
        <f t="shared" si="45"/>
        <v>Does not Meet Target</v>
      </c>
      <c r="H218" t="s">
        <v>649</v>
      </c>
      <c r="I218" t="s">
        <v>656</v>
      </c>
      <c r="J218" t="s">
        <v>684</v>
      </c>
      <c r="K218" t="s">
        <v>701</v>
      </c>
      <c r="L218" t="s">
        <v>711</v>
      </c>
      <c r="M218" t="s">
        <v>721</v>
      </c>
      <c r="N218" t="s">
        <v>732</v>
      </c>
      <c r="O218" t="str" cm="1">
        <f t="array" ref="O218">_xlfn.IFS(S218&lt;=_xlfn.PERCENTILE.INC(IF(N218:N848=N218, S218:S848), 0.33), "Low", S218&lt;=_xlfn.PERCENTILE.INC(IF(N218:N848=N218, S218:S848), 0.66), "Medium", S218 &gt; _xlfn.PERCENTILE.INC(IF(N218:N848=N218, S218:S848), 0.66), "High")</f>
        <v>Low</v>
      </c>
      <c r="P218" t="s">
        <v>951</v>
      </c>
      <c r="Q218" s="6">
        <v>150.86000000000001</v>
      </c>
      <c r="R218" s="6">
        <v>346.96</v>
      </c>
      <c r="S218" s="6">
        <v>346.96</v>
      </c>
      <c r="T218" s="9">
        <v>0.19600000000000001</v>
      </c>
      <c r="U218" s="9">
        <f>IF(T218&gt;0.3, $AO$4, T218)</f>
        <v>0.19600000000000001</v>
      </c>
      <c r="V218" s="7" t="str">
        <f t="shared" si="46"/>
        <v>Less than 20%</v>
      </c>
      <c r="W218" s="11">
        <v>8</v>
      </c>
      <c r="X218" s="6">
        <f t="shared" si="43"/>
        <v>2231.6467200000002</v>
      </c>
      <c r="Y218" s="6">
        <f t="shared" si="44"/>
        <v>1206.8800000000001</v>
      </c>
      <c r="Z218" s="6">
        <f t="shared" si="47"/>
        <v>1024.7667200000001</v>
      </c>
      <c r="AA218" s="9">
        <f t="shared" si="48"/>
        <v>0.45919755614365343</v>
      </c>
      <c r="AB218" s="9">
        <f>IF(U218&gt;'What-If Analysis'!$F$16, 'What-If Analysis'!$F$16,T218)</f>
        <v>0.17</v>
      </c>
      <c r="AC218" s="42">
        <f>S218*(1-AB218)</f>
        <v>287.97679999999997</v>
      </c>
      <c r="AD218" s="42">
        <f>Q218*(1+'What-If Analysis'!F233)</f>
        <v>150.86000000000001</v>
      </c>
      <c r="AE218" s="41">
        <f>W218*(1+'What-If Analysis'!$F$18)</f>
        <v>9.36</v>
      </c>
      <c r="AF218" s="42">
        <f t="shared" si="49"/>
        <v>2695.4628479999997</v>
      </c>
      <c r="AG218" s="42">
        <f t="shared" si="50"/>
        <v>1412.0496000000001</v>
      </c>
      <c r="AH218" s="42">
        <f t="shared" si="51"/>
        <v>1283.4132479999996</v>
      </c>
      <c r="AI218" s="44">
        <f t="shared" si="52"/>
        <v>0.47613835558975576</v>
      </c>
      <c r="AJ218" s="42">
        <f t="shared" si="53"/>
        <v>463.81612799999948</v>
      </c>
      <c r="AK218" s="42">
        <f t="shared" si="54"/>
        <v>1024.7667200000001</v>
      </c>
      <c r="AL218" s="9">
        <f t="shared" si="55"/>
        <v>1.6940799446102328E-2</v>
      </c>
      <c r="AM218" s="42"/>
    </row>
    <row r="219" spans="1:39" x14ac:dyDescent="0.25">
      <c r="A219" t="s">
        <v>232</v>
      </c>
      <c r="B219" s="20">
        <v>45576</v>
      </c>
      <c r="C219" s="4">
        <v>45605</v>
      </c>
      <c r="D219" s="4" t="s">
        <v>1435</v>
      </c>
      <c r="E219" s="4">
        <v>45605</v>
      </c>
      <c r="F219" s="11">
        <f t="shared" si="42"/>
        <v>29</v>
      </c>
      <c r="G219" s="11" t="str">
        <f t="shared" si="45"/>
        <v>Does not Meet Target</v>
      </c>
      <c r="H219" t="s">
        <v>647</v>
      </c>
      <c r="I219" t="s">
        <v>659</v>
      </c>
      <c r="J219" t="s">
        <v>685</v>
      </c>
      <c r="K219" t="s">
        <v>703</v>
      </c>
      <c r="L219" t="s">
        <v>708</v>
      </c>
      <c r="M219" t="s">
        <v>721</v>
      </c>
      <c r="N219" t="s">
        <v>728</v>
      </c>
      <c r="O219" t="str" cm="1">
        <f t="array" ref="O219">_xlfn.IFS(S219&lt;=_xlfn.PERCENTILE.INC(IF(N219:N849=N219, S219:S849), 0.33), "Low", S219&lt;=_xlfn.PERCENTILE.INC(IF(N219:N849=N219, S219:S849), 0.66), "Medium", S219 &gt; _xlfn.PERCENTILE.INC(IF(N219:N849=N219, S219:S849), 0.66), "High")</f>
        <v>Low</v>
      </c>
      <c r="P219" t="s">
        <v>952</v>
      </c>
      <c r="Q219" s="6">
        <v>391.64</v>
      </c>
      <c r="R219" s="6">
        <v>504.76</v>
      </c>
      <c r="S219" s="6">
        <v>504.76</v>
      </c>
      <c r="T219" s="9">
        <v>4.0000000000000001E-3</v>
      </c>
      <c r="U219" s="9">
        <f>IF(T219&gt;0.3, $AO$4, T219)</f>
        <v>4.0000000000000001E-3</v>
      </c>
      <c r="V219" s="7" t="str">
        <f t="shared" si="46"/>
        <v>Less than 20%</v>
      </c>
      <c r="W219" s="11">
        <v>13</v>
      </c>
      <c r="X219" s="6">
        <f t="shared" si="43"/>
        <v>6535.6324800000002</v>
      </c>
      <c r="Y219" s="6">
        <f t="shared" si="44"/>
        <v>5091.32</v>
      </c>
      <c r="Z219" s="6">
        <f t="shared" si="47"/>
        <v>1444.3124800000005</v>
      </c>
      <c r="AA219" s="9">
        <f t="shared" si="48"/>
        <v>0.22099046793402319</v>
      </c>
      <c r="AB219" s="9">
        <f>IF(U219&gt;'What-If Analysis'!$F$16, 'What-If Analysis'!$F$16,T219)</f>
        <v>4.0000000000000001E-3</v>
      </c>
      <c r="AC219" s="42">
        <f>S219*(1-AB219)</f>
        <v>502.74095999999997</v>
      </c>
      <c r="AD219" s="42">
        <f>Q219*(1+'What-If Analysis'!F234)</f>
        <v>391.64</v>
      </c>
      <c r="AE219" s="41">
        <f>W219*(1+'What-If Analysis'!$F$18)</f>
        <v>15.209999999999999</v>
      </c>
      <c r="AF219" s="42">
        <f t="shared" si="49"/>
        <v>7646.6900015999991</v>
      </c>
      <c r="AG219" s="42">
        <f t="shared" si="50"/>
        <v>5956.844399999999</v>
      </c>
      <c r="AH219" s="42">
        <f t="shared" si="51"/>
        <v>1689.8456016</v>
      </c>
      <c r="AI219" s="44">
        <f t="shared" si="52"/>
        <v>0.22099046793402316</v>
      </c>
      <c r="AJ219" s="42">
        <f t="shared" si="53"/>
        <v>1111.0575215999988</v>
      </c>
      <c r="AK219" s="42">
        <f t="shared" si="54"/>
        <v>1444.3124800000005</v>
      </c>
      <c r="AL219" s="9">
        <f t="shared" si="55"/>
        <v>0</v>
      </c>
      <c r="AM219" s="42"/>
    </row>
    <row r="220" spans="1:39" x14ac:dyDescent="0.25">
      <c r="A220" t="s">
        <v>233</v>
      </c>
      <c r="B220" s="20">
        <v>45554</v>
      </c>
      <c r="C220" s="4">
        <v>45579</v>
      </c>
      <c r="D220" s="4" t="s">
        <v>1443</v>
      </c>
      <c r="E220" s="4">
        <v>45579</v>
      </c>
      <c r="F220" s="11">
        <f t="shared" si="42"/>
        <v>25</v>
      </c>
      <c r="G220" s="11" t="str">
        <f t="shared" si="45"/>
        <v>Does not Meet Target</v>
      </c>
      <c r="H220" t="s">
        <v>648</v>
      </c>
      <c r="I220" t="s">
        <v>655</v>
      </c>
      <c r="J220" t="s">
        <v>692</v>
      </c>
      <c r="K220" t="s">
        <v>705</v>
      </c>
      <c r="L220" t="s">
        <v>707</v>
      </c>
      <c r="M220" t="s">
        <v>723</v>
      </c>
      <c r="N220" t="s">
        <v>728</v>
      </c>
      <c r="O220" t="str" cm="1">
        <f t="array" ref="O220">_xlfn.IFS(S220&lt;=_xlfn.PERCENTILE.INC(IF(N220:N850=N220, S220:S850), 0.33), "Low", S220&lt;=_xlfn.PERCENTILE.INC(IF(N220:N850=N220, S220:S850), 0.66), "Medium", S220 &gt; _xlfn.PERCENTILE.INC(IF(N220:N850=N220, S220:S850), 0.66), "High")</f>
        <v>Medium</v>
      </c>
      <c r="P220" t="s">
        <v>953</v>
      </c>
      <c r="Q220" s="6">
        <v>386.96</v>
      </c>
      <c r="R220" s="6">
        <v>937.46</v>
      </c>
      <c r="S220" s="6">
        <v>937.46</v>
      </c>
      <c r="T220" s="9">
        <v>0.26600000000000001</v>
      </c>
      <c r="U220" s="9">
        <f>IF(T220&gt;0.3, $AO$4, T220)</f>
        <v>0.26600000000000001</v>
      </c>
      <c r="V220" s="7" t="str">
        <f t="shared" si="46"/>
        <v>Greater than 20%</v>
      </c>
      <c r="W220" s="11">
        <v>41</v>
      </c>
      <c r="X220" s="6">
        <f t="shared" si="43"/>
        <v>28211.92124</v>
      </c>
      <c r="Y220" s="6">
        <f t="shared" si="44"/>
        <v>15865.359999999999</v>
      </c>
      <c r="Z220" s="6">
        <f t="shared" si="47"/>
        <v>12346.561240000001</v>
      </c>
      <c r="AA220" s="9">
        <f t="shared" si="48"/>
        <v>0.43763631462626335</v>
      </c>
      <c r="AB220" s="9">
        <f>IF(U220&gt;'What-If Analysis'!$F$16, 'What-If Analysis'!$F$16,T220)</f>
        <v>0.17</v>
      </c>
      <c r="AC220" s="42">
        <f>S220*(1-AB220)</f>
        <v>778.09180000000003</v>
      </c>
      <c r="AD220" s="42">
        <f>Q220*(1+'What-If Analysis'!F235)</f>
        <v>386.96</v>
      </c>
      <c r="AE220" s="41">
        <f>W220*(1+'What-If Analysis'!$F$18)</f>
        <v>47.97</v>
      </c>
      <c r="AF220" s="42">
        <f t="shared" si="49"/>
        <v>37325.063646000002</v>
      </c>
      <c r="AG220" s="42">
        <f t="shared" si="50"/>
        <v>18562.4712</v>
      </c>
      <c r="AH220" s="42">
        <f t="shared" si="51"/>
        <v>18762.592446000002</v>
      </c>
      <c r="AI220" s="44">
        <f t="shared" si="52"/>
        <v>0.50268078907912928</v>
      </c>
      <c r="AJ220" s="42">
        <f t="shared" si="53"/>
        <v>9113.1424060000027</v>
      </c>
      <c r="AK220" s="42">
        <f t="shared" si="54"/>
        <v>12346.561240000001</v>
      </c>
      <c r="AL220" s="9">
        <f t="shared" si="55"/>
        <v>6.504447445286593E-2</v>
      </c>
      <c r="AM220" s="42"/>
    </row>
    <row r="221" spans="1:39" x14ac:dyDescent="0.25">
      <c r="A221" t="s">
        <v>234</v>
      </c>
      <c r="B221" s="20">
        <v>45894</v>
      </c>
      <c r="C221" s="4">
        <v>45924</v>
      </c>
      <c r="D221" s="4" t="s">
        <v>1441</v>
      </c>
      <c r="E221" s="4">
        <v>45924</v>
      </c>
      <c r="F221" s="11">
        <f t="shared" si="42"/>
        <v>30</v>
      </c>
      <c r="G221" s="11" t="str">
        <f t="shared" si="45"/>
        <v>Does not Meet Target</v>
      </c>
      <c r="H221" t="s">
        <v>646</v>
      </c>
      <c r="I221" t="s">
        <v>650</v>
      </c>
      <c r="J221" t="s">
        <v>664</v>
      </c>
      <c r="K221" t="s">
        <v>704</v>
      </c>
      <c r="L221" t="s">
        <v>711</v>
      </c>
      <c r="M221" t="s">
        <v>717</v>
      </c>
      <c r="N221" t="s">
        <v>727</v>
      </c>
      <c r="O221" t="str" cm="1">
        <f t="array" ref="O221">_xlfn.IFS(S221&lt;=_xlfn.PERCENTILE.INC(IF(N221:N851=N221, S221:S851), 0.33), "Low", S221&lt;=_xlfn.PERCENTILE.INC(IF(N221:N851=N221, S221:S851), 0.66), "Medium", S221 &gt; _xlfn.PERCENTILE.INC(IF(N221:N851=N221, S221:S851), 0.66), "High")</f>
        <v>Medium</v>
      </c>
      <c r="P221" t="s">
        <v>954</v>
      </c>
      <c r="Q221" s="6">
        <v>589.14</v>
      </c>
      <c r="R221" s="6">
        <v>1300.58</v>
      </c>
      <c r="S221" s="6">
        <v>1300.58</v>
      </c>
      <c r="T221" s="9">
        <v>5.5E-2</v>
      </c>
      <c r="U221" s="9">
        <f>IF(T221&gt;0.3, $AO$4, T221)</f>
        <v>5.5E-2</v>
      </c>
      <c r="V221" s="7" t="str">
        <f t="shared" si="46"/>
        <v>Less than 20%</v>
      </c>
      <c r="W221" s="11">
        <v>11</v>
      </c>
      <c r="X221" s="6">
        <f t="shared" si="43"/>
        <v>13519.529099999998</v>
      </c>
      <c r="Y221" s="6">
        <f t="shared" si="44"/>
        <v>6480.54</v>
      </c>
      <c r="Z221" s="6">
        <f t="shared" si="47"/>
        <v>7038.989099999998</v>
      </c>
      <c r="AA221" s="9">
        <f t="shared" si="48"/>
        <v>0.52065342275863724</v>
      </c>
      <c r="AB221" s="9">
        <f>IF(U221&gt;'What-If Analysis'!$F$16, 'What-If Analysis'!$F$16,T221)</f>
        <v>5.5E-2</v>
      </c>
      <c r="AC221" s="42">
        <f>S221*(1-AB221)</f>
        <v>1229.0481</v>
      </c>
      <c r="AD221" s="42">
        <f>Q221*(1+'What-If Analysis'!F236)</f>
        <v>589.14</v>
      </c>
      <c r="AE221" s="41">
        <f>W221*(1+'What-If Analysis'!$F$18)</f>
        <v>12.87</v>
      </c>
      <c r="AF221" s="42">
        <f t="shared" si="49"/>
        <v>15817.849046999998</v>
      </c>
      <c r="AG221" s="42">
        <f t="shared" si="50"/>
        <v>7582.2317999999996</v>
      </c>
      <c r="AH221" s="42">
        <f t="shared" si="51"/>
        <v>8235.6172469999983</v>
      </c>
      <c r="AI221" s="44">
        <f t="shared" si="52"/>
        <v>0.52065342275863735</v>
      </c>
      <c r="AJ221" s="42">
        <f t="shared" si="53"/>
        <v>2298.319947</v>
      </c>
      <c r="AK221" s="42">
        <f t="shared" si="54"/>
        <v>7038.989099999998</v>
      </c>
      <c r="AL221" s="9">
        <f t="shared" si="55"/>
        <v>0</v>
      </c>
      <c r="AM221" s="42"/>
    </row>
    <row r="222" spans="1:39" x14ac:dyDescent="0.25">
      <c r="A222" t="s">
        <v>235</v>
      </c>
      <c r="B222" s="20">
        <v>45194</v>
      </c>
      <c r="C222" s="4">
        <v>45201</v>
      </c>
      <c r="D222" s="4" t="s">
        <v>1444</v>
      </c>
      <c r="E222" s="4">
        <v>45201</v>
      </c>
      <c r="F222" s="11">
        <f t="shared" si="42"/>
        <v>7</v>
      </c>
      <c r="G222" s="11" t="str">
        <f t="shared" si="45"/>
        <v>Meets Target</v>
      </c>
      <c r="H222" t="s">
        <v>648</v>
      </c>
      <c r="I222" t="s">
        <v>660</v>
      </c>
      <c r="J222" t="s">
        <v>700</v>
      </c>
      <c r="K222" t="s">
        <v>702</v>
      </c>
      <c r="L222" t="s">
        <v>709</v>
      </c>
      <c r="M222" t="s">
        <v>714</v>
      </c>
      <c r="N222" t="s">
        <v>733</v>
      </c>
      <c r="O222" t="str" cm="1">
        <f t="array" ref="O222">_xlfn.IFS(S222&lt;=_xlfn.PERCENTILE.INC(IF(N222:N852=N222, S222:S852), 0.33), "Low", S222&lt;=_xlfn.PERCENTILE.INC(IF(N222:N852=N222, S222:S852), 0.66), "Medium", S222 &gt; _xlfn.PERCENTILE.INC(IF(N222:N852=N222, S222:S852), 0.66), "High")</f>
        <v>Low</v>
      </c>
      <c r="P222" t="s">
        <v>955</v>
      </c>
      <c r="Q222" s="6">
        <v>145.58000000000001</v>
      </c>
      <c r="R222" s="6">
        <v>228.15</v>
      </c>
      <c r="S222" s="6">
        <v>228.15</v>
      </c>
      <c r="T222" s="9">
        <v>0.20399999999999999</v>
      </c>
      <c r="U222" s="9">
        <f>IF(T222&gt;0.3, $AO$4, T222)</f>
        <v>0.20399999999999999</v>
      </c>
      <c r="V222" s="7" t="str">
        <f t="shared" si="46"/>
        <v>Greater than 20%</v>
      </c>
      <c r="W222" s="11">
        <v>5</v>
      </c>
      <c r="X222" s="6">
        <f t="shared" si="43"/>
        <v>908.03700000000003</v>
      </c>
      <c r="Y222" s="6">
        <f t="shared" si="44"/>
        <v>727.90000000000009</v>
      </c>
      <c r="Z222" s="6">
        <f t="shared" si="47"/>
        <v>180.13699999999994</v>
      </c>
      <c r="AA222" s="9">
        <f t="shared" si="48"/>
        <v>0.19838068272548359</v>
      </c>
      <c r="AB222" s="9">
        <f>IF(U222&gt;'What-If Analysis'!$F$16, 'What-If Analysis'!$F$16,T222)</f>
        <v>0.17</v>
      </c>
      <c r="AC222" s="42">
        <f>S222*(1-AB222)</f>
        <v>189.36449999999999</v>
      </c>
      <c r="AD222" s="42">
        <f>Q222*(1+'What-If Analysis'!F237)</f>
        <v>145.58000000000001</v>
      </c>
      <c r="AE222" s="41">
        <f>W222*(1+'What-If Analysis'!$F$18)</f>
        <v>5.85</v>
      </c>
      <c r="AF222" s="42">
        <f t="shared" si="49"/>
        <v>1107.7823249999999</v>
      </c>
      <c r="AG222" s="42">
        <f t="shared" si="50"/>
        <v>851.64300000000003</v>
      </c>
      <c r="AH222" s="42">
        <f t="shared" si="51"/>
        <v>256.13932499999987</v>
      </c>
      <c r="AI222" s="44">
        <f t="shared" si="52"/>
        <v>0.23121810054154809</v>
      </c>
      <c r="AJ222" s="42">
        <f t="shared" si="53"/>
        <v>199.74532499999987</v>
      </c>
      <c r="AK222" s="42">
        <f t="shared" si="54"/>
        <v>180.13699999999994</v>
      </c>
      <c r="AL222" s="9">
        <f t="shared" si="55"/>
        <v>3.2837417816064501E-2</v>
      </c>
      <c r="AM222" s="42"/>
    </row>
    <row r="223" spans="1:39" x14ac:dyDescent="0.25">
      <c r="A223" t="s">
        <v>236</v>
      </c>
      <c r="B223" s="20">
        <v>45164</v>
      </c>
      <c r="C223" s="4">
        <v>45179</v>
      </c>
      <c r="D223" s="4" t="s">
        <v>1444</v>
      </c>
      <c r="E223" s="4">
        <v>45179</v>
      </c>
      <c r="F223" s="11">
        <f t="shared" si="42"/>
        <v>15</v>
      </c>
      <c r="G223" s="11" t="str">
        <f t="shared" si="45"/>
        <v>Does not Meet Target</v>
      </c>
      <c r="H223" t="s">
        <v>646</v>
      </c>
      <c r="I223" t="s">
        <v>661</v>
      </c>
      <c r="J223" t="s">
        <v>695</v>
      </c>
      <c r="K223" t="s">
        <v>703</v>
      </c>
      <c r="L223" t="s">
        <v>711</v>
      </c>
      <c r="M223" t="s">
        <v>725</v>
      </c>
      <c r="N223" t="s">
        <v>727</v>
      </c>
      <c r="O223" t="str" cm="1">
        <f t="array" ref="O223">_xlfn.IFS(S223&lt;=_xlfn.PERCENTILE.INC(IF(N223:N853=N223, S223:S853), 0.33), "Low", S223&lt;=_xlfn.PERCENTILE.INC(IF(N223:N853=N223, S223:S853), 0.66), "Medium", S223 &gt; _xlfn.PERCENTILE.INC(IF(N223:N853=N223, S223:S853), 0.66), "High")</f>
        <v>Low</v>
      </c>
      <c r="P223" t="s">
        <v>956</v>
      </c>
      <c r="Q223" s="6">
        <v>241.14</v>
      </c>
      <c r="R223" s="6">
        <v>496.52</v>
      </c>
      <c r="S223" s="6">
        <v>496.52</v>
      </c>
      <c r="T223" s="9">
        <v>9.2999999999999999E-2</v>
      </c>
      <c r="U223" s="9">
        <f>IF(T223&gt;0.3, $AO$4, T223)</f>
        <v>9.2999999999999999E-2</v>
      </c>
      <c r="V223" s="7" t="str">
        <f t="shared" si="46"/>
        <v>Less than 20%</v>
      </c>
      <c r="W223" s="11">
        <v>10</v>
      </c>
      <c r="X223" s="6">
        <f t="shared" si="43"/>
        <v>4503.4363999999996</v>
      </c>
      <c r="Y223" s="6">
        <f t="shared" si="44"/>
        <v>2411.3999999999996</v>
      </c>
      <c r="Z223" s="6">
        <f t="shared" si="47"/>
        <v>2092.0364</v>
      </c>
      <c r="AA223" s="9">
        <f t="shared" si="48"/>
        <v>0.46454223268257994</v>
      </c>
      <c r="AB223" s="9">
        <f>IF(U223&gt;'What-If Analysis'!$F$16, 'What-If Analysis'!$F$16,T223)</f>
        <v>9.2999999999999999E-2</v>
      </c>
      <c r="AC223" s="42">
        <f>S223*(1-AB223)</f>
        <v>450.34363999999999</v>
      </c>
      <c r="AD223" s="42">
        <f>Q223*(1+'What-If Analysis'!F238)</f>
        <v>241.14</v>
      </c>
      <c r="AE223" s="41">
        <f>W223*(1+'What-If Analysis'!$F$18)</f>
        <v>11.7</v>
      </c>
      <c r="AF223" s="42">
        <f t="shared" si="49"/>
        <v>5269.0205879999994</v>
      </c>
      <c r="AG223" s="42">
        <f t="shared" si="50"/>
        <v>2821.3379999999997</v>
      </c>
      <c r="AH223" s="42">
        <f t="shared" si="51"/>
        <v>2447.6825879999997</v>
      </c>
      <c r="AI223" s="44">
        <f t="shared" si="52"/>
        <v>0.46454223268257988</v>
      </c>
      <c r="AJ223" s="42">
        <f t="shared" si="53"/>
        <v>765.58418799999981</v>
      </c>
      <c r="AK223" s="42">
        <f t="shared" si="54"/>
        <v>2092.0364</v>
      </c>
      <c r="AL223" s="9">
        <f t="shared" si="55"/>
        <v>0</v>
      </c>
      <c r="AM223" s="42"/>
    </row>
    <row r="224" spans="1:39" x14ac:dyDescent="0.25">
      <c r="A224" t="s">
        <v>237</v>
      </c>
      <c r="B224" s="20">
        <v>45854</v>
      </c>
      <c r="C224" s="4">
        <v>45855</v>
      </c>
      <c r="D224" s="4" t="s">
        <v>1441</v>
      </c>
      <c r="E224" s="4">
        <v>45855</v>
      </c>
      <c r="F224" s="11">
        <f t="shared" si="42"/>
        <v>1</v>
      </c>
      <c r="G224" s="11" t="str">
        <f t="shared" si="45"/>
        <v>Meets Target</v>
      </c>
      <c r="H224" t="s">
        <v>646</v>
      </c>
      <c r="I224" t="s">
        <v>661</v>
      </c>
      <c r="J224" t="s">
        <v>687</v>
      </c>
      <c r="K224" t="s">
        <v>705</v>
      </c>
      <c r="L224" t="s">
        <v>710</v>
      </c>
      <c r="M224" t="s">
        <v>717</v>
      </c>
      <c r="N224" t="s">
        <v>729</v>
      </c>
      <c r="O224" t="str" cm="1">
        <f t="array" ref="O224">_xlfn.IFS(S224&lt;=_xlfn.PERCENTILE.INC(IF(N224:N854=N224, S224:S854), 0.33), "Low", S224&lt;=_xlfn.PERCENTILE.INC(IF(N224:N854=N224, S224:S854), 0.66), "Medium", S224 &gt; _xlfn.PERCENTILE.INC(IF(N224:N854=N224, S224:S854), 0.66), "High")</f>
        <v>High</v>
      </c>
      <c r="P224" t="s">
        <v>957</v>
      </c>
      <c r="Q224" s="6">
        <v>1198.9000000000001</v>
      </c>
      <c r="R224" s="6">
        <v>2941.2</v>
      </c>
      <c r="S224" s="6">
        <v>2941.2</v>
      </c>
      <c r="T224" s="9">
        <v>5.0999999999999997E-2</v>
      </c>
      <c r="U224" s="9">
        <f>IF(T224&gt;0.3, $AO$4, T224)</f>
        <v>5.0999999999999997E-2</v>
      </c>
      <c r="V224" s="7" t="str">
        <f t="shared" si="46"/>
        <v>Less than 20%</v>
      </c>
      <c r="W224" s="11">
        <v>24</v>
      </c>
      <c r="X224" s="6">
        <f t="shared" si="43"/>
        <v>66988.771199999988</v>
      </c>
      <c r="Y224" s="6">
        <f t="shared" si="44"/>
        <v>28773.600000000002</v>
      </c>
      <c r="Z224" s="6">
        <f t="shared" si="47"/>
        <v>38215.171199999982</v>
      </c>
      <c r="AA224" s="9">
        <f t="shared" si="48"/>
        <v>0.57047129713583977</v>
      </c>
      <c r="AB224" s="9">
        <f>IF(U224&gt;'What-If Analysis'!$F$16, 'What-If Analysis'!$F$16,T224)</f>
        <v>5.0999999999999997E-2</v>
      </c>
      <c r="AC224" s="42">
        <f>S224*(1-AB224)</f>
        <v>2791.1987999999997</v>
      </c>
      <c r="AD224" s="42">
        <f>Q224*(1+'What-If Analysis'!F239)</f>
        <v>1198.9000000000001</v>
      </c>
      <c r="AE224" s="41">
        <f>W224*(1+'What-If Analysis'!$F$18)</f>
        <v>28.08</v>
      </c>
      <c r="AF224" s="42">
        <f t="shared" si="49"/>
        <v>78376.86230399998</v>
      </c>
      <c r="AG224" s="42">
        <f t="shared" si="50"/>
        <v>33665.112000000001</v>
      </c>
      <c r="AH224" s="42">
        <f t="shared" si="51"/>
        <v>44711.750303999979</v>
      </c>
      <c r="AI224" s="44">
        <f t="shared" si="52"/>
        <v>0.57047129713583988</v>
      </c>
      <c r="AJ224" s="42">
        <f t="shared" si="53"/>
        <v>11388.091103999992</v>
      </c>
      <c r="AK224" s="42">
        <f t="shared" si="54"/>
        <v>38215.171199999982</v>
      </c>
      <c r="AL224" s="9">
        <f t="shared" si="55"/>
        <v>0</v>
      </c>
      <c r="AM224" s="42"/>
    </row>
    <row r="225" spans="1:39" x14ac:dyDescent="0.25">
      <c r="A225" t="s">
        <v>238</v>
      </c>
      <c r="B225" s="20">
        <v>45035</v>
      </c>
      <c r="C225" s="4">
        <v>45053</v>
      </c>
      <c r="D225" s="4" t="s">
        <v>1442</v>
      </c>
      <c r="E225" s="4">
        <v>45053</v>
      </c>
      <c r="F225" s="11">
        <f t="shared" si="42"/>
        <v>18</v>
      </c>
      <c r="G225" s="11" t="str">
        <f t="shared" si="45"/>
        <v>Does not Meet Target</v>
      </c>
      <c r="H225" t="s">
        <v>649</v>
      </c>
      <c r="I225" t="s">
        <v>658</v>
      </c>
      <c r="J225" t="s">
        <v>674</v>
      </c>
      <c r="K225" t="s">
        <v>706</v>
      </c>
      <c r="L225" t="s">
        <v>707</v>
      </c>
      <c r="M225" t="s">
        <v>725</v>
      </c>
      <c r="N225" t="s">
        <v>731</v>
      </c>
      <c r="O225" t="str" cm="1">
        <f t="array" ref="O225">_xlfn.IFS(S225&lt;=_xlfn.PERCENTILE.INC(IF(N225:N855=N225, S225:S855), 0.33), "Low", S225&lt;=_xlfn.PERCENTILE.INC(IF(N225:N855=N225, S225:S855), 0.66), "Medium", S225 &gt; _xlfn.PERCENTILE.INC(IF(N225:N855=N225, S225:S855), 0.66), "High")</f>
        <v>Low</v>
      </c>
      <c r="P225" t="s">
        <v>958</v>
      </c>
      <c r="Q225" s="6">
        <v>1089.1500000000001</v>
      </c>
      <c r="R225" s="6">
        <v>1088.2</v>
      </c>
      <c r="S225" s="6">
        <v>1088.2</v>
      </c>
      <c r="T225" s="9">
        <v>5.0999999999999997E-2</v>
      </c>
      <c r="U225" s="9">
        <f>IF(T225&gt;0.3, $AO$4, T225)</f>
        <v>5.0999999999999997E-2</v>
      </c>
      <c r="V225" s="7" t="str">
        <f t="shared" si="46"/>
        <v>Less than 20%</v>
      </c>
      <c r="W225" s="11">
        <v>15</v>
      </c>
      <c r="X225" s="6">
        <f t="shared" si="43"/>
        <v>15490.527</v>
      </c>
      <c r="Y225" s="6">
        <f t="shared" si="44"/>
        <v>16337.250000000002</v>
      </c>
      <c r="Z225" s="6">
        <f t="shared" si="47"/>
        <v>-846.72300000000178</v>
      </c>
      <c r="AA225" s="9">
        <f t="shared" si="48"/>
        <v>-5.4660696824582002E-2</v>
      </c>
      <c r="AB225" s="9">
        <f>IF(U225&gt;'What-If Analysis'!$F$16, 'What-If Analysis'!$F$16,T225)</f>
        <v>5.0999999999999997E-2</v>
      </c>
      <c r="AC225" s="42">
        <f>S225*(1-AB225)</f>
        <v>1032.7018</v>
      </c>
      <c r="AD225" s="42">
        <f>Q225*(1+'What-If Analysis'!F240)</f>
        <v>1089.1500000000001</v>
      </c>
      <c r="AE225" s="41">
        <f>W225*(1+'What-If Analysis'!$F$18)</f>
        <v>17.549999999999997</v>
      </c>
      <c r="AF225" s="42">
        <f t="shared" si="49"/>
        <v>18123.916589999997</v>
      </c>
      <c r="AG225" s="42">
        <f t="shared" si="50"/>
        <v>19114.582499999997</v>
      </c>
      <c r="AH225" s="42">
        <f t="shared" si="51"/>
        <v>-990.66590999999971</v>
      </c>
      <c r="AI225" s="44">
        <f t="shared" si="52"/>
        <v>-5.4660696824581884E-2</v>
      </c>
      <c r="AJ225" s="42">
        <f t="shared" si="53"/>
        <v>2633.389589999997</v>
      </c>
      <c r="AK225" s="42">
        <f t="shared" si="54"/>
        <v>-846.72300000000178</v>
      </c>
      <c r="AL225" s="9">
        <f t="shared" si="55"/>
        <v>1.1796119636642288E-16</v>
      </c>
      <c r="AM225" s="42"/>
    </row>
    <row r="226" spans="1:39" x14ac:dyDescent="0.25">
      <c r="A226" t="s">
        <v>239</v>
      </c>
      <c r="B226" s="20">
        <v>45279</v>
      </c>
      <c r="C226" s="4">
        <v>45280</v>
      </c>
      <c r="D226" s="4" t="s">
        <v>1438</v>
      </c>
      <c r="E226" s="4">
        <v>45280</v>
      </c>
      <c r="F226" s="11">
        <f t="shared" si="42"/>
        <v>1</v>
      </c>
      <c r="G226" s="11" t="str">
        <f t="shared" si="45"/>
        <v>Meets Target</v>
      </c>
      <c r="H226" t="s">
        <v>648</v>
      </c>
      <c r="I226" t="s">
        <v>655</v>
      </c>
      <c r="J226" t="s">
        <v>692</v>
      </c>
      <c r="K226" t="s">
        <v>704</v>
      </c>
      <c r="L226" t="s">
        <v>710</v>
      </c>
      <c r="M226" t="s">
        <v>713</v>
      </c>
      <c r="N226" t="s">
        <v>730</v>
      </c>
      <c r="O226" t="str" cm="1">
        <f t="array" ref="O226">_xlfn.IFS(S226&lt;=_xlfn.PERCENTILE.INC(IF(N226:N856=N226, S226:S856), 0.33), "Low", S226&lt;=_xlfn.PERCENTILE.INC(IF(N226:N856=N226, S226:S856), 0.66), "Medium", S226 &gt; _xlfn.PERCENTILE.INC(IF(N226:N856=N226, S226:S856), 0.66), "High")</f>
        <v>High</v>
      </c>
      <c r="P226" t="s">
        <v>959</v>
      </c>
      <c r="Q226" s="6">
        <v>1080.43</v>
      </c>
      <c r="R226" s="6">
        <v>2529.15</v>
      </c>
      <c r="S226" s="6">
        <v>2529.15</v>
      </c>
      <c r="T226" s="9">
        <v>0.14699999999999999</v>
      </c>
      <c r="U226" s="9">
        <f>IF(T226&gt;0.3, $AO$4, T226)</f>
        <v>0.14699999999999999</v>
      </c>
      <c r="V226" s="7" t="str">
        <f t="shared" si="46"/>
        <v>Less than 20%</v>
      </c>
      <c r="W226" s="11">
        <v>10</v>
      </c>
      <c r="X226" s="6">
        <f t="shared" si="43"/>
        <v>21573.6495</v>
      </c>
      <c r="Y226" s="6">
        <f t="shared" si="44"/>
        <v>10804.300000000001</v>
      </c>
      <c r="Z226" s="6">
        <f t="shared" si="47"/>
        <v>10769.349499999998</v>
      </c>
      <c r="AA226" s="9">
        <f t="shared" si="48"/>
        <v>0.49918997247081437</v>
      </c>
      <c r="AB226" s="9">
        <f>IF(U226&gt;'What-If Analysis'!$F$16, 'What-If Analysis'!$F$16,T226)</f>
        <v>0.14699999999999999</v>
      </c>
      <c r="AC226" s="42">
        <f>S226*(1-AB226)</f>
        <v>2157.3649500000001</v>
      </c>
      <c r="AD226" s="42">
        <f>Q226*(1+'What-If Analysis'!F241)</f>
        <v>1080.43</v>
      </c>
      <c r="AE226" s="41">
        <f>W226*(1+'What-If Analysis'!$F$18)</f>
        <v>11.7</v>
      </c>
      <c r="AF226" s="42">
        <f t="shared" si="49"/>
        <v>25241.169914999999</v>
      </c>
      <c r="AG226" s="42">
        <f t="shared" si="50"/>
        <v>12641.031000000001</v>
      </c>
      <c r="AH226" s="42">
        <f t="shared" si="51"/>
        <v>12600.138914999998</v>
      </c>
      <c r="AI226" s="44">
        <f t="shared" si="52"/>
        <v>0.49918997247081437</v>
      </c>
      <c r="AJ226" s="42">
        <f t="shared" si="53"/>
        <v>3667.520414999999</v>
      </c>
      <c r="AK226" s="42">
        <f t="shared" si="54"/>
        <v>10769.349499999998</v>
      </c>
      <c r="AL226" s="9">
        <f t="shared" si="55"/>
        <v>0</v>
      </c>
      <c r="AM226" s="42"/>
    </row>
    <row r="227" spans="1:39" x14ac:dyDescent="0.25">
      <c r="A227" t="s">
        <v>240</v>
      </c>
      <c r="B227" s="20">
        <v>45137</v>
      </c>
      <c r="C227" s="4">
        <v>45145</v>
      </c>
      <c r="D227" s="4" t="s">
        <v>1444</v>
      </c>
      <c r="E227" s="4">
        <v>45145</v>
      </c>
      <c r="F227" s="11">
        <f t="shared" si="42"/>
        <v>8</v>
      </c>
      <c r="G227" s="11" t="str">
        <f t="shared" si="45"/>
        <v>Does not Meet Target</v>
      </c>
      <c r="H227" t="s">
        <v>647</v>
      </c>
      <c r="I227" t="s">
        <v>652</v>
      </c>
      <c r="J227" t="s">
        <v>694</v>
      </c>
      <c r="K227" t="s">
        <v>702</v>
      </c>
      <c r="L227" t="s">
        <v>709</v>
      </c>
      <c r="M227" t="s">
        <v>720</v>
      </c>
      <c r="N227" t="s">
        <v>729</v>
      </c>
      <c r="O227" t="str" cm="1">
        <f t="array" ref="O227">_xlfn.IFS(S227&lt;=_xlfn.PERCENTILE.INC(IF(N227:N857=N227, S227:S857), 0.33), "Low", S227&lt;=_xlfn.PERCENTILE.INC(IF(N227:N857=N227, S227:S857), 0.66), "Medium", S227 &gt; _xlfn.PERCENTILE.INC(IF(N227:N857=N227, S227:S857), 0.66), "High")</f>
        <v>High</v>
      </c>
      <c r="P227" t="s">
        <v>960</v>
      </c>
      <c r="Q227" s="6">
        <v>1352.44</v>
      </c>
      <c r="R227" s="6">
        <v>2698.01</v>
      </c>
      <c r="S227" s="6">
        <v>2698.01</v>
      </c>
      <c r="T227" s="9">
        <v>0.13100000000000001</v>
      </c>
      <c r="U227" s="9">
        <f>IF(T227&gt;0.3, $AO$4, T227)</f>
        <v>0.13100000000000001</v>
      </c>
      <c r="V227" s="7" t="str">
        <f t="shared" si="46"/>
        <v>Less than 20%</v>
      </c>
      <c r="W227" s="11">
        <v>13</v>
      </c>
      <c r="X227" s="6">
        <f t="shared" si="43"/>
        <v>30479.418970000002</v>
      </c>
      <c r="Y227" s="6">
        <f t="shared" si="44"/>
        <v>17581.72</v>
      </c>
      <c r="Z227" s="6">
        <f t="shared" si="47"/>
        <v>12897.698970000001</v>
      </c>
      <c r="AA227" s="9">
        <f t="shared" si="48"/>
        <v>0.42316091992090887</v>
      </c>
      <c r="AB227" s="9">
        <f>IF(U227&gt;'What-If Analysis'!$F$16, 'What-If Analysis'!$F$16,T227)</f>
        <v>0.13100000000000001</v>
      </c>
      <c r="AC227" s="42">
        <f>S227*(1-AB227)</f>
        <v>2344.57069</v>
      </c>
      <c r="AD227" s="42">
        <f>Q227*(1+'What-If Analysis'!F242)</f>
        <v>1352.44</v>
      </c>
      <c r="AE227" s="41">
        <f>W227*(1+'What-If Analysis'!$F$18)</f>
        <v>15.209999999999999</v>
      </c>
      <c r="AF227" s="42">
        <f t="shared" si="49"/>
        <v>35660.920194899998</v>
      </c>
      <c r="AG227" s="42">
        <f t="shared" si="50"/>
        <v>20570.612399999998</v>
      </c>
      <c r="AH227" s="42">
        <f t="shared" si="51"/>
        <v>15090.3077949</v>
      </c>
      <c r="AI227" s="44">
        <f t="shared" si="52"/>
        <v>0.42316091992090887</v>
      </c>
      <c r="AJ227" s="42">
        <f t="shared" si="53"/>
        <v>5181.5012248999956</v>
      </c>
      <c r="AK227" s="42">
        <f t="shared" si="54"/>
        <v>12897.698970000001</v>
      </c>
      <c r="AL227" s="9">
        <f t="shared" si="55"/>
        <v>0</v>
      </c>
      <c r="AM227" s="42"/>
    </row>
    <row r="228" spans="1:39" x14ac:dyDescent="0.25">
      <c r="A228" t="s">
        <v>241</v>
      </c>
      <c r="B228" s="20">
        <v>45203</v>
      </c>
      <c r="C228" s="4">
        <v>45228</v>
      </c>
      <c r="D228" s="4" t="s">
        <v>1438</v>
      </c>
      <c r="E228" s="4">
        <v>45228</v>
      </c>
      <c r="F228" s="11">
        <f t="shared" si="42"/>
        <v>25</v>
      </c>
      <c r="G228" s="11" t="str">
        <f t="shared" si="45"/>
        <v>Does not Meet Target</v>
      </c>
      <c r="H228" t="s">
        <v>648</v>
      </c>
      <c r="I228" t="s">
        <v>660</v>
      </c>
      <c r="J228" t="s">
        <v>686</v>
      </c>
      <c r="K228" t="s">
        <v>705</v>
      </c>
      <c r="L228" t="s">
        <v>710</v>
      </c>
      <c r="M228" t="s">
        <v>719</v>
      </c>
      <c r="N228" t="s">
        <v>733</v>
      </c>
      <c r="O228" t="str" cm="1">
        <f t="array" ref="O228">_xlfn.IFS(S228&lt;=_xlfn.PERCENTILE.INC(IF(N228:N858=N228, S228:S858), 0.33), "Low", S228&lt;=_xlfn.PERCENTILE.INC(IF(N228:N858=N228, S228:S858), 0.66), "Medium", S228 &gt; _xlfn.PERCENTILE.INC(IF(N228:N858=N228, S228:S858), 0.66), "High")</f>
        <v>High</v>
      </c>
      <c r="P228" t="s">
        <v>961</v>
      </c>
      <c r="Q228" s="6">
        <v>1239.8399999999999</v>
      </c>
      <c r="R228" s="6">
        <v>1482.75</v>
      </c>
      <c r="S228" s="6">
        <v>1482.75</v>
      </c>
      <c r="T228" s="9">
        <v>6.7000000000000004E-2</v>
      </c>
      <c r="U228" s="9">
        <f>IF(T228&gt;0.3, $AO$4, T228)</f>
        <v>6.7000000000000004E-2</v>
      </c>
      <c r="V228" s="7" t="str">
        <f t="shared" si="46"/>
        <v>Less than 20%</v>
      </c>
      <c r="W228" s="11">
        <v>4</v>
      </c>
      <c r="X228" s="6">
        <f t="shared" si="43"/>
        <v>5533.6230000000005</v>
      </c>
      <c r="Y228" s="6">
        <f t="shared" si="44"/>
        <v>4959.3599999999997</v>
      </c>
      <c r="Z228" s="6">
        <f t="shared" si="47"/>
        <v>574.26300000000083</v>
      </c>
      <c r="AA228" s="9">
        <f t="shared" si="48"/>
        <v>0.10377703721413634</v>
      </c>
      <c r="AB228" s="9">
        <f>IF(U228&gt;'What-If Analysis'!$F$16, 'What-If Analysis'!$F$16,T228)</f>
        <v>6.7000000000000004E-2</v>
      </c>
      <c r="AC228" s="42">
        <f>S228*(1-AB228)</f>
        <v>1383.4057500000001</v>
      </c>
      <c r="AD228" s="42">
        <f>Q228*(1+'What-If Analysis'!F243)</f>
        <v>1239.8399999999999</v>
      </c>
      <c r="AE228" s="41">
        <f>W228*(1+'What-If Analysis'!$F$18)</f>
        <v>4.68</v>
      </c>
      <c r="AF228" s="42">
        <f t="shared" si="49"/>
        <v>6474.3389100000004</v>
      </c>
      <c r="AG228" s="42">
        <f t="shared" si="50"/>
        <v>5802.4511999999995</v>
      </c>
      <c r="AH228" s="42">
        <f t="shared" si="51"/>
        <v>671.88771000000088</v>
      </c>
      <c r="AI228" s="44">
        <f t="shared" si="52"/>
        <v>0.10377703721413632</v>
      </c>
      <c r="AJ228" s="42">
        <f t="shared" si="53"/>
        <v>940.71590999999989</v>
      </c>
      <c r="AK228" s="42">
        <f t="shared" si="54"/>
        <v>574.26300000000083</v>
      </c>
      <c r="AL228" s="9">
        <f t="shared" si="55"/>
        <v>0</v>
      </c>
      <c r="AM228" s="42"/>
    </row>
    <row r="229" spans="1:39" x14ac:dyDescent="0.25">
      <c r="A229" t="s">
        <v>242</v>
      </c>
      <c r="B229" s="20">
        <v>45879</v>
      </c>
      <c r="C229" s="4">
        <v>45899</v>
      </c>
      <c r="D229" s="4" t="s">
        <v>1441</v>
      </c>
      <c r="E229" s="4">
        <v>45899</v>
      </c>
      <c r="F229" s="11">
        <f t="shared" si="42"/>
        <v>20</v>
      </c>
      <c r="G229" s="11" t="str">
        <f t="shared" si="45"/>
        <v>Does not Meet Target</v>
      </c>
      <c r="H229" t="s">
        <v>648</v>
      </c>
      <c r="I229" t="s">
        <v>660</v>
      </c>
      <c r="J229" t="s">
        <v>686</v>
      </c>
      <c r="K229" t="s">
        <v>701</v>
      </c>
      <c r="L229" t="s">
        <v>709</v>
      </c>
      <c r="M229" t="s">
        <v>723</v>
      </c>
      <c r="N229" t="s">
        <v>728</v>
      </c>
      <c r="O229" t="str" cm="1">
        <f t="array" ref="O229">_xlfn.IFS(S229&lt;=_xlfn.PERCENTILE.INC(IF(N229:N859=N229, S229:S859), 0.33), "Low", S229&lt;=_xlfn.PERCENTILE.INC(IF(N229:N859=N229, S229:S859), 0.66), "Medium", S229 &gt; _xlfn.PERCENTILE.INC(IF(N229:N859=N229, S229:S859), 0.66), "High")</f>
        <v>High</v>
      </c>
      <c r="P229" t="s">
        <v>962</v>
      </c>
      <c r="Q229" s="6">
        <v>933.29</v>
      </c>
      <c r="R229" s="6">
        <v>1456.81</v>
      </c>
      <c r="S229" s="6">
        <v>1456.81</v>
      </c>
      <c r="T229" s="9">
        <v>0.123</v>
      </c>
      <c r="U229" s="9">
        <f>IF(T229&gt;0.3, $AO$4, T229)</f>
        <v>0.123</v>
      </c>
      <c r="V229" s="7" t="str">
        <f t="shared" si="46"/>
        <v>Less than 20%</v>
      </c>
      <c r="W229" s="11">
        <v>13</v>
      </c>
      <c r="X229" s="6">
        <f t="shared" si="43"/>
        <v>16609.090809999998</v>
      </c>
      <c r="Y229" s="6">
        <f t="shared" si="44"/>
        <v>12132.77</v>
      </c>
      <c r="Z229" s="6">
        <f t="shared" si="47"/>
        <v>4476.3208099999974</v>
      </c>
      <c r="AA229" s="9">
        <f t="shared" si="48"/>
        <v>0.26951028573489977</v>
      </c>
      <c r="AB229" s="9">
        <f>IF(U229&gt;'What-If Analysis'!$F$16, 'What-If Analysis'!$F$16,T229)</f>
        <v>0.123</v>
      </c>
      <c r="AC229" s="42">
        <f>S229*(1-AB229)</f>
        <v>1277.62237</v>
      </c>
      <c r="AD229" s="42">
        <f>Q229*(1+'What-If Analysis'!F244)</f>
        <v>933.29</v>
      </c>
      <c r="AE229" s="41">
        <f>W229*(1+'What-If Analysis'!$F$18)</f>
        <v>15.209999999999999</v>
      </c>
      <c r="AF229" s="42">
        <f t="shared" si="49"/>
        <v>19432.6362477</v>
      </c>
      <c r="AG229" s="42">
        <f t="shared" si="50"/>
        <v>14195.340899999999</v>
      </c>
      <c r="AH229" s="42">
        <f t="shared" si="51"/>
        <v>5237.295347700001</v>
      </c>
      <c r="AI229" s="44">
        <f t="shared" si="52"/>
        <v>0.26951028573489993</v>
      </c>
      <c r="AJ229" s="42">
        <f t="shared" si="53"/>
        <v>2823.5454377000024</v>
      </c>
      <c r="AK229" s="42">
        <f t="shared" si="54"/>
        <v>4476.3208099999974</v>
      </c>
      <c r="AL229" s="9">
        <f t="shared" si="55"/>
        <v>0</v>
      </c>
      <c r="AM229" s="42"/>
    </row>
    <row r="230" spans="1:39" x14ac:dyDescent="0.25">
      <c r="A230" t="s">
        <v>243</v>
      </c>
      <c r="B230" s="20">
        <v>44992</v>
      </c>
      <c r="C230" s="4">
        <v>45017</v>
      </c>
      <c r="D230" s="4" t="s">
        <v>1436</v>
      </c>
      <c r="E230" s="4">
        <v>45017</v>
      </c>
      <c r="F230" s="11">
        <f t="shared" si="42"/>
        <v>25</v>
      </c>
      <c r="G230" s="11" t="str">
        <f t="shared" si="45"/>
        <v>Does not Meet Target</v>
      </c>
      <c r="H230" t="s">
        <v>646</v>
      </c>
      <c r="I230" t="s">
        <v>650</v>
      </c>
      <c r="J230" t="s">
        <v>664</v>
      </c>
      <c r="K230" t="s">
        <v>704</v>
      </c>
      <c r="L230" t="s">
        <v>709</v>
      </c>
      <c r="M230" t="s">
        <v>726</v>
      </c>
      <c r="N230" t="s">
        <v>728</v>
      </c>
      <c r="O230" t="str" cm="1">
        <f t="array" ref="O230">_xlfn.IFS(S230&lt;=_xlfn.PERCENTILE.INC(IF(N230:N860=N230, S230:S860), 0.33), "Low", S230&lt;=_xlfn.PERCENTILE.INC(IF(N230:N860=N230, S230:S860), 0.66), "Medium", S230 &gt; _xlfn.PERCENTILE.INC(IF(N230:N860=N230, S230:S860), 0.66), "High")</f>
        <v>Medium</v>
      </c>
      <c r="P230" t="s">
        <v>963</v>
      </c>
      <c r="Q230" s="6">
        <v>1024.0999999999999</v>
      </c>
      <c r="R230" s="6">
        <v>918.19</v>
      </c>
      <c r="S230" s="6">
        <v>918.19</v>
      </c>
      <c r="T230" s="9">
        <v>0.189</v>
      </c>
      <c r="U230" s="9">
        <f>IF(T230&gt;0.3, $AO$4, T230)</f>
        <v>0.189</v>
      </c>
      <c r="V230" s="7" t="str">
        <f t="shared" si="46"/>
        <v>Less than 20%</v>
      </c>
      <c r="W230" s="11">
        <v>10</v>
      </c>
      <c r="X230" s="6">
        <f t="shared" si="43"/>
        <v>7446.5209000000004</v>
      </c>
      <c r="Y230" s="6">
        <f t="shared" si="44"/>
        <v>10241</v>
      </c>
      <c r="Z230" s="6">
        <f t="shared" si="47"/>
        <v>-2794.4790999999996</v>
      </c>
      <c r="AA230" s="9">
        <f t="shared" si="48"/>
        <v>-0.37527311579827827</v>
      </c>
      <c r="AB230" s="9">
        <f>IF(U230&gt;'What-If Analysis'!$F$16, 'What-If Analysis'!$F$16,T230)</f>
        <v>0.17</v>
      </c>
      <c r="AC230" s="42">
        <f>S230*(1-AB230)</f>
        <v>762.09770000000003</v>
      </c>
      <c r="AD230" s="42">
        <f>Q230*(1+'What-If Analysis'!F245)</f>
        <v>1024.0999999999999</v>
      </c>
      <c r="AE230" s="41">
        <f>W230*(1+'What-If Analysis'!$F$18)</f>
        <v>11.7</v>
      </c>
      <c r="AF230" s="42">
        <f t="shared" si="49"/>
        <v>8916.5430899999992</v>
      </c>
      <c r="AG230" s="42">
        <f t="shared" si="50"/>
        <v>11981.969999999998</v>
      </c>
      <c r="AH230" s="42">
        <f t="shared" si="51"/>
        <v>-3065.4269099999983</v>
      </c>
      <c r="AI230" s="44">
        <f t="shared" si="52"/>
        <v>-0.34379096013542604</v>
      </c>
      <c r="AJ230" s="42">
        <f t="shared" si="53"/>
        <v>1470.0221899999988</v>
      </c>
      <c r="AK230" s="42">
        <f t="shared" si="54"/>
        <v>-2794.4790999999996</v>
      </c>
      <c r="AL230" s="9">
        <f t="shared" si="55"/>
        <v>3.1482155662852229E-2</v>
      </c>
      <c r="AM230" s="42"/>
    </row>
    <row r="231" spans="1:39" x14ac:dyDescent="0.25">
      <c r="A231" t="s">
        <v>244</v>
      </c>
      <c r="B231" s="20">
        <v>45069</v>
      </c>
      <c r="C231" s="4">
        <v>45087</v>
      </c>
      <c r="D231" s="4" t="s">
        <v>1442</v>
      </c>
      <c r="E231" s="4">
        <v>45087</v>
      </c>
      <c r="F231" s="11">
        <f t="shared" si="42"/>
        <v>18</v>
      </c>
      <c r="G231" s="11" t="str">
        <f t="shared" si="45"/>
        <v>Does not Meet Target</v>
      </c>
      <c r="H231" t="s">
        <v>647</v>
      </c>
      <c r="I231" t="s">
        <v>659</v>
      </c>
      <c r="J231" t="s">
        <v>685</v>
      </c>
      <c r="K231" t="s">
        <v>701</v>
      </c>
      <c r="L231" t="s">
        <v>710</v>
      </c>
      <c r="M231" t="s">
        <v>718</v>
      </c>
      <c r="N231" t="s">
        <v>727</v>
      </c>
      <c r="O231" t="str" cm="1">
        <f t="array" ref="O231">_xlfn.IFS(S231&lt;=_xlfn.PERCENTILE.INC(IF(N231:N861=N231, S231:S861), 0.33), "Low", S231&lt;=_xlfn.PERCENTILE.INC(IF(N231:N861=N231, S231:S861), 0.66), "Medium", S231 &gt; _xlfn.PERCENTILE.INC(IF(N231:N861=N231, S231:S861), 0.66), "High")</f>
        <v>Low</v>
      </c>
      <c r="P231" t="s">
        <v>964</v>
      </c>
      <c r="Q231" s="6">
        <v>54.62</v>
      </c>
      <c r="R231" s="6">
        <v>48.94</v>
      </c>
      <c r="S231" s="6">
        <v>48.94</v>
      </c>
      <c r="T231" s="9">
        <v>0.14799999999999999</v>
      </c>
      <c r="U231" s="9">
        <f>IF(T231&gt;0.3, $AO$4, T231)</f>
        <v>0.14799999999999999</v>
      </c>
      <c r="V231" s="7" t="str">
        <f t="shared" si="46"/>
        <v>Less than 20%</v>
      </c>
      <c r="W231" s="11">
        <v>16</v>
      </c>
      <c r="X231" s="6">
        <f t="shared" si="43"/>
        <v>667.15008</v>
      </c>
      <c r="Y231" s="6">
        <f t="shared" si="44"/>
        <v>873.92</v>
      </c>
      <c r="Z231" s="6">
        <f t="shared" si="47"/>
        <v>-206.76991999999996</v>
      </c>
      <c r="AA231" s="9">
        <f t="shared" si="48"/>
        <v>-0.3099301434543783</v>
      </c>
      <c r="AB231" s="9">
        <f>IF(U231&gt;'What-If Analysis'!$F$16, 'What-If Analysis'!$F$16,T231)</f>
        <v>0.14799999999999999</v>
      </c>
      <c r="AC231" s="42">
        <f>S231*(1-AB231)</f>
        <v>41.69688</v>
      </c>
      <c r="AD231" s="42">
        <f>Q231*(1+'What-If Analysis'!F246)</f>
        <v>54.62</v>
      </c>
      <c r="AE231" s="41">
        <f>W231*(1+'What-If Analysis'!$F$18)</f>
        <v>18.72</v>
      </c>
      <c r="AF231" s="42">
        <f t="shared" si="49"/>
        <v>780.56559359999994</v>
      </c>
      <c r="AG231" s="42">
        <f t="shared" si="50"/>
        <v>1022.4863999999999</v>
      </c>
      <c r="AH231" s="42">
        <f t="shared" si="51"/>
        <v>-241.92080639999995</v>
      </c>
      <c r="AI231" s="44">
        <f t="shared" si="52"/>
        <v>-0.3099301434543783</v>
      </c>
      <c r="AJ231" s="42">
        <f t="shared" si="53"/>
        <v>113.41551359999994</v>
      </c>
      <c r="AK231" s="42">
        <f t="shared" si="54"/>
        <v>-206.76991999999996</v>
      </c>
      <c r="AL231" s="9">
        <f t="shared" si="55"/>
        <v>0</v>
      </c>
      <c r="AM231" s="42"/>
    </row>
    <row r="232" spans="1:39" x14ac:dyDescent="0.25">
      <c r="A232" t="s">
        <v>245</v>
      </c>
      <c r="B232" s="20">
        <v>45771</v>
      </c>
      <c r="C232" s="4">
        <v>45783</v>
      </c>
      <c r="D232" s="4" t="s">
        <v>1440</v>
      </c>
      <c r="E232" s="4">
        <v>45783</v>
      </c>
      <c r="F232" s="11">
        <f t="shared" si="42"/>
        <v>12</v>
      </c>
      <c r="G232" s="11" t="str">
        <f t="shared" si="45"/>
        <v>Does not Meet Target</v>
      </c>
      <c r="H232" t="s">
        <v>648</v>
      </c>
      <c r="I232" t="s">
        <v>655</v>
      </c>
      <c r="J232" t="s">
        <v>672</v>
      </c>
      <c r="K232" t="s">
        <v>704</v>
      </c>
      <c r="L232" t="s">
        <v>708</v>
      </c>
      <c r="M232" t="s">
        <v>712</v>
      </c>
      <c r="N232" t="s">
        <v>730</v>
      </c>
      <c r="O232" t="str" cm="1">
        <f t="array" ref="O232">_xlfn.IFS(S232&lt;=_xlfn.PERCENTILE.INC(IF(N232:N862=N232, S232:S862), 0.33), "Low", S232&lt;=_xlfn.PERCENTILE.INC(IF(N232:N862=N232, S232:S862), 0.66), "Medium", S232 &gt; _xlfn.PERCENTILE.INC(IF(N232:N862=N232, S232:S862), 0.66), "High")</f>
        <v>Medium</v>
      </c>
      <c r="P232" t="s">
        <v>965</v>
      </c>
      <c r="Q232" s="6">
        <v>394.13</v>
      </c>
      <c r="R232" s="6">
        <v>932.29</v>
      </c>
      <c r="S232" s="6">
        <v>932.29</v>
      </c>
      <c r="T232" s="9">
        <v>0.109</v>
      </c>
      <c r="U232" s="9">
        <f>IF(T232&gt;0.3, $AO$4, T232)</f>
        <v>0.109</v>
      </c>
      <c r="V232" s="7" t="str">
        <f t="shared" si="46"/>
        <v>Less than 20%</v>
      </c>
      <c r="W232" s="11">
        <v>7</v>
      </c>
      <c r="X232" s="6">
        <f t="shared" si="43"/>
        <v>5814.6927299999998</v>
      </c>
      <c r="Y232" s="6">
        <f t="shared" si="44"/>
        <v>2758.91</v>
      </c>
      <c r="Z232" s="6">
        <f t="shared" si="47"/>
        <v>3055.7827299999999</v>
      </c>
      <c r="AA232" s="9">
        <f t="shared" si="48"/>
        <v>0.5255278089303268</v>
      </c>
      <c r="AB232" s="9">
        <f>IF(U232&gt;'What-If Analysis'!$F$16, 'What-If Analysis'!$F$16,T232)</f>
        <v>0.109</v>
      </c>
      <c r="AC232" s="42">
        <f>S232*(1-AB232)</f>
        <v>830.67039</v>
      </c>
      <c r="AD232" s="42">
        <f>Q232*(1+'What-If Analysis'!F247)</f>
        <v>394.13</v>
      </c>
      <c r="AE232" s="41">
        <f>W232*(1+'What-If Analysis'!$F$18)</f>
        <v>8.19</v>
      </c>
      <c r="AF232" s="42">
        <f t="shared" si="49"/>
        <v>6803.1904940999993</v>
      </c>
      <c r="AG232" s="42">
        <f t="shared" si="50"/>
        <v>3227.9246999999996</v>
      </c>
      <c r="AH232" s="42">
        <f t="shared" si="51"/>
        <v>3575.2657940999998</v>
      </c>
      <c r="AI232" s="44">
        <f t="shared" si="52"/>
        <v>0.5255278089303268</v>
      </c>
      <c r="AJ232" s="42">
        <f t="shared" si="53"/>
        <v>988.49776409999959</v>
      </c>
      <c r="AK232" s="42">
        <f t="shared" si="54"/>
        <v>3055.7827299999999</v>
      </c>
      <c r="AL232" s="9">
        <f t="shared" si="55"/>
        <v>0</v>
      </c>
      <c r="AM232" s="42"/>
    </row>
    <row r="233" spans="1:39" x14ac:dyDescent="0.25">
      <c r="A233" t="s">
        <v>246</v>
      </c>
      <c r="B233" s="20">
        <v>45538</v>
      </c>
      <c r="C233" s="4">
        <v>45543</v>
      </c>
      <c r="D233" s="4" t="s">
        <v>1443</v>
      </c>
      <c r="E233" s="4">
        <v>45543</v>
      </c>
      <c r="F233" s="11">
        <f t="shared" si="42"/>
        <v>5</v>
      </c>
      <c r="G233" s="11" t="str">
        <f t="shared" si="45"/>
        <v>Meets Target</v>
      </c>
      <c r="H233" t="s">
        <v>646</v>
      </c>
      <c r="I233" t="s">
        <v>651</v>
      </c>
      <c r="J233" t="s">
        <v>665</v>
      </c>
      <c r="K233" t="s">
        <v>705</v>
      </c>
      <c r="L233" t="s">
        <v>711</v>
      </c>
      <c r="M233" t="s">
        <v>723</v>
      </c>
      <c r="N233" t="s">
        <v>728</v>
      </c>
      <c r="O233" t="str" cm="1">
        <f t="array" ref="O233">_xlfn.IFS(S233&lt;=_xlfn.PERCENTILE.INC(IF(N233:N863=N233, S233:S863), 0.33), "Low", S233&lt;=_xlfn.PERCENTILE.INC(IF(N233:N863=N233, S233:S863), 0.66), "Medium", S233 &gt; _xlfn.PERCENTILE.INC(IF(N233:N863=N233, S233:S863), 0.66), "High")</f>
        <v>Low</v>
      </c>
      <c r="P233" t="s">
        <v>966</v>
      </c>
      <c r="Q233" s="6">
        <v>197.63</v>
      </c>
      <c r="R233" s="6">
        <v>325.79000000000002</v>
      </c>
      <c r="S233" s="6">
        <v>325.79000000000002</v>
      </c>
      <c r="T233" s="9">
        <v>0.11600000000000001</v>
      </c>
      <c r="U233" s="9">
        <f>IF(T233&gt;0.3, $AO$4, T233)</f>
        <v>0.11600000000000001</v>
      </c>
      <c r="V233" s="7" t="str">
        <f t="shared" si="46"/>
        <v>Less than 20%</v>
      </c>
      <c r="W233" s="11">
        <v>10</v>
      </c>
      <c r="X233" s="6">
        <f t="shared" si="43"/>
        <v>2879.9836</v>
      </c>
      <c r="Y233" s="6">
        <f t="shared" si="44"/>
        <v>1976.3</v>
      </c>
      <c r="Z233" s="6">
        <f t="shared" si="47"/>
        <v>903.68360000000007</v>
      </c>
      <c r="AA233" s="9">
        <f t="shared" si="48"/>
        <v>0.31378081458519419</v>
      </c>
      <c r="AB233" s="9">
        <f>IF(U233&gt;'What-If Analysis'!$F$16, 'What-If Analysis'!$F$16,T233)</f>
        <v>0.11600000000000001</v>
      </c>
      <c r="AC233" s="42">
        <f>S233*(1-AB233)</f>
        <v>287.99836000000005</v>
      </c>
      <c r="AD233" s="42">
        <f>Q233*(1+'What-If Analysis'!F248)</f>
        <v>197.63</v>
      </c>
      <c r="AE233" s="41">
        <f>W233*(1+'What-If Analysis'!$F$18)</f>
        <v>11.7</v>
      </c>
      <c r="AF233" s="42">
        <f t="shared" si="49"/>
        <v>3369.5808120000002</v>
      </c>
      <c r="AG233" s="42">
        <f t="shared" si="50"/>
        <v>2312.2709999999997</v>
      </c>
      <c r="AH233" s="42">
        <f t="shared" si="51"/>
        <v>1057.3098120000004</v>
      </c>
      <c r="AI233" s="44">
        <f t="shared" si="52"/>
        <v>0.3137808145851943</v>
      </c>
      <c r="AJ233" s="42">
        <f t="shared" si="53"/>
        <v>489.59721200000013</v>
      </c>
      <c r="AK233" s="42">
        <f t="shared" si="54"/>
        <v>903.68360000000007</v>
      </c>
      <c r="AL233" s="9">
        <f t="shared" si="55"/>
        <v>0</v>
      </c>
      <c r="AM233" s="42"/>
    </row>
    <row r="234" spans="1:39" x14ac:dyDescent="0.25">
      <c r="A234" t="s">
        <v>247</v>
      </c>
      <c r="B234" s="20">
        <v>45540</v>
      </c>
      <c r="C234" s="4">
        <v>45560</v>
      </c>
      <c r="D234" s="4" t="s">
        <v>1443</v>
      </c>
      <c r="E234" s="4">
        <v>45560</v>
      </c>
      <c r="F234" s="11">
        <f t="shared" si="42"/>
        <v>20</v>
      </c>
      <c r="G234" s="11" t="str">
        <f t="shared" si="45"/>
        <v>Does not Meet Target</v>
      </c>
      <c r="H234" t="s">
        <v>647</v>
      </c>
      <c r="I234" t="s">
        <v>652</v>
      </c>
      <c r="J234" t="s">
        <v>666</v>
      </c>
      <c r="K234" t="s">
        <v>706</v>
      </c>
      <c r="L234" t="s">
        <v>710</v>
      </c>
      <c r="M234" t="s">
        <v>726</v>
      </c>
      <c r="N234" t="s">
        <v>732</v>
      </c>
      <c r="O234" t="str" cm="1">
        <f t="array" ref="O234">_xlfn.IFS(S234&lt;=_xlfn.PERCENTILE.INC(IF(N234:N864=N234, S234:S864), 0.33), "Low", S234&lt;=_xlfn.PERCENTILE.INC(IF(N234:N864=N234, S234:S864), 0.66), "Medium", S234 &gt; _xlfn.PERCENTILE.INC(IF(N234:N864=N234, S234:S864), 0.66), "High")</f>
        <v>Low</v>
      </c>
      <c r="P234" t="s">
        <v>967</v>
      </c>
      <c r="Q234" s="6">
        <v>195.54</v>
      </c>
      <c r="R234" s="6">
        <v>405.97</v>
      </c>
      <c r="S234" s="6">
        <v>405.97</v>
      </c>
      <c r="T234" s="9">
        <v>0.187</v>
      </c>
      <c r="U234" s="9">
        <f>IF(T234&gt;0.3, $AO$4, T234)</f>
        <v>0.187</v>
      </c>
      <c r="V234" s="7" t="str">
        <f t="shared" si="46"/>
        <v>Less than 20%</v>
      </c>
      <c r="W234" s="11">
        <v>16</v>
      </c>
      <c r="X234" s="6">
        <f t="shared" si="43"/>
        <v>5280.8577599999999</v>
      </c>
      <c r="Y234" s="6">
        <f t="shared" si="44"/>
        <v>3128.64</v>
      </c>
      <c r="Z234" s="6">
        <f t="shared" si="47"/>
        <v>2152.21776</v>
      </c>
      <c r="AA234" s="9">
        <f t="shared" si="48"/>
        <v>0.40755079152141377</v>
      </c>
      <c r="AB234" s="9">
        <f>IF(U234&gt;'What-If Analysis'!$F$16, 'What-If Analysis'!$F$16,T234)</f>
        <v>0.17</v>
      </c>
      <c r="AC234" s="42">
        <f>S234*(1-AB234)</f>
        <v>336.95510000000002</v>
      </c>
      <c r="AD234" s="42">
        <f>Q234*(1+'What-If Analysis'!F249)</f>
        <v>195.54</v>
      </c>
      <c r="AE234" s="41">
        <f>W234*(1+'What-If Analysis'!$F$18)</f>
        <v>18.72</v>
      </c>
      <c r="AF234" s="42">
        <f t="shared" si="49"/>
        <v>6307.7994719999997</v>
      </c>
      <c r="AG234" s="42">
        <f t="shared" si="50"/>
        <v>3660.5087999999996</v>
      </c>
      <c r="AH234" s="42">
        <f t="shared" si="51"/>
        <v>2647.2906720000001</v>
      </c>
      <c r="AI234" s="44">
        <f t="shared" si="52"/>
        <v>0.41968529338181854</v>
      </c>
      <c r="AJ234" s="42">
        <f t="shared" si="53"/>
        <v>1026.9417119999998</v>
      </c>
      <c r="AK234" s="42">
        <f t="shared" si="54"/>
        <v>2152.21776</v>
      </c>
      <c r="AL234" s="9">
        <f t="shared" si="55"/>
        <v>1.2134501860404767E-2</v>
      </c>
      <c r="AM234" s="42"/>
    </row>
    <row r="235" spans="1:39" x14ac:dyDescent="0.25">
      <c r="A235" t="s">
        <v>248</v>
      </c>
      <c r="B235" s="20">
        <v>44999</v>
      </c>
      <c r="C235" s="4">
        <v>45015</v>
      </c>
      <c r="D235" s="4" t="s">
        <v>1436</v>
      </c>
      <c r="E235" s="4">
        <v>45015</v>
      </c>
      <c r="F235" s="11">
        <f t="shared" si="42"/>
        <v>16</v>
      </c>
      <c r="G235" s="11" t="str">
        <f t="shared" si="45"/>
        <v>Does not Meet Target</v>
      </c>
      <c r="H235" t="s">
        <v>646</v>
      </c>
      <c r="I235" t="s">
        <v>661</v>
      </c>
      <c r="J235" t="s">
        <v>695</v>
      </c>
      <c r="K235" t="s">
        <v>704</v>
      </c>
      <c r="L235" t="s">
        <v>710</v>
      </c>
      <c r="M235" t="s">
        <v>723</v>
      </c>
      <c r="N235" t="s">
        <v>727</v>
      </c>
      <c r="O235" t="str" cm="1">
        <f t="array" ref="O235">_xlfn.IFS(S235&lt;=_xlfn.PERCENTILE.INC(IF(N235:N865=N235, S235:S865), 0.33), "Low", S235&lt;=_xlfn.PERCENTILE.INC(IF(N235:N865=N235, S235:S865), 0.66), "Medium", S235 &gt; _xlfn.PERCENTILE.INC(IF(N235:N865=N235, S235:S865), 0.66), "High")</f>
        <v>Medium</v>
      </c>
      <c r="P235" t="s">
        <v>968</v>
      </c>
      <c r="Q235" s="6">
        <v>1309.77</v>
      </c>
      <c r="R235" s="6">
        <v>1589.07</v>
      </c>
      <c r="S235" s="6">
        <v>1589.07</v>
      </c>
      <c r="T235" s="9">
        <v>0.10199999999999999</v>
      </c>
      <c r="U235" s="9">
        <f>IF(T235&gt;0.3, $AO$4, T235)</f>
        <v>0.10199999999999999</v>
      </c>
      <c r="V235" s="7" t="str">
        <f t="shared" si="46"/>
        <v>Less than 20%</v>
      </c>
      <c r="W235" s="11">
        <v>10</v>
      </c>
      <c r="X235" s="6">
        <f t="shared" si="43"/>
        <v>14269.848599999999</v>
      </c>
      <c r="Y235" s="6">
        <f t="shared" si="44"/>
        <v>13097.7</v>
      </c>
      <c r="Z235" s="6">
        <f t="shared" si="47"/>
        <v>1172.1485999999986</v>
      </c>
      <c r="AA235" s="9">
        <f t="shared" si="48"/>
        <v>8.2141628328137886E-2</v>
      </c>
      <c r="AB235" s="9">
        <f>IF(U235&gt;'What-If Analysis'!$F$16, 'What-If Analysis'!$F$16,T235)</f>
        <v>0.10199999999999999</v>
      </c>
      <c r="AC235" s="42">
        <f>S235*(1-AB235)</f>
        <v>1426.98486</v>
      </c>
      <c r="AD235" s="42">
        <f>Q235*(1+'What-If Analysis'!F250)</f>
        <v>1309.77</v>
      </c>
      <c r="AE235" s="41">
        <f>W235*(1+'What-If Analysis'!$F$18)</f>
        <v>11.7</v>
      </c>
      <c r="AF235" s="42">
        <f t="shared" si="49"/>
        <v>16695.722861999999</v>
      </c>
      <c r="AG235" s="42">
        <f t="shared" si="50"/>
        <v>15324.308999999999</v>
      </c>
      <c r="AH235" s="42">
        <f t="shared" si="51"/>
        <v>1371.4138619999994</v>
      </c>
      <c r="AI235" s="44">
        <f t="shared" si="52"/>
        <v>8.2141628328137942E-2</v>
      </c>
      <c r="AJ235" s="42">
        <f t="shared" si="53"/>
        <v>2425.8742619999994</v>
      </c>
      <c r="AK235" s="42">
        <f t="shared" si="54"/>
        <v>1172.1485999999986</v>
      </c>
      <c r="AL235" s="9">
        <f t="shared" si="55"/>
        <v>0</v>
      </c>
      <c r="AM235" s="42"/>
    </row>
    <row r="236" spans="1:39" x14ac:dyDescent="0.25">
      <c r="A236" t="s">
        <v>249</v>
      </c>
      <c r="B236" s="20">
        <v>45302</v>
      </c>
      <c r="C236" s="4">
        <v>45324</v>
      </c>
      <c r="D236" s="4" t="s">
        <v>1434</v>
      </c>
      <c r="E236" s="4">
        <v>45324</v>
      </c>
      <c r="F236" s="11">
        <f t="shared" si="42"/>
        <v>22</v>
      </c>
      <c r="G236" s="11" t="str">
        <f t="shared" si="45"/>
        <v>Does not Meet Target</v>
      </c>
      <c r="H236" t="s">
        <v>647</v>
      </c>
      <c r="I236" t="s">
        <v>652</v>
      </c>
      <c r="J236" t="s">
        <v>694</v>
      </c>
      <c r="K236" t="s">
        <v>705</v>
      </c>
      <c r="L236" t="s">
        <v>708</v>
      </c>
      <c r="M236" t="s">
        <v>1422</v>
      </c>
      <c r="N236" t="s">
        <v>728</v>
      </c>
      <c r="O236" t="str" cm="1">
        <f t="array" ref="O236">_xlfn.IFS(S236&lt;=_xlfn.PERCENTILE.INC(IF(N236:N866=N236, S236:S866), 0.33), "Low", S236&lt;=_xlfn.PERCENTILE.INC(IF(N236:N866=N236, S236:S866), 0.66), "Medium", S236 &gt; _xlfn.PERCENTILE.INC(IF(N236:N866=N236, S236:S866), 0.66), "High")</f>
        <v>High</v>
      </c>
      <c r="P236" t="s">
        <v>969</v>
      </c>
      <c r="Q236" s="6">
        <v>1237.68</v>
      </c>
      <c r="R236" s="6">
        <v>1432.8</v>
      </c>
      <c r="S236" s="6">
        <v>1432.8</v>
      </c>
      <c r="T236" s="9">
        <v>6.8000000000000005E-2</v>
      </c>
      <c r="U236" s="9">
        <f>IF(T236&gt;0.3, $AO$4, T236)</f>
        <v>6.8000000000000005E-2</v>
      </c>
      <c r="V236" s="7" t="str">
        <f t="shared" si="46"/>
        <v>Less than 20%</v>
      </c>
      <c r="W236" s="11">
        <v>13</v>
      </c>
      <c r="X236" s="6">
        <f t="shared" si="43"/>
        <v>17359.804799999998</v>
      </c>
      <c r="Y236" s="6">
        <f t="shared" si="44"/>
        <v>16089.84</v>
      </c>
      <c r="Z236" s="6">
        <f t="shared" si="47"/>
        <v>1269.9647999999979</v>
      </c>
      <c r="AA236" s="9">
        <f t="shared" si="48"/>
        <v>7.315547695559331E-2</v>
      </c>
      <c r="AB236" s="9">
        <f>IF(U236&gt;'What-If Analysis'!$F$16, 'What-If Analysis'!$F$16,T236)</f>
        <v>6.8000000000000005E-2</v>
      </c>
      <c r="AC236" s="42">
        <f>S236*(1-AB236)</f>
        <v>1335.3695999999998</v>
      </c>
      <c r="AD236" s="42">
        <f>Q236*(1+'What-If Analysis'!F251)</f>
        <v>1237.68</v>
      </c>
      <c r="AE236" s="41">
        <f>W236*(1+'What-If Analysis'!$F$18)</f>
        <v>15.209999999999999</v>
      </c>
      <c r="AF236" s="42">
        <f t="shared" si="49"/>
        <v>20310.971615999995</v>
      </c>
      <c r="AG236" s="42">
        <f t="shared" si="50"/>
        <v>18825.112799999999</v>
      </c>
      <c r="AH236" s="42">
        <f t="shared" si="51"/>
        <v>1485.8588159999963</v>
      </c>
      <c r="AI236" s="44">
        <f t="shared" si="52"/>
        <v>7.3155476955593254E-2</v>
      </c>
      <c r="AJ236" s="42">
        <f t="shared" si="53"/>
        <v>2951.1668159999972</v>
      </c>
      <c r="AK236" s="42">
        <f t="shared" si="54"/>
        <v>1269.9647999999979</v>
      </c>
      <c r="AL236" s="9">
        <f t="shared" si="55"/>
        <v>0</v>
      </c>
      <c r="AM236" s="42"/>
    </row>
    <row r="237" spans="1:39" x14ac:dyDescent="0.25">
      <c r="A237" t="s">
        <v>250</v>
      </c>
      <c r="B237" s="20">
        <v>45548</v>
      </c>
      <c r="C237" s="4">
        <v>45567</v>
      </c>
      <c r="D237" s="4" t="s">
        <v>1443</v>
      </c>
      <c r="E237" s="4">
        <v>45567</v>
      </c>
      <c r="F237" s="11">
        <f t="shared" si="42"/>
        <v>19</v>
      </c>
      <c r="G237" s="11" t="str">
        <f t="shared" si="45"/>
        <v>Does not Meet Target</v>
      </c>
      <c r="H237" t="s">
        <v>646</v>
      </c>
      <c r="I237" t="s">
        <v>650</v>
      </c>
      <c r="J237" t="s">
        <v>675</v>
      </c>
      <c r="K237" t="s">
        <v>705</v>
      </c>
      <c r="L237" t="s">
        <v>707</v>
      </c>
      <c r="M237" t="s">
        <v>724</v>
      </c>
      <c r="N237" t="s">
        <v>730</v>
      </c>
      <c r="O237" t="str" cm="1">
        <f t="array" ref="O237">_xlfn.IFS(S237&lt;=_xlfn.PERCENTILE.INC(IF(N237:N867=N237, S237:S867), 0.33), "Low", S237&lt;=_xlfn.PERCENTILE.INC(IF(N237:N867=N237, S237:S867), 0.66), "Medium", S237 &gt; _xlfn.PERCENTILE.INC(IF(N237:N867=N237, S237:S867), 0.66), "High")</f>
        <v>High</v>
      </c>
      <c r="P237" t="s">
        <v>970</v>
      </c>
      <c r="Q237" s="6">
        <v>1338.99</v>
      </c>
      <c r="R237" s="6">
        <v>1765.76</v>
      </c>
      <c r="S237" s="6">
        <v>1765.76</v>
      </c>
      <c r="T237" s="9">
        <v>0.126</v>
      </c>
      <c r="U237" s="9">
        <f>IF(T237&gt;0.3, $AO$4, T237)</f>
        <v>0.126</v>
      </c>
      <c r="V237" s="7" t="str">
        <f t="shared" si="46"/>
        <v>Less than 20%</v>
      </c>
      <c r="W237" s="11">
        <v>24</v>
      </c>
      <c r="X237" s="6">
        <f t="shared" si="43"/>
        <v>37038.581760000001</v>
      </c>
      <c r="Y237" s="6">
        <f t="shared" si="44"/>
        <v>32135.760000000002</v>
      </c>
      <c r="Z237" s="6">
        <f t="shared" si="47"/>
        <v>4902.8217599999989</v>
      </c>
      <c r="AA237" s="9">
        <f t="shared" si="48"/>
        <v>0.1323706666677725</v>
      </c>
      <c r="AB237" s="9">
        <f>IF(U237&gt;'What-If Analysis'!$F$16, 'What-If Analysis'!$F$16,T237)</f>
        <v>0.126</v>
      </c>
      <c r="AC237" s="42">
        <f>S237*(1-AB237)</f>
        <v>1543.27424</v>
      </c>
      <c r="AD237" s="42">
        <f>Q237*(1+'What-If Analysis'!F252)</f>
        <v>1338.99</v>
      </c>
      <c r="AE237" s="41">
        <f>W237*(1+'What-If Analysis'!$F$18)</f>
        <v>28.08</v>
      </c>
      <c r="AF237" s="42">
        <f t="shared" si="49"/>
        <v>43335.140659199998</v>
      </c>
      <c r="AG237" s="42">
        <f t="shared" si="50"/>
        <v>37598.839199999995</v>
      </c>
      <c r="AH237" s="42">
        <f t="shared" si="51"/>
        <v>5736.3014592000036</v>
      </c>
      <c r="AI237" s="44">
        <f t="shared" si="52"/>
        <v>0.13237066666777264</v>
      </c>
      <c r="AJ237" s="42">
        <f t="shared" si="53"/>
        <v>6296.5588991999975</v>
      </c>
      <c r="AK237" s="42">
        <f t="shared" si="54"/>
        <v>4902.8217599999989</v>
      </c>
      <c r="AL237" s="9">
        <f t="shared" si="55"/>
        <v>0</v>
      </c>
      <c r="AM237" s="42"/>
    </row>
    <row r="238" spans="1:39" x14ac:dyDescent="0.25">
      <c r="A238" t="s">
        <v>251</v>
      </c>
      <c r="B238" s="20">
        <v>45855</v>
      </c>
      <c r="C238" s="4">
        <v>45861</v>
      </c>
      <c r="D238" s="4" t="s">
        <v>1441</v>
      </c>
      <c r="E238" s="4">
        <v>45861</v>
      </c>
      <c r="F238" s="11">
        <f t="shared" si="42"/>
        <v>6</v>
      </c>
      <c r="G238" s="11" t="str">
        <f t="shared" si="45"/>
        <v>Meets Target</v>
      </c>
      <c r="H238" t="s">
        <v>648</v>
      </c>
      <c r="I238" t="s">
        <v>653</v>
      </c>
      <c r="J238" t="s">
        <v>688</v>
      </c>
      <c r="K238" t="s">
        <v>704</v>
      </c>
      <c r="L238" t="s">
        <v>708</v>
      </c>
      <c r="M238" t="s">
        <v>722</v>
      </c>
      <c r="N238" t="s">
        <v>727</v>
      </c>
      <c r="O238" t="str" cm="1">
        <f t="array" ref="O238">_xlfn.IFS(S238&lt;=_xlfn.PERCENTILE.INC(IF(N238:N868=N238, S238:S868), 0.33), "Low", S238&lt;=_xlfn.PERCENTILE.INC(IF(N238:N868=N238, S238:S868), 0.66), "Medium", S238 &gt; _xlfn.PERCENTILE.INC(IF(N238:N868=N238, S238:S868), 0.66), "High")</f>
        <v>High</v>
      </c>
      <c r="P238" t="s">
        <v>971</v>
      </c>
      <c r="Q238" s="6">
        <v>1364.89</v>
      </c>
      <c r="R238" s="6">
        <v>2757.54</v>
      </c>
      <c r="S238" s="6">
        <v>2757.54</v>
      </c>
      <c r="T238" s="9">
        <v>0.17199999999999999</v>
      </c>
      <c r="U238" s="9">
        <f>IF(T238&gt;0.3, $AO$4, T238)</f>
        <v>0.17199999999999999</v>
      </c>
      <c r="V238" s="7" t="str">
        <f t="shared" si="46"/>
        <v>Less than 20%</v>
      </c>
      <c r="W238" s="11">
        <v>61</v>
      </c>
      <c r="X238" s="6">
        <f t="shared" si="43"/>
        <v>139277.83032000001</v>
      </c>
      <c r="Y238" s="6">
        <f t="shared" si="44"/>
        <v>83258.290000000008</v>
      </c>
      <c r="Z238" s="6">
        <f t="shared" si="47"/>
        <v>56019.54032</v>
      </c>
      <c r="AA238" s="9">
        <f t="shared" si="48"/>
        <v>0.4022143379983118</v>
      </c>
      <c r="AB238" s="9">
        <f>IF(U238&gt;'What-If Analysis'!$F$16, 'What-If Analysis'!$F$16,T238)</f>
        <v>0.17</v>
      </c>
      <c r="AC238" s="42">
        <f>S238*(1-AB238)</f>
        <v>2288.7581999999998</v>
      </c>
      <c r="AD238" s="42">
        <f>Q238*(1+'What-If Analysis'!F253)</f>
        <v>1364.89</v>
      </c>
      <c r="AE238" s="41">
        <f>W238*(1+'What-If Analysis'!$F$18)</f>
        <v>71.36999999999999</v>
      </c>
      <c r="AF238" s="42">
        <f t="shared" si="49"/>
        <v>163348.67273399996</v>
      </c>
      <c r="AG238" s="42">
        <f t="shared" si="50"/>
        <v>97412.199299999993</v>
      </c>
      <c r="AH238" s="42">
        <f t="shared" si="51"/>
        <v>65936.47343399997</v>
      </c>
      <c r="AI238" s="44">
        <f t="shared" si="52"/>
        <v>0.40365478537662902</v>
      </c>
      <c r="AJ238" s="42">
        <f t="shared" si="53"/>
        <v>24070.842413999955</v>
      </c>
      <c r="AK238" s="42">
        <f t="shared" si="54"/>
        <v>56019.54032</v>
      </c>
      <c r="AL238" s="9">
        <f t="shared" si="55"/>
        <v>1.4404473783172222E-3</v>
      </c>
      <c r="AM238" s="42"/>
    </row>
    <row r="239" spans="1:39" x14ac:dyDescent="0.25">
      <c r="A239" t="s">
        <v>252</v>
      </c>
      <c r="B239" s="20">
        <v>45258</v>
      </c>
      <c r="C239" s="4">
        <v>45267</v>
      </c>
      <c r="D239" s="4" t="s">
        <v>1438</v>
      </c>
      <c r="E239" s="4">
        <v>45267</v>
      </c>
      <c r="F239" s="11">
        <f t="shared" si="42"/>
        <v>9</v>
      </c>
      <c r="G239" s="11" t="str">
        <f t="shared" si="45"/>
        <v>Does not Meet Target</v>
      </c>
      <c r="H239" t="s">
        <v>647</v>
      </c>
      <c r="I239" t="s">
        <v>654</v>
      </c>
      <c r="J239" t="s">
        <v>680</v>
      </c>
      <c r="K239" t="s">
        <v>706</v>
      </c>
      <c r="L239" t="s">
        <v>709</v>
      </c>
      <c r="M239" t="s">
        <v>716</v>
      </c>
      <c r="N239" t="s">
        <v>730</v>
      </c>
      <c r="O239" t="str" cm="1">
        <f t="array" ref="O239">_xlfn.IFS(S239&lt;=_xlfn.PERCENTILE.INC(IF(N239:N869=N239, S239:S869), 0.33), "Low", S239&lt;=_xlfn.PERCENTILE.INC(IF(N239:N869=N239, S239:S869), 0.66), "Medium", S239 &gt; _xlfn.PERCENTILE.INC(IF(N239:N869=N239, S239:S869), 0.66), "High")</f>
        <v>Medium</v>
      </c>
      <c r="P239" t="s">
        <v>972</v>
      </c>
      <c r="Q239" s="6">
        <v>699.33</v>
      </c>
      <c r="R239" s="6">
        <v>873.75</v>
      </c>
      <c r="S239" s="6">
        <v>873.75</v>
      </c>
      <c r="T239" s="9">
        <v>0.23499999999999999</v>
      </c>
      <c r="U239" s="9">
        <f>IF(T239&gt;0.3, $AO$4, T239)</f>
        <v>0.23499999999999999</v>
      </c>
      <c r="V239" s="7" t="str">
        <f t="shared" si="46"/>
        <v>Greater than 20%</v>
      </c>
      <c r="W239" s="11">
        <v>10</v>
      </c>
      <c r="X239" s="6">
        <f t="shared" si="43"/>
        <v>6684.1875</v>
      </c>
      <c r="Y239" s="6">
        <f t="shared" si="44"/>
        <v>6993.3</v>
      </c>
      <c r="Z239" s="6">
        <f t="shared" si="47"/>
        <v>-309.11250000000018</v>
      </c>
      <c r="AA239" s="9">
        <f t="shared" si="48"/>
        <v>-4.6245336475076469E-2</v>
      </c>
      <c r="AB239" s="9">
        <f>IF(U239&gt;'What-If Analysis'!$F$16, 'What-If Analysis'!$F$16,T239)</f>
        <v>0.17</v>
      </c>
      <c r="AC239" s="42">
        <f>S239*(1-AB239)</f>
        <v>725.21249999999998</v>
      </c>
      <c r="AD239" s="42">
        <f>Q239*(1+'What-If Analysis'!F254)</f>
        <v>699.33</v>
      </c>
      <c r="AE239" s="41">
        <f>W239*(1+'What-If Analysis'!$F$18)</f>
        <v>11.7</v>
      </c>
      <c r="AF239" s="42">
        <f t="shared" si="49"/>
        <v>8484.9862499999999</v>
      </c>
      <c r="AG239" s="42">
        <f t="shared" si="50"/>
        <v>8182.1610000000001</v>
      </c>
      <c r="AH239" s="42">
        <f t="shared" si="51"/>
        <v>302.82524999999987</v>
      </c>
      <c r="AI239" s="44">
        <f t="shared" si="52"/>
        <v>3.56895392729717E-2</v>
      </c>
      <c r="AJ239" s="42">
        <f t="shared" si="53"/>
        <v>1800.7987499999999</v>
      </c>
      <c r="AK239" s="42">
        <f t="shared" si="54"/>
        <v>-309.11250000000018</v>
      </c>
      <c r="AL239" s="9">
        <f t="shared" si="55"/>
        <v>8.1934875748048169E-2</v>
      </c>
      <c r="AM239" s="42"/>
    </row>
    <row r="240" spans="1:39" x14ac:dyDescent="0.25">
      <c r="A240" t="s">
        <v>253</v>
      </c>
      <c r="B240" s="20">
        <v>45381</v>
      </c>
      <c r="C240" s="4">
        <v>45406</v>
      </c>
      <c r="D240" s="4" t="s">
        <v>1434</v>
      </c>
      <c r="E240" s="4">
        <v>45406</v>
      </c>
      <c r="F240" s="11">
        <f t="shared" si="42"/>
        <v>25</v>
      </c>
      <c r="G240" s="11" t="str">
        <f t="shared" si="45"/>
        <v>Does not Meet Target</v>
      </c>
      <c r="H240" t="s">
        <v>648</v>
      </c>
      <c r="I240" t="s">
        <v>660</v>
      </c>
      <c r="J240" t="s">
        <v>697</v>
      </c>
      <c r="K240" t="s">
        <v>703</v>
      </c>
      <c r="L240" t="s">
        <v>708</v>
      </c>
      <c r="M240" t="s">
        <v>715</v>
      </c>
      <c r="N240" t="s">
        <v>731</v>
      </c>
      <c r="O240" t="str" cm="1">
        <f t="array" ref="O240">_xlfn.IFS(S240&lt;=_xlfn.PERCENTILE.INC(IF(N240:N870=N240, S240:S870), 0.33), "Low", S240&lt;=_xlfn.PERCENTILE.INC(IF(N240:N870=N240, S240:S870), 0.66), "Medium", S240 &gt; _xlfn.PERCENTILE.INC(IF(N240:N870=N240, S240:S870), 0.66), "High")</f>
        <v>Low</v>
      </c>
      <c r="P240" t="s">
        <v>973</v>
      </c>
      <c r="Q240" s="6">
        <v>160.82</v>
      </c>
      <c r="R240" s="6">
        <v>258.52</v>
      </c>
      <c r="S240" s="6">
        <v>258.52</v>
      </c>
      <c r="T240" s="9">
        <v>0.13</v>
      </c>
      <c r="U240" s="9">
        <f>IF(T240&gt;0.3, $AO$4, T240)</f>
        <v>0.13</v>
      </c>
      <c r="V240" s="7" t="str">
        <f t="shared" si="46"/>
        <v>Less than 20%</v>
      </c>
      <c r="W240" s="11">
        <v>17</v>
      </c>
      <c r="X240" s="6">
        <f t="shared" si="43"/>
        <v>3823.5108</v>
      </c>
      <c r="Y240" s="6">
        <f t="shared" si="44"/>
        <v>2733.94</v>
      </c>
      <c r="Z240" s="6">
        <f t="shared" si="47"/>
        <v>1089.5708</v>
      </c>
      <c r="AA240" s="9">
        <f t="shared" si="48"/>
        <v>0.28496605789631874</v>
      </c>
      <c r="AB240" s="9">
        <f>IF(U240&gt;'What-If Analysis'!$F$16, 'What-If Analysis'!$F$16,T240)</f>
        <v>0.13</v>
      </c>
      <c r="AC240" s="42">
        <f>S240*(1-AB240)</f>
        <v>224.91239999999999</v>
      </c>
      <c r="AD240" s="42">
        <f>Q240*(1+'What-If Analysis'!F255)</f>
        <v>160.82</v>
      </c>
      <c r="AE240" s="41">
        <f>W240*(1+'What-If Analysis'!$F$18)</f>
        <v>19.89</v>
      </c>
      <c r="AF240" s="42">
        <f t="shared" si="49"/>
        <v>4473.5076360000003</v>
      </c>
      <c r="AG240" s="42">
        <f t="shared" si="50"/>
        <v>3198.7098000000001</v>
      </c>
      <c r="AH240" s="42">
        <f t="shared" si="51"/>
        <v>1274.7978360000002</v>
      </c>
      <c r="AI240" s="44">
        <f t="shared" si="52"/>
        <v>0.28496605789631879</v>
      </c>
      <c r="AJ240" s="42">
        <f t="shared" si="53"/>
        <v>649.99683600000026</v>
      </c>
      <c r="AK240" s="42">
        <f t="shared" si="54"/>
        <v>1089.5708</v>
      </c>
      <c r="AL240" s="9">
        <f t="shared" si="55"/>
        <v>0</v>
      </c>
      <c r="AM240" s="42"/>
    </row>
    <row r="241" spans="1:39" x14ac:dyDescent="0.25">
      <c r="A241" t="s">
        <v>254</v>
      </c>
      <c r="B241" s="20">
        <v>45188</v>
      </c>
      <c r="C241" s="4">
        <v>45207</v>
      </c>
      <c r="D241" s="4" t="s">
        <v>1444</v>
      </c>
      <c r="E241" s="4">
        <v>45207</v>
      </c>
      <c r="F241" s="11">
        <f t="shared" si="42"/>
        <v>19</v>
      </c>
      <c r="G241" s="11" t="str">
        <f t="shared" si="45"/>
        <v>Does not Meet Target</v>
      </c>
      <c r="H241" t="s">
        <v>647</v>
      </c>
      <c r="I241" t="s">
        <v>654</v>
      </c>
      <c r="J241" t="s">
        <v>668</v>
      </c>
      <c r="K241" t="s">
        <v>702</v>
      </c>
      <c r="L241" t="s">
        <v>711</v>
      </c>
      <c r="M241" t="s">
        <v>713</v>
      </c>
      <c r="N241" t="s">
        <v>728</v>
      </c>
      <c r="O241" t="str" cm="1">
        <f t="array" ref="O241">_xlfn.IFS(S241&lt;=_xlfn.PERCENTILE.INC(IF(N241:N871=N241, S241:S871), 0.33), "Low", S241&lt;=_xlfn.PERCENTILE.INC(IF(N241:N871=N241, S241:S871), 0.66), "Medium", S241 &gt; _xlfn.PERCENTILE.INC(IF(N241:N871=N241, S241:S871), 0.66), "High")</f>
        <v>Low</v>
      </c>
      <c r="P241" t="s">
        <v>974</v>
      </c>
      <c r="Q241" s="6">
        <v>385.32</v>
      </c>
      <c r="R241" s="6">
        <v>606.76</v>
      </c>
      <c r="S241" s="6">
        <v>606.76</v>
      </c>
      <c r="T241" s="9">
        <v>8.5999999999999993E-2</v>
      </c>
      <c r="U241" s="9">
        <f>IF(T241&gt;0.3, $AO$4, T241)</f>
        <v>8.5999999999999993E-2</v>
      </c>
      <c r="V241" s="7" t="str">
        <f t="shared" si="46"/>
        <v>Less than 20%</v>
      </c>
      <c r="W241" s="11">
        <v>8</v>
      </c>
      <c r="X241" s="6">
        <f t="shared" si="43"/>
        <v>4436.6291200000005</v>
      </c>
      <c r="Y241" s="6">
        <f t="shared" si="44"/>
        <v>3082.56</v>
      </c>
      <c r="Z241" s="6">
        <f t="shared" si="47"/>
        <v>1354.0691200000006</v>
      </c>
      <c r="AA241" s="9">
        <f t="shared" si="48"/>
        <v>0.30520223425842735</v>
      </c>
      <c r="AB241" s="9">
        <f>IF(U241&gt;'What-If Analysis'!$F$16, 'What-If Analysis'!$F$16,T241)</f>
        <v>8.5999999999999993E-2</v>
      </c>
      <c r="AC241" s="42">
        <f>S241*(1-AB241)</f>
        <v>554.57864000000006</v>
      </c>
      <c r="AD241" s="42">
        <f>Q241*(1+'What-If Analysis'!F256)</f>
        <v>385.32</v>
      </c>
      <c r="AE241" s="41">
        <f>W241*(1+'What-If Analysis'!$F$18)</f>
        <v>9.36</v>
      </c>
      <c r="AF241" s="42">
        <f t="shared" si="49"/>
        <v>5190.8560704000001</v>
      </c>
      <c r="AG241" s="42">
        <f t="shared" si="50"/>
        <v>3606.5951999999997</v>
      </c>
      <c r="AH241" s="42">
        <f t="shared" si="51"/>
        <v>1584.2608704000004</v>
      </c>
      <c r="AI241" s="44">
        <f t="shared" si="52"/>
        <v>0.30520223425842735</v>
      </c>
      <c r="AJ241" s="42">
        <f t="shared" si="53"/>
        <v>754.22695039999962</v>
      </c>
      <c r="AK241" s="42">
        <f t="shared" si="54"/>
        <v>1354.0691200000006</v>
      </c>
      <c r="AL241" s="9">
        <f t="shared" si="55"/>
        <v>0</v>
      </c>
      <c r="AM241" s="42"/>
    </row>
    <row r="242" spans="1:39" x14ac:dyDescent="0.25">
      <c r="A242" t="s">
        <v>255</v>
      </c>
      <c r="B242" s="20">
        <v>45793</v>
      </c>
      <c r="C242" s="4">
        <v>45804</v>
      </c>
      <c r="D242" s="4" t="s">
        <v>1440</v>
      </c>
      <c r="E242" s="4">
        <v>45804</v>
      </c>
      <c r="F242" s="11">
        <f t="shared" si="42"/>
        <v>11</v>
      </c>
      <c r="G242" s="11" t="str">
        <f t="shared" si="45"/>
        <v>Does not Meet Target</v>
      </c>
      <c r="H242" t="s">
        <v>647</v>
      </c>
      <c r="I242" t="s">
        <v>659</v>
      </c>
      <c r="J242" t="s">
        <v>699</v>
      </c>
      <c r="K242" t="s">
        <v>706</v>
      </c>
      <c r="L242" t="s">
        <v>708</v>
      </c>
      <c r="M242" t="s">
        <v>721</v>
      </c>
      <c r="N242" t="s">
        <v>730</v>
      </c>
      <c r="O242" t="str" cm="1">
        <f t="array" ref="O242">_xlfn.IFS(S242&lt;=_xlfn.PERCENTILE.INC(IF(N242:N872=N242, S242:S872), 0.33), "Low", S242&lt;=_xlfn.PERCENTILE.INC(IF(N242:N872=N242, S242:S872), 0.66), "Medium", S242 &gt; _xlfn.PERCENTILE.INC(IF(N242:N872=N242, S242:S872), 0.66), "High")</f>
        <v>Medium</v>
      </c>
      <c r="P242" t="s">
        <v>975</v>
      </c>
      <c r="Q242" s="6">
        <v>918.12</v>
      </c>
      <c r="R242" s="6">
        <v>1337.69</v>
      </c>
      <c r="S242" s="6">
        <v>1337.69</v>
      </c>
      <c r="T242" s="9">
        <v>9.5000000000000001E-2</v>
      </c>
      <c r="U242" s="9">
        <f>IF(T242&gt;0.3, $AO$4, T242)</f>
        <v>9.5000000000000001E-2</v>
      </c>
      <c r="V242" s="7" t="str">
        <f t="shared" si="46"/>
        <v>Less than 20%</v>
      </c>
      <c r="W242" s="11">
        <v>8</v>
      </c>
      <c r="X242" s="6">
        <f t="shared" si="43"/>
        <v>9684.8756000000012</v>
      </c>
      <c r="Y242" s="6">
        <f t="shared" si="44"/>
        <v>7344.96</v>
      </c>
      <c r="Z242" s="6">
        <f t="shared" si="47"/>
        <v>2339.9156000000012</v>
      </c>
      <c r="AA242" s="9">
        <f t="shared" si="48"/>
        <v>0.24160512707050164</v>
      </c>
      <c r="AB242" s="9">
        <f>IF(U242&gt;'What-If Analysis'!$F$16, 'What-If Analysis'!$F$16,T242)</f>
        <v>9.5000000000000001E-2</v>
      </c>
      <c r="AC242" s="42">
        <f>S242*(1-AB242)</f>
        <v>1210.6094500000002</v>
      </c>
      <c r="AD242" s="42">
        <f>Q242*(1+'What-If Analysis'!F257)</f>
        <v>918.12</v>
      </c>
      <c r="AE242" s="41">
        <f>W242*(1+'What-If Analysis'!$F$18)</f>
        <v>9.36</v>
      </c>
      <c r="AF242" s="42">
        <f t="shared" si="49"/>
        <v>11331.304452</v>
      </c>
      <c r="AG242" s="42">
        <f t="shared" si="50"/>
        <v>8593.6031999999996</v>
      </c>
      <c r="AH242" s="42">
        <f t="shared" si="51"/>
        <v>2737.7012520000007</v>
      </c>
      <c r="AI242" s="44">
        <f t="shared" si="52"/>
        <v>0.24160512707050161</v>
      </c>
      <c r="AJ242" s="42">
        <f t="shared" si="53"/>
        <v>1646.4288519999991</v>
      </c>
      <c r="AK242" s="42">
        <f t="shared" si="54"/>
        <v>2339.9156000000012</v>
      </c>
      <c r="AL242" s="9">
        <f t="shared" si="55"/>
        <v>0</v>
      </c>
      <c r="AM242" s="42"/>
    </row>
    <row r="243" spans="1:39" x14ac:dyDescent="0.25">
      <c r="A243" t="s">
        <v>256</v>
      </c>
      <c r="B243" s="20">
        <v>45871</v>
      </c>
      <c r="C243" s="4">
        <v>45877</v>
      </c>
      <c r="D243" s="4" t="s">
        <v>1441</v>
      </c>
      <c r="E243" s="4">
        <v>45877</v>
      </c>
      <c r="F243" s="11">
        <f t="shared" si="42"/>
        <v>6</v>
      </c>
      <c r="G243" s="11" t="str">
        <f t="shared" si="45"/>
        <v>Meets Target</v>
      </c>
      <c r="H243" t="s">
        <v>647</v>
      </c>
      <c r="I243" t="s">
        <v>652</v>
      </c>
      <c r="J243" t="s">
        <v>666</v>
      </c>
      <c r="K243" t="s">
        <v>704</v>
      </c>
      <c r="L243" t="s">
        <v>711</v>
      </c>
      <c r="M243" t="s">
        <v>725</v>
      </c>
      <c r="N243" t="s">
        <v>731</v>
      </c>
      <c r="O243" t="str" cm="1">
        <f t="array" ref="O243">_xlfn.IFS(S243&lt;=_xlfn.PERCENTILE.INC(IF(N243:N873=N243, S243:S873), 0.33), "Low", S243&lt;=_xlfn.PERCENTILE.INC(IF(N243:N873=N243, S243:S873), 0.66), "Medium", S243 &gt; _xlfn.PERCENTILE.INC(IF(N243:N873=N243, S243:S873), 0.66), "High")</f>
        <v>Medium</v>
      </c>
      <c r="P243" t="s">
        <v>976</v>
      </c>
      <c r="Q243" s="6">
        <v>1225.94</v>
      </c>
      <c r="R243" s="6">
        <v>1793.08</v>
      </c>
      <c r="S243" s="6">
        <v>1793.08</v>
      </c>
      <c r="T243" s="9">
        <v>0.13600000000000001</v>
      </c>
      <c r="U243" s="9">
        <f>IF(T243&gt;0.3, $AO$4, T243)</f>
        <v>0.13600000000000001</v>
      </c>
      <c r="V243" s="7" t="str">
        <f t="shared" si="46"/>
        <v>Less than 20%</v>
      </c>
      <c r="W243" s="11">
        <v>22</v>
      </c>
      <c r="X243" s="6">
        <f t="shared" si="43"/>
        <v>34082.864639999993</v>
      </c>
      <c r="Y243" s="6">
        <f t="shared" si="44"/>
        <v>26970.68</v>
      </c>
      <c r="Z243" s="6">
        <f t="shared" si="47"/>
        <v>7112.1846399999922</v>
      </c>
      <c r="AA243" s="9">
        <f t="shared" si="48"/>
        <v>0.20867332353434462</v>
      </c>
      <c r="AB243" s="9">
        <f>IF(U243&gt;'What-If Analysis'!$F$16, 'What-If Analysis'!$F$16,T243)</f>
        <v>0.13600000000000001</v>
      </c>
      <c r="AC243" s="42">
        <f>S243*(1-AB243)</f>
        <v>1549.2211199999999</v>
      </c>
      <c r="AD243" s="42">
        <f>Q243*(1+'What-If Analysis'!F258)</f>
        <v>1225.94</v>
      </c>
      <c r="AE243" s="41">
        <f>W243*(1+'What-If Analysis'!$F$18)</f>
        <v>25.74</v>
      </c>
      <c r="AF243" s="42">
        <f t="shared" si="49"/>
        <v>39876.951628799994</v>
      </c>
      <c r="AG243" s="42">
        <f t="shared" si="50"/>
        <v>31555.695599999999</v>
      </c>
      <c r="AH243" s="42">
        <f t="shared" si="51"/>
        <v>8321.256028799995</v>
      </c>
      <c r="AI243" s="44">
        <f t="shared" si="52"/>
        <v>0.2086733235343447</v>
      </c>
      <c r="AJ243" s="42">
        <f t="shared" si="53"/>
        <v>5794.0869888000016</v>
      </c>
      <c r="AK243" s="42">
        <f t="shared" si="54"/>
        <v>7112.1846399999922</v>
      </c>
      <c r="AL243" s="9">
        <f t="shared" si="55"/>
        <v>0</v>
      </c>
      <c r="AM243" s="42"/>
    </row>
    <row r="244" spans="1:39" x14ac:dyDescent="0.25">
      <c r="A244" t="s">
        <v>257</v>
      </c>
      <c r="B244" s="20">
        <v>45630</v>
      </c>
      <c r="C244" s="4">
        <v>45638</v>
      </c>
      <c r="D244" s="4" t="s">
        <v>1435</v>
      </c>
      <c r="E244" s="4">
        <v>45638</v>
      </c>
      <c r="F244" s="11">
        <f t="shared" si="42"/>
        <v>8</v>
      </c>
      <c r="G244" s="11" t="str">
        <f t="shared" si="45"/>
        <v>Does not Meet Target</v>
      </c>
      <c r="H244" t="s">
        <v>649</v>
      </c>
      <c r="I244" t="s">
        <v>656</v>
      </c>
      <c r="J244" t="s">
        <v>698</v>
      </c>
      <c r="K244" t="s">
        <v>706</v>
      </c>
      <c r="L244" t="s">
        <v>709</v>
      </c>
      <c r="M244" t="s">
        <v>717</v>
      </c>
      <c r="N244" t="s">
        <v>728</v>
      </c>
      <c r="O244" t="str" cm="1">
        <f t="array" ref="O244">_xlfn.IFS(S244&lt;=_xlfn.PERCENTILE.INC(IF(N244:N874=N244, S244:S874), 0.33), "Low", S244&lt;=_xlfn.PERCENTILE.INC(IF(N244:N874=N244, S244:S874), 0.66), "Medium", S244 &gt; _xlfn.PERCENTILE.INC(IF(N244:N874=N244, S244:S874), 0.66), "High")</f>
        <v>Low</v>
      </c>
      <c r="P244" t="s">
        <v>977</v>
      </c>
      <c r="Q244" s="6">
        <v>72.06</v>
      </c>
      <c r="R244" s="6">
        <v>122.74</v>
      </c>
      <c r="S244" s="6">
        <v>122.74</v>
      </c>
      <c r="T244" s="9">
        <v>0.23799999999999999</v>
      </c>
      <c r="U244" s="9">
        <f>IF(T244&gt;0.3, $AO$4, T244)</f>
        <v>0.23799999999999999</v>
      </c>
      <c r="V244" s="7" t="str">
        <f t="shared" si="46"/>
        <v>Greater than 20%</v>
      </c>
      <c r="W244" s="11">
        <v>8</v>
      </c>
      <c r="X244" s="6">
        <f t="shared" si="43"/>
        <v>748.22303999999997</v>
      </c>
      <c r="Y244" s="6">
        <f t="shared" si="44"/>
        <v>576.48</v>
      </c>
      <c r="Z244" s="6">
        <f t="shared" si="47"/>
        <v>171.74303999999995</v>
      </c>
      <c r="AA244" s="9">
        <f t="shared" si="48"/>
        <v>0.22953455162246802</v>
      </c>
      <c r="AB244" s="9">
        <f>IF(U244&gt;'What-If Analysis'!$F$16, 'What-If Analysis'!$F$16,T244)</f>
        <v>0.17</v>
      </c>
      <c r="AC244" s="42">
        <f>S244*(1-AB244)</f>
        <v>101.87419999999999</v>
      </c>
      <c r="AD244" s="42">
        <f>Q244*(1+'What-If Analysis'!F259)</f>
        <v>72.06</v>
      </c>
      <c r="AE244" s="41">
        <f>W244*(1+'What-If Analysis'!$F$18)</f>
        <v>9.36</v>
      </c>
      <c r="AF244" s="42">
        <f t="shared" si="49"/>
        <v>953.54251199999987</v>
      </c>
      <c r="AG244" s="42">
        <f t="shared" si="50"/>
        <v>674.48159999999996</v>
      </c>
      <c r="AH244" s="42">
        <f t="shared" si="51"/>
        <v>279.06091199999992</v>
      </c>
      <c r="AI244" s="44">
        <f t="shared" si="52"/>
        <v>0.2926570220919526</v>
      </c>
      <c r="AJ244" s="42">
        <f t="shared" si="53"/>
        <v>205.31947199999991</v>
      </c>
      <c r="AK244" s="42">
        <f t="shared" si="54"/>
        <v>171.74303999999995</v>
      </c>
      <c r="AL244" s="9">
        <f t="shared" si="55"/>
        <v>6.3122470469484576E-2</v>
      </c>
      <c r="AM244" s="42"/>
    </row>
    <row r="245" spans="1:39" x14ac:dyDescent="0.25">
      <c r="A245" t="s">
        <v>258</v>
      </c>
      <c r="B245" s="20">
        <v>45035</v>
      </c>
      <c r="C245" s="4">
        <v>45044</v>
      </c>
      <c r="D245" s="4" t="s">
        <v>1442</v>
      </c>
      <c r="E245" s="4">
        <v>45044</v>
      </c>
      <c r="F245" s="11">
        <f t="shared" si="42"/>
        <v>9</v>
      </c>
      <c r="G245" s="11" t="str">
        <f t="shared" si="45"/>
        <v>Does not Meet Target</v>
      </c>
      <c r="H245" t="s">
        <v>648</v>
      </c>
      <c r="I245" t="s">
        <v>655</v>
      </c>
      <c r="J245" t="s">
        <v>692</v>
      </c>
      <c r="K245" t="s">
        <v>701</v>
      </c>
      <c r="L245" t="s">
        <v>710</v>
      </c>
      <c r="M245" t="s">
        <v>724</v>
      </c>
      <c r="N245" t="s">
        <v>730</v>
      </c>
      <c r="O245" t="str" cm="1">
        <f t="array" ref="O245">_xlfn.IFS(S245&lt;=_xlfn.PERCENTILE.INC(IF(N245:N875=N245, S245:S875), 0.33), "Low", S245&lt;=_xlfn.PERCENTILE.INC(IF(N245:N875=N245, S245:S875), 0.66), "Medium", S245 &gt; _xlfn.PERCENTILE.INC(IF(N245:N875=N245, S245:S875), 0.66), "High")</f>
        <v>Medium</v>
      </c>
      <c r="P245" t="s">
        <v>978</v>
      </c>
      <c r="Q245" s="6">
        <v>1013.54</v>
      </c>
      <c r="R245" s="6">
        <v>927.93</v>
      </c>
      <c r="S245" s="6">
        <v>927.93</v>
      </c>
      <c r="T245" s="9">
        <v>0.17499999999999999</v>
      </c>
      <c r="U245" s="9">
        <f>IF(T245&gt;0.3, $AO$4, T245)</f>
        <v>0.17499999999999999</v>
      </c>
      <c r="V245" s="7" t="str">
        <f t="shared" si="46"/>
        <v>Less than 20%</v>
      </c>
      <c r="W245" s="11">
        <v>16</v>
      </c>
      <c r="X245" s="6">
        <f t="shared" si="43"/>
        <v>12248.675999999999</v>
      </c>
      <c r="Y245" s="6">
        <f t="shared" si="44"/>
        <v>16216.64</v>
      </c>
      <c r="Z245" s="6">
        <f t="shared" si="47"/>
        <v>-3967.9639999999999</v>
      </c>
      <c r="AA245" s="9">
        <f t="shared" si="48"/>
        <v>-0.32395044166406234</v>
      </c>
      <c r="AB245" s="9">
        <f>IF(U245&gt;'What-If Analysis'!$F$16, 'What-If Analysis'!$F$16,T245)</f>
        <v>0.17</v>
      </c>
      <c r="AC245" s="42">
        <f>S245*(1-AB245)</f>
        <v>770.18189999999993</v>
      </c>
      <c r="AD245" s="42">
        <f>Q245*(1+'What-If Analysis'!F260)</f>
        <v>1013.54</v>
      </c>
      <c r="AE245" s="41">
        <f>W245*(1+'What-If Analysis'!$F$18)</f>
        <v>18.72</v>
      </c>
      <c r="AF245" s="42">
        <f t="shared" si="49"/>
        <v>14417.805167999997</v>
      </c>
      <c r="AG245" s="42">
        <f t="shared" si="50"/>
        <v>18973.468799999999</v>
      </c>
      <c r="AH245" s="42">
        <f t="shared" si="51"/>
        <v>-4555.6636320000016</v>
      </c>
      <c r="AI245" s="44">
        <f t="shared" si="52"/>
        <v>-0.31597483659379705</v>
      </c>
      <c r="AJ245" s="42">
        <f t="shared" si="53"/>
        <v>2169.1291679999977</v>
      </c>
      <c r="AK245" s="42">
        <f t="shared" si="54"/>
        <v>-3967.9639999999999</v>
      </c>
      <c r="AL245" s="9">
        <f t="shared" si="55"/>
        <v>7.9756050702652903E-3</v>
      </c>
      <c r="AM245" s="42"/>
    </row>
    <row r="246" spans="1:39" x14ac:dyDescent="0.25">
      <c r="A246" t="s">
        <v>259</v>
      </c>
      <c r="B246" s="20">
        <v>45357</v>
      </c>
      <c r="C246" s="4">
        <v>45377</v>
      </c>
      <c r="D246" s="4" t="s">
        <v>1434</v>
      </c>
      <c r="E246" s="4">
        <v>45377</v>
      </c>
      <c r="F246" s="11">
        <f t="shared" si="42"/>
        <v>20</v>
      </c>
      <c r="G246" s="11" t="str">
        <f t="shared" si="45"/>
        <v>Does not Meet Target</v>
      </c>
      <c r="H246" t="s">
        <v>646</v>
      </c>
      <c r="I246" t="s">
        <v>651</v>
      </c>
      <c r="J246" t="s">
        <v>663</v>
      </c>
      <c r="K246" t="s">
        <v>704</v>
      </c>
      <c r="L246" t="s">
        <v>709</v>
      </c>
      <c r="M246" t="s">
        <v>714</v>
      </c>
      <c r="N246" t="s">
        <v>730</v>
      </c>
      <c r="O246" t="str" cm="1">
        <f t="array" ref="O246">_xlfn.IFS(S246&lt;=_xlfn.PERCENTILE.INC(IF(N246:N876=N246, S246:S876), 0.33), "Low", S246&lt;=_xlfn.PERCENTILE.INC(IF(N246:N876=N246, S246:S876), 0.66), "Medium", S246 &gt; _xlfn.PERCENTILE.INC(IF(N246:N876=N246, S246:S876), 0.66), "High")</f>
        <v>Low</v>
      </c>
      <c r="P246" t="s">
        <v>979</v>
      </c>
      <c r="Q246" s="6">
        <v>65.64</v>
      </c>
      <c r="R246" s="6">
        <v>151.88</v>
      </c>
      <c r="S246" s="6">
        <v>151.88</v>
      </c>
      <c r="T246" s="9">
        <v>0.16700000000000001</v>
      </c>
      <c r="U246" s="9">
        <f>IF(T246&gt;0.3, $AO$4, T246)</f>
        <v>0.16700000000000001</v>
      </c>
      <c r="V246" s="7" t="str">
        <f t="shared" si="46"/>
        <v>Less than 20%</v>
      </c>
      <c r="W246" s="11">
        <v>23</v>
      </c>
      <c r="X246" s="6">
        <f t="shared" si="43"/>
        <v>2909.8689199999999</v>
      </c>
      <c r="Y246" s="6">
        <f t="shared" si="44"/>
        <v>1509.72</v>
      </c>
      <c r="Z246" s="6">
        <f t="shared" si="47"/>
        <v>1400.1489199999999</v>
      </c>
      <c r="AA246" s="9">
        <f t="shared" si="48"/>
        <v>0.48117250587356353</v>
      </c>
      <c r="AB246" s="9">
        <f>IF(U246&gt;'What-If Analysis'!$F$16, 'What-If Analysis'!$F$16,T246)</f>
        <v>0.16700000000000001</v>
      </c>
      <c r="AC246" s="42">
        <f>S246*(1-AB246)</f>
        <v>126.51603999999999</v>
      </c>
      <c r="AD246" s="42">
        <f>Q246*(1+'What-If Analysis'!F261)</f>
        <v>65.64</v>
      </c>
      <c r="AE246" s="41">
        <f>W246*(1+'What-If Analysis'!$F$18)</f>
        <v>26.909999999999997</v>
      </c>
      <c r="AF246" s="42">
        <f t="shared" si="49"/>
        <v>3404.5466363999994</v>
      </c>
      <c r="AG246" s="42">
        <f t="shared" si="50"/>
        <v>1766.3723999999997</v>
      </c>
      <c r="AH246" s="42">
        <f t="shared" si="51"/>
        <v>1638.1742363999997</v>
      </c>
      <c r="AI246" s="44">
        <f t="shared" si="52"/>
        <v>0.48117250587356353</v>
      </c>
      <c r="AJ246" s="42">
        <f t="shared" si="53"/>
        <v>494.67771639999955</v>
      </c>
      <c r="AK246" s="42">
        <f t="shared" si="54"/>
        <v>1400.1489199999999</v>
      </c>
      <c r="AL246" s="9">
        <f t="shared" si="55"/>
        <v>0</v>
      </c>
      <c r="AM246" s="42"/>
    </row>
    <row r="247" spans="1:39" x14ac:dyDescent="0.25">
      <c r="A247" t="s">
        <v>260</v>
      </c>
      <c r="B247" s="20">
        <v>45338</v>
      </c>
      <c r="C247" s="4">
        <v>45355</v>
      </c>
      <c r="D247" s="4" t="s">
        <v>1434</v>
      </c>
      <c r="E247" s="4">
        <v>45355</v>
      </c>
      <c r="F247" s="11">
        <f t="shared" si="42"/>
        <v>17</v>
      </c>
      <c r="G247" s="11" t="str">
        <f t="shared" si="45"/>
        <v>Does not Meet Target</v>
      </c>
      <c r="H247" t="s">
        <v>648</v>
      </c>
      <c r="I247" t="s">
        <v>653</v>
      </c>
      <c r="J247" t="s">
        <v>681</v>
      </c>
      <c r="K247" t="s">
        <v>703</v>
      </c>
      <c r="L247" t="s">
        <v>707</v>
      </c>
      <c r="M247" t="s">
        <v>726</v>
      </c>
      <c r="N247" t="s">
        <v>731</v>
      </c>
      <c r="O247" t="str" cm="1">
        <f t="array" ref="O247">_xlfn.IFS(S247&lt;=_xlfn.PERCENTILE.INC(IF(N247:N877=N247, S247:S877), 0.33), "Low", S247&lt;=_xlfn.PERCENTILE.INC(IF(N247:N877=N247, S247:S877), 0.66), "Medium", S247 &gt; _xlfn.PERCENTILE.INC(IF(N247:N877=N247, S247:S877), 0.66), "High")</f>
        <v>High</v>
      </c>
      <c r="P247" t="s">
        <v>980</v>
      </c>
      <c r="Q247" s="6">
        <v>1350.98</v>
      </c>
      <c r="R247" s="6">
        <v>2210.4</v>
      </c>
      <c r="S247" s="6">
        <v>2210.4</v>
      </c>
      <c r="T247" s="9">
        <v>0.26300000000000001</v>
      </c>
      <c r="U247" s="9">
        <f>IF(T247&gt;0.3, $AO$4, T247)</f>
        <v>0.26300000000000001</v>
      </c>
      <c r="V247" s="7" t="str">
        <f t="shared" si="46"/>
        <v>Greater than 20%</v>
      </c>
      <c r="W247" s="11">
        <v>6</v>
      </c>
      <c r="X247" s="6">
        <f t="shared" si="43"/>
        <v>9774.3888000000006</v>
      </c>
      <c r="Y247" s="6">
        <f t="shared" si="44"/>
        <v>8105.88</v>
      </c>
      <c r="Z247" s="6">
        <f t="shared" si="47"/>
        <v>1668.5088000000005</v>
      </c>
      <c r="AA247" s="9">
        <f t="shared" si="48"/>
        <v>0.17070211080615091</v>
      </c>
      <c r="AB247" s="9">
        <f>IF(U247&gt;'What-If Analysis'!$F$16, 'What-If Analysis'!$F$16,T247)</f>
        <v>0.17</v>
      </c>
      <c r="AC247" s="42">
        <f>S247*(1-AB247)</f>
        <v>1834.6320000000001</v>
      </c>
      <c r="AD247" s="42">
        <f>Q247*(1+'What-If Analysis'!F262)</f>
        <v>1350.98</v>
      </c>
      <c r="AE247" s="41">
        <f>W247*(1+'What-If Analysis'!$F$18)</f>
        <v>7.02</v>
      </c>
      <c r="AF247" s="42">
        <f t="shared" si="49"/>
        <v>12879.11664</v>
      </c>
      <c r="AG247" s="42">
        <f t="shared" si="50"/>
        <v>9483.8796000000002</v>
      </c>
      <c r="AH247" s="42">
        <f t="shared" si="51"/>
        <v>3395.23704</v>
      </c>
      <c r="AI247" s="44">
        <f t="shared" si="52"/>
        <v>0.26362344055919662</v>
      </c>
      <c r="AJ247" s="42">
        <f t="shared" si="53"/>
        <v>3104.7278399999996</v>
      </c>
      <c r="AK247" s="42">
        <f t="shared" si="54"/>
        <v>1668.5088000000005</v>
      </c>
      <c r="AL247" s="9">
        <f t="shared" si="55"/>
        <v>9.2921329753045706E-2</v>
      </c>
      <c r="AM247" s="42"/>
    </row>
    <row r="248" spans="1:39" x14ac:dyDescent="0.25">
      <c r="A248" t="s">
        <v>261</v>
      </c>
      <c r="B248" s="20">
        <v>45769</v>
      </c>
      <c r="C248" s="4">
        <v>45779</v>
      </c>
      <c r="D248" s="4" t="s">
        <v>1440</v>
      </c>
      <c r="E248" s="4">
        <v>45779</v>
      </c>
      <c r="F248" s="11">
        <f t="shared" si="42"/>
        <v>10</v>
      </c>
      <c r="G248" s="11" t="str">
        <f t="shared" si="45"/>
        <v>Does not Meet Target</v>
      </c>
      <c r="H248" t="s">
        <v>649</v>
      </c>
      <c r="I248" t="s">
        <v>656</v>
      </c>
      <c r="J248" t="s">
        <v>671</v>
      </c>
      <c r="K248" t="s">
        <v>701</v>
      </c>
      <c r="L248" t="s">
        <v>709</v>
      </c>
      <c r="M248" t="s">
        <v>712</v>
      </c>
      <c r="N248" t="s">
        <v>732</v>
      </c>
      <c r="O248" t="str" cm="1">
        <f t="array" ref="O248">_xlfn.IFS(S248&lt;=_xlfn.PERCENTILE.INC(IF(N248:N878=N248, S248:S878), 0.33), "Low", S248&lt;=_xlfn.PERCENTILE.INC(IF(N248:N878=N248, S248:S878), 0.66), "Medium", S248 &gt; _xlfn.PERCENTILE.INC(IF(N248:N878=N248, S248:S878), 0.66), "High")</f>
        <v>Low</v>
      </c>
      <c r="P248" t="s">
        <v>981</v>
      </c>
      <c r="Q248" s="6">
        <v>20.149999999999999</v>
      </c>
      <c r="R248" s="6">
        <v>39.74</v>
      </c>
      <c r="S248" s="6">
        <v>39.74</v>
      </c>
      <c r="T248" s="9">
        <v>0.151</v>
      </c>
      <c r="U248" s="9">
        <f>IF(T248&gt;0.3, $AO$4, T248)</f>
        <v>0.151</v>
      </c>
      <c r="V248" s="7" t="str">
        <f t="shared" si="46"/>
        <v>Less than 20%</v>
      </c>
      <c r="W248" s="11">
        <v>18</v>
      </c>
      <c r="X248" s="6">
        <f t="shared" si="43"/>
        <v>607.30668000000003</v>
      </c>
      <c r="Y248" s="6">
        <f t="shared" si="44"/>
        <v>362.7</v>
      </c>
      <c r="Z248" s="6">
        <f t="shared" si="47"/>
        <v>244.60668000000004</v>
      </c>
      <c r="AA248" s="9">
        <f t="shared" si="48"/>
        <v>0.4027729120318585</v>
      </c>
      <c r="AB248" s="9">
        <f>IF(U248&gt;'What-If Analysis'!$F$16, 'What-If Analysis'!$F$16,T248)</f>
        <v>0.151</v>
      </c>
      <c r="AC248" s="42">
        <f>S248*(1-AB248)</f>
        <v>33.739260000000002</v>
      </c>
      <c r="AD248" s="42">
        <f>Q248*(1+'What-If Analysis'!F263)</f>
        <v>20.149999999999999</v>
      </c>
      <c r="AE248" s="41">
        <f>W248*(1+'What-If Analysis'!$F$18)</f>
        <v>21.06</v>
      </c>
      <c r="AF248" s="42">
        <f t="shared" si="49"/>
        <v>710.54881560000001</v>
      </c>
      <c r="AG248" s="42">
        <f t="shared" si="50"/>
        <v>424.35899999999992</v>
      </c>
      <c r="AH248" s="42">
        <f t="shared" si="51"/>
        <v>286.18981560000009</v>
      </c>
      <c r="AI248" s="44">
        <f t="shared" si="52"/>
        <v>0.40277291203185855</v>
      </c>
      <c r="AJ248" s="42">
        <f t="shared" si="53"/>
        <v>103.24213559999998</v>
      </c>
      <c r="AK248" s="42">
        <f t="shared" si="54"/>
        <v>244.60668000000004</v>
      </c>
      <c r="AL248" s="9">
        <f t="shared" si="55"/>
        <v>0</v>
      </c>
      <c r="AM248" s="42"/>
    </row>
    <row r="249" spans="1:39" x14ac:dyDescent="0.25">
      <c r="A249" t="s">
        <v>262</v>
      </c>
      <c r="B249" s="20">
        <v>45604</v>
      </c>
      <c r="C249" s="4">
        <v>45604</v>
      </c>
      <c r="D249" s="4" t="s">
        <v>1435</v>
      </c>
      <c r="E249" s="4">
        <v>45604</v>
      </c>
      <c r="F249" s="11">
        <f t="shared" si="42"/>
        <v>0</v>
      </c>
      <c r="G249" s="11" t="str">
        <f t="shared" si="45"/>
        <v>Meets Target</v>
      </c>
      <c r="H249" t="s">
        <v>646</v>
      </c>
      <c r="I249" t="s">
        <v>650</v>
      </c>
      <c r="J249" t="s">
        <v>678</v>
      </c>
      <c r="K249" t="s">
        <v>706</v>
      </c>
      <c r="L249" t="s">
        <v>709</v>
      </c>
      <c r="M249" t="s">
        <v>724</v>
      </c>
      <c r="N249" t="s">
        <v>729</v>
      </c>
      <c r="O249" t="str" cm="1">
        <f t="array" ref="O249">_xlfn.IFS(S249&lt;=_xlfn.PERCENTILE.INC(IF(N249:N879=N249, S249:S879), 0.33), "Low", S249&lt;=_xlfn.PERCENTILE.INC(IF(N249:N879=N249, S249:S879), 0.66), "Medium", S249 &gt; _xlfn.PERCENTILE.INC(IF(N249:N879=N249, S249:S879), 0.66), "High")</f>
        <v>Medium</v>
      </c>
      <c r="P249" t="s">
        <v>982</v>
      </c>
      <c r="Q249" s="6">
        <v>803.28</v>
      </c>
      <c r="R249" s="6">
        <v>1009</v>
      </c>
      <c r="S249" s="6">
        <v>1009</v>
      </c>
      <c r="T249" s="9">
        <v>0.11</v>
      </c>
      <c r="U249" s="9">
        <f>IF(T249&gt;0.3, $AO$4, T249)</f>
        <v>0.11</v>
      </c>
      <c r="V249" s="7" t="str">
        <f t="shared" si="46"/>
        <v>Less than 20%</v>
      </c>
      <c r="W249" s="11">
        <v>4</v>
      </c>
      <c r="X249" s="6">
        <f t="shared" si="43"/>
        <v>3592.04</v>
      </c>
      <c r="Y249" s="6">
        <f t="shared" si="44"/>
        <v>3213.12</v>
      </c>
      <c r="Z249" s="6">
        <f t="shared" si="47"/>
        <v>378.92000000000007</v>
      </c>
      <c r="AA249" s="9">
        <f t="shared" si="48"/>
        <v>0.10548880302001093</v>
      </c>
      <c r="AB249" s="9">
        <f>IF(U249&gt;'What-If Analysis'!$F$16, 'What-If Analysis'!$F$16,T249)</f>
        <v>0.11</v>
      </c>
      <c r="AC249" s="42">
        <f>S249*(1-AB249)</f>
        <v>898.01</v>
      </c>
      <c r="AD249" s="42">
        <f>Q249*(1+'What-If Analysis'!F264)</f>
        <v>803.28</v>
      </c>
      <c r="AE249" s="41">
        <f>W249*(1+'What-If Analysis'!$F$18)</f>
        <v>4.68</v>
      </c>
      <c r="AF249" s="42">
        <f t="shared" si="49"/>
        <v>4202.6867999999995</v>
      </c>
      <c r="AG249" s="42">
        <f t="shared" si="50"/>
        <v>3759.3503999999998</v>
      </c>
      <c r="AH249" s="42">
        <f t="shared" si="51"/>
        <v>443.33639999999968</v>
      </c>
      <c r="AI249" s="44">
        <f t="shared" si="52"/>
        <v>0.10548880302001085</v>
      </c>
      <c r="AJ249" s="42">
        <f t="shared" si="53"/>
        <v>610.64679999999953</v>
      </c>
      <c r="AK249" s="42">
        <f t="shared" si="54"/>
        <v>378.92000000000007</v>
      </c>
      <c r="AL249" s="9">
        <f t="shared" si="55"/>
        <v>0</v>
      </c>
      <c r="AM249" s="42"/>
    </row>
    <row r="250" spans="1:39" x14ac:dyDescent="0.25">
      <c r="A250" t="s">
        <v>263</v>
      </c>
      <c r="B250" s="20">
        <v>45912</v>
      </c>
      <c r="C250" s="4">
        <v>45930</v>
      </c>
      <c r="D250" s="4" t="s">
        <v>1441</v>
      </c>
      <c r="E250" s="4">
        <v>45930</v>
      </c>
      <c r="F250" s="11">
        <f t="shared" si="42"/>
        <v>18</v>
      </c>
      <c r="G250" s="11" t="str">
        <f t="shared" si="45"/>
        <v>Does not Meet Target</v>
      </c>
      <c r="H250" t="s">
        <v>647</v>
      </c>
      <c r="I250" t="s">
        <v>652</v>
      </c>
      <c r="J250" t="s">
        <v>694</v>
      </c>
      <c r="K250" t="s">
        <v>703</v>
      </c>
      <c r="L250" t="s">
        <v>709</v>
      </c>
      <c r="M250" t="s">
        <v>721</v>
      </c>
      <c r="N250" t="s">
        <v>732</v>
      </c>
      <c r="O250" t="str" cm="1">
        <f t="array" ref="O250">_xlfn.IFS(S250&lt;=_xlfn.PERCENTILE.INC(IF(N250:N880=N250, S250:S880), 0.33), "Low", S250&lt;=_xlfn.PERCENTILE.INC(IF(N250:N880=N250, S250:S880), 0.66), "Medium", S250 &gt; _xlfn.PERCENTILE.INC(IF(N250:N880=N250, S250:S880), 0.66), "High")</f>
        <v>High</v>
      </c>
      <c r="P250" t="s">
        <v>983</v>
      </c>
      <c r="Q250" s="6">
        <v>1212.99</v>
      </c>
      <c r="R250" s="6">
        <v>1653.64</v>
      </c>
      <c r="S250" s="6">
        <v>1653.64</v>
      </c>
      <c r="T250" s="9">
        <v>0.107</v>
      </c>
      <c r="U250" s="9">
        <f>IF(T250&gt;0.3, $AO$4, T250)</f>
        <v>0.107</v>
      </c>
      <c r="V250" s="7" t="str">
        <f t="shared" si="46"/>
        <v>Less than 20%</v>
      </c>
      <c r="W250" s="11">
        <v>8</v>
      </c>
      <c r="X250" s="6">
        <f t="shared" si="43"/>
        <v>11813.604160000001</v>
      </c>
      <c r="Y250" s="6">
        <f t="shared" si="44"/>
        <v>9703.92</v>
      </c>
      <c r="Z250" s="6">
        <f t="shared" si="47"/>
        <v>2109.6841600000007</v>
      </c>
      <c r="AA250" s="9">
        <f t="shared" si="48"/>
        <v>0.17858090819931455</v>
      </c>
      <c r="AB250" s="9">
        <f>IF(U250&gt;'What-If Analysis'!$F$16, 'What-If Analysis'!$F$16,T250)</f>
        <v>0.107</v>
      </c>
      <c r="AC250" s="42">
        <f>S250*(1-AB250)</f>
        <v>1476.7005200000001</v>
      </c>
      <c r="AD250" s="42">
        <f>Q250*(1+'What-If Analysis'!F265)</f>
        <v>1212.99</v>
      </c>
      <c r="AE250" s="41">
        <f>W250*(1+'What-If Analysis'!$F$18)</f>
        <v>9.36</v>
      </c>
      <c r="AF250" s="42">
        <f t="shared" si="49"/>
        <v>13821.9168672</v>
      </c>
      <c r="AG250" s="42">
        <f t="shared" si="50"/>
        <v>11353.5864</v>
      </c>
      <c r="AH250" s="42">
        <f t="shared" si="51"/>
        <v>2468.3304671999995</v>
      </c>
      <c r="AI250" s="44">
        <f t="shared" si="52"/>
        <v>0.17858090819931446</v>
      </c>
      <c r="AJ250" s="42">
        <f t="shared" si="53"/>
        <v>2008.3127071999988</v>
      </c>
      <c r="AK250" s="42">
        <f t="shared" si="54"/>
        <v>2109.6841600000007</v>
      </c>
      <c r="AL250" s="9">
        <f t="shared" si="55"/>
        <v>0</v>
      </c>
      <c r="AM250" s="42"/>
    </row>
    <row r="251" spans="1:39" x14ac:dyDescent="0.25">
      <c r="A251" t="s">
        <v>264</v>
      </c>
      <c r="B251" s="20">
        <v>45537</v>
      </c>
      <c r="C251" s="4">
        <v>45543</v>
      </c>
      <c r="D251" s="4" t="s">
        <v>1443</v>
      </c>
      <c r="E251" s="4">
        <v>45543</v>
      </c>
      <c r="F251" s="11">
        <f t="shared" si="42"/>
        <v>6</v>
      </c>
      <c r="G251" s="11" t="str">
        <f t="shared" si="45"/>
        <v>Meets Target</v>
      </c>
      <c r="H251" t="s">
        <v>648</v>
      </c>
      <c r="I251" t="s">
        <v>660</v>
      </c>
      <c r="J251" t="s">
        <v>697</v>
      </c>
      <c r="K251" t="s">
        <v>704</v>
      </c>
      <c r="L251" t="s">
        <v>711</v>
      </c>
      <c r="M251" t="s">
        <v>722</v>
      </c>
      <c r="N251" t="s">
        <v>727</v>
      </c>
      <c r="O251" t="str" cm="1">
        <f t="array" ref="O251">_xlfn.IFS(S251&lt;=_xlfn.PERCENTILE.INC(IF(N251:N881=N251, S251:S881), 0.33), "Low", S251&lt;=_xlfn.PERCENTILE.INC(IF(N251:N881=N251, S251:S881), 0.66), "Medium", S251 &gt; _xlfn.PERCENTILE.INC(IF(N251:N881=N251, S251:S881), 0.66), "High")</f>
        <v>Medium</v>
      </c>
      <c r="P251" t="s">
        <v>984</v>
      </c>
      <c r="Q251" s="6">
        <v>462.94</v>
      </c>
      <c r="R251" s="6">
        <v>1015.7</v>
      </c>
      <c r="S251" s="6">
        <v>1015.7</v>
      </c>
      <c r="T251" s="9">
        <v>0.14299999999999999</v>
      </c>
      <c r="U251" s="9">
        <f>IF(T251&gt;0.3, $AO$4, T251)</f>
        <v>0.14299999999999999</v>
      </c>
      <c r="V251" s="7" t="str">
        <f t="shared" si="46"/>
        <v>Less than 20%</v>
      </c>
      <c r="W251" s="11">
        <v>14</v>
      </c>
      <c r="X251" s="6">
        <f t="shared" si="43"/>
        <v>12186.368600000002</v>
      </c>
      <c r="Y251" s="6">
        <f t="shared" si="44"/>
        <v>6481.16</v>
      </c>
      <c r="Z251" s="6">
        <f t="shared" si="47"/>
        <v>5705.2086000000018</v>
      </c>
      <c r="AA251" s="9">
        <f t="shared" si="48"/>
        <v>0.46816314090483041</v>
      </c>
      <c r="AB251" s="9">
        <f>IF(U251&gt;'What-If Analysis'!$F$16, 'What-If Analysis'!$F$16,T251)</f>
        <v>0.14299999999999999</v>
      </c>
      <c r="AC251" s="42">
        <f>S251*(1-AB251)</f>
        <v>870.45490000000007</v>
      </c>
      <c r="AD251" s="42">
        <f>Q251*(1+'What-If Analysis'!F266)</f>
        <v>462.94</v>
      </c>
      <c r="AE251" s="41">
        <f>W251*(1+'What-If Analysis'!$F$18)</f>
        <v>16.38</v>
      </c>
      <c r="AF251" s="42">
        <f t="shared" si="49"/>
        <v>14258.051262000001</v>
      </c>
      <c r="AG251" s="42">
        <f t="shared" si="50"/>
        <v>7582.9571999999998</v>
      </c>
      <c r="AH251" s="42">
        <f t="shared" si="51"/>
        <v>6675.094062000001</v>
      </c>
      <c r="AI251" s="44">
        <f t="shared" si="52"/>
        <v>0.46816314090483035</v>
      </c>
      <c r="AJ251" s="42">
        <f t="shared" si="53"/>
        <v>2071.6826619999993</v>
      </c>
      <c r="AK251" s="42">
        <f t="shared" si="54"/>
        <v>5705.2086000000018</v>
      </c>
      <c r="AL251" s="9">
        <f t="shared" si="55"/>
        <v>0</v>
      </c>
      <c r="AM251" s="42"/>
    </row>
    <row r="252" spans="1:39" x14ac:dyDescent="0.25">
      <c r="A252" t="s">
        <v>265</v>
      </c>
      <c r="B252" s="20">
        <v>44989</v>
      </c>
      <c r="C252" s="4">
        <v>45009</v>
      </c>
      <c r="D252" s="4" t="s">
        <v>1436</v>
      </c>
      <c r="E252" s="4">
        <v>45009</v>
      </c>
      <c r="F252" s="11">
        <f t="shared" si="42"/>
        <v>20</v>
      </c>
      <c r="G252" s="11" t="str">
        <f t="shared" si="45"/>
        <v>Does not Meet Target</v>
      </c>
      <c r="H252" t="s">
        <v>648</v>
      </c>
      <c r="I252" t="s">
        <v>653</v>
      </c>
      <c r="J252" t="s">
        <v>681</v>
      </c>
      <c r="K252" t="s">
        <v>704</v>
      </c>
      <c r="L252" t="s">
        <v>710</v>
      </c>
      <c r="M252" t="s">
        <v>714</v>
      </c>
      <c r="N252" t="s">
        <v>731</v>
      </c>
      <c r="O252" t="str" cm="1">
        <f t="array" ref="O252">_xlfn.IFS(S252&lt;=_xlfn.PERCENTILE.INC(IF(N252:N882=N252, S252:S882), 0.33), "Low", S252&lt;=_xlfn.PERCENTILE.INC(IF(N252:N882=N252, S252:S882), 0.66), "Medium", S252 &gt; _xlfn.PERCENTILE.INC(IF(N252:N882=N252, S252:S882), 0.66), "High")</f>
        <v>Low</v>
      </c>
      <c r="P252" t="s">
        <v>985</v>
      </c>
      <c r="Q252" s="6">
        <v>481.71</v>
      </c>
      <c r="R252" s="6">
        <v>912.45</v>
      </c>
      <c r="S252" s="6">
        <v>912.45</v>
      </c>
      <c r="T252" s="9">
        <v>0.20300000000000001</v>
      </c>
      <c r="U252" s="9">
        <f>IF(T252&gt;0.3, $AO$4, T252)</f>
        <v>0.20300000000000001</v>
      </c>
      <c r="V252" s="7" t="str">
        <f t="shared" si="46"/>
        <v>Greater than 20%</v>
      </c>
      <c r="W252" s="11">
        <v>24</v>
      </c>
      <c r="X252" s="6">
        <f t="shared" si="43"/>
        <v>17453.3436</v>
      </c>
      <c r="Y252" s="6">
        <f t="shared" si="44"/>
        <v>11561.039999999999</v>
      </c>
      <c r="Z252" s="6">
        <f t="shared" si="47"/>
        <v>5892.3036000000011</v>
      </c>
      <c r="AA252" s="9">
        <f t="shared" si="48"/>
        <v>0.33760313983619739</v>
      </c>
      <c r="AB252" s="9">
        <f>IF(U252&gt;'What-If Analysis'!$F$16, 'What-If Analysis'!$F$16,T252)</f>
        <v>0.17</v>
      </c>
      <c r="AC252" s="42">
        <f>S252*(1-AB252)</f>
        <v>757.33349999999996</v>
      </c>
      <c r="AD252" s="42">
        <f>Q252*(1+'What-If Analysis'!F267)</f>
        <v>481.71</v>
      </c>
      <c r="AE252" s="41">
        <f>W252*(1+'What-If Analysis'!$F$18)</f>
        <v>28.08</v>
      </c>
      <c r="AF252" s="42">
        <f t="shared" si="49"/>
        <v>21265.924679999996</v>
      </c>
      <c r="AG252" s="42">
        <f t="shared" si="50"/>
        <v>13526.416799999999</v>
      </c>
      <c r="AH252" s="42">
        <f t="shared" si="51"/>
        <v>7739.5078799999974</v>
      </c>
      <c r="AI252" s="44">
        <f t="shared" si="52"/>
        <v>0.36393940054150509</v>
      </c>
      <c r="AJ252" s="42">
        <f t="shared" si="53"/>
        <v>3812.5810799999963</v>
      </c>
      <c r="AK252" s="42">
        <f t="shared" si="54"/>
        <v>5892.3036000000011</v>
      </c>
      <c r="AL252" s="9">
        <f t="shared" si="55"/>
        <v>2.6336260705307701E-2</v>
      </c>
      <c r="AM252" s="42"/>
    </row>
    <row r="253" spans="1:39" x14ac:dyDescent="0.25">
      <c r="A253" t="s">
        <v>266</v>
      </c>
      <c r="B253" s="20">
        <v>45366</v>
      </c>
      <c r="C253" s="4">
        <v>45391</v>
      </c>
      <c r="D253" s="4" t="s">
        <v>1434</v>
      </c>
      <c r="E253" s="4">
        <v>45391</v>
      </c>
      <c r="F253" s="11">
        <f t="shared" si="42"/>
        <v>25</v>
      </c>
      <c r="G253" s="11" t="str">
        <f t="shared" si="45"/>
        <v>Does not Meet Target</v>
      </c>
      <c r="H253" t="s">
        <v>648</v>
      </c>
      <c r="I253" t="s">
        <v>653</v>
      </c>
      <c r="J253" t="s">
        <v>688</v>
      </c>
      <c r="K253" t="s">
        <v>704</v>
      </c>
      <c r="L253" t="s">
        <v>708</v>
      </c>
      <c r="M253" t="s">
        <v>721</v>
      </c>
      <c r="N253" t="s">
        <v>732</v>
      </c>
      <c r="O253" t="str" cm="1">
        <f t="array" ref="O253">_xlfn.IFS(S253&lt;=_xlfn.PERCENTILE.INC(IF(N253:N883=N253, S253:S883), 0.33), "Low", S253&lt;=_xlfn.PERCENTILE.INC(IF(N253:N883=N253, S253:S883), 0.66), "Medium", S253 &gt; _xlfn.PERCENTILE.INC(IF(N253:N883=N253, S253:S883), 0.66), "High")</f>
        <v>Medium</v>
      </c>
      <c r="P253" t="s">
        <v>986</v>
      </c>
      <c r="Q253" s="6">
        <v>648.64</v>
      </c>
      <c r="R253" s="6">
        <v>815.19</v>
      </c>
      <c r="S253" s="6">
        <v>815.19</v>
      </c>
      <c r="T253" s="9">
        <v>0.22500000000000001</v>
      </c>
      <c r="U253" s="9">
        <f>IF(T253&gt;0.3, $AO$4, T253)</f>
        <v>0.22500000000000001</v>
      </c>
      <c r="V253" s="7" t="str">
        <f t="shared" si="46"/>
        <v>Greater than 20%</v>
      </c>
      <c r="W253" s="11">
        <v>28</v>
      </c>
      <c r="X253" s="6">
        <f t="shared" si="43"/>
        <v>17689.623</v>
      </c>
      <c r="Y253" s="6">
        <f t="shared" si="44"/>
        <v>18161.919999999998</v>
      </c>
      <c r="Z253" s="6">
        <f t="shared" si="47"/>
        <v>-472.29699999999866</v>
      </c>
      <c r="AA253" s="9">
        <f t="shared" si="48"/>
        <v>-2.6699099240272032E-2</v>
      </c>
      <c r="AB253" s="9">
        <f>IF(U253&gt;'What-If Analysis'!$F$16, 'What-If Analysis'!$F$16,T253)</f>
        <v>0.17</v>
      </c>
      <c r="AC253" s="42">
        <f>S253*(1-AB253)</f>
        <v>676.60770000000002</v>
      </c>
      <c r="AD253" s="42">
        <f>Q253*(1+'What-If Analysis'!F268)</f>
        <v>648.64</v>
      </c>
      <c r="AE253" s="41">
        <f>W253*(1+'What-If Analysis'!$F$18)</f>
        <v>32.76</v>
      </c>
      <c r="AF253" s="42">
        <f t="shared" si="49"/>
        <v>22165.668251999999</v>
      </c>
      <c r="AG253" s="42">
        <f t="shared" si="50"/>
        <v>21249.446399999997</v>
      </c>
      <c r="AH253" s="42">
        <f t="shared" si="51"/>
        <v>916.2218520000024</v>
      </c>
      <c r="AI253" s="44">
        <f t="shared" si="52"/>
        <v>4.1335178420227964E-2</v>
      </c>
      <c r="AJ253" s="42">
        <f t="shared" si="53"/>
        <v>4476.0452519999999</v>
      </c>
      <c r="AK253" s="42">
        <f t="shared" si="54"/>
        <v>-472.29699999999866</v>
      </c>
      <c r="AL253" s="9">
        <f t="shared" si="55"/>
        <v>6.8034277660499992E-2</v>
      </c>
      <c r="AM253" s="42"/>
    </row>
    <row r="254" spans="1:39" x14ac:dyDescent="0.25">
      <c r="A254" t="s">
        <v>267</v>
      </c>
      <c r="B254" s="20">
        <v>45502</v>
      </c>
      <c r="C254" s="4">
        <v>45504</v>
      </c>
      <c r="D254" s="4" t="s">
        <v>1443</v>
      </c>
      <c r="E254" s="4">
        <v>45504</v>
      </c>
      <c r="F254" s="11">
        <f t="shared" si="42"/>
        <v>2</v>
      </c>
      <c r="G254" s="11" t="str">
        <f t="shared" si="45"/>
        <v>Meets Target</v>
      </c>
      <c r="H254" t="s">
        <v>648</v>
      </c>
      <c r="I254" t="s">
        <v>660</v>
      </c>
      <c r="J254" t="s">
        <v>700</v>
      </c>
      <c r="K254" t="s">
        <v>702</v>
      </c>
      <c r="L254" t="s">
        <v>709</v>
      </c>
      <c r="M254" t="s">
        <v>714</v>
      </c>
      <c r="N254" t="s">
        <v>728</v>
      </c>
      <c r="O254" t="str" cm="1">
        <f t="array" ref="O254">_xlfn.IFS(S254&lt;=_xlfn.PERCENTILE.INC(IF(N254:N884=N254, S254:S884), 0.33), "Low", S254&lt;=_xlfn.PERCENTILE.INC(IF(N254:N884=N254, S254:S884), 0.66), "Medium", S254 &gt; _xlfn.PERCENTILE.INC(IF(N254:N884=N254, S254:S884), 0.66), "High")</f>
        <v>High</v>
      </c>
      <c r="P254" t="s">
        <v>987</v>
      </c>
      <c r="Q254" s="6">
        <v>798.97</v>
      </c>
      <c r="R254" s="6">
        <v>1814.06</v>
      </c>
      <c r="S254" s="6">
        <v>1814.06</v>
      </c>
      <c r="T254" s="9">
        <v>0.122</v>
      </c>
      <c r="U254" s="9">
        <f>IF(T254&gt;0.3, $AO$4, T254)</f>
        <v>0.122</v>
      </c>
      <c r="V254" s="7" t="str">
        <f t="shared" si="46"/>
        <v>Less than 20%</v>
      </c>
      <c r="W254" s="11">
        <v>16</v>
      </c>
      <c r="X254" s="6">
        <f t="shared" si="43"/>
        <v>25483.91488</v>
      </c>
      <c r="Y254" s="6">
        <f t="shared" si="44"/>
        <v>12783.52</v>
      </c>
      <c r="Z254" s="6">
        <f t="shared" si="47"/>
        <v>12700.39488</v>
      </c>
      <c r="AA254" s="9">
        <f t="shared" si="48"/>
        <v>0.49836906691159061</v>
      </c>
      <c r="AB254" s="9">
        <f>IF(U254&gt;'What-If Analysis'!$F$16, 'What-If Analysis'!$F$16,T254)</f>
        <v>0.122</v>
      </c>
      <c r="AC254" s="42">
        <f>S254*(1-AB254)</f>
        <v>1592.74468</v>
      </c>
      <c r="AD254" s="42">
        <f>Q254*(1+'What-If Analysis'!F269)</f>
        <v>798.97</v>
      </c>
      <c r="AE254" s="41">
        <f>W254*(1+'What-If Analysis'!$F$18)</f>
        <v>18.72</v>
      </c>
      <c r="AF254" s="42">
        <f t="shared" si="49"/>
        <v>29816.180409599998</v>
      </c>
      <c r="AG254" s="42">
        <f t="shared" si="50"/>
        <v>14956.7184</v>
      </c>
      <c r="AH254" s="42">
        <f t="shared" si="51"/>
        <v>14859.462009599998</v>
      </c>
      <c r="AI254" s="44">
        <f t="shared" si="52"/>
        <v>0.49836906691159061</v>
      </c>
      <c r="AJ254" s="42">
        <f t="shared" si="53"/>
        <v>4332.2655295999975</v>
      </c>
      <c r="AK254" s="42">
        <f t="shared" si="54"/>
        <v>12700.39488</v>
      </c>
      <c r="AL254" s="9">
        <f t="shared" si="55"/>
        <v>0</v>
      </c>
      <c r="AM254" s="42"/>
    </row>
    <row r="255" spans="1:39" x14ac:dyDescent="0.25">
      <c r="A255" t="s">
        <v>268</v>
      </c>
      <c r="B255" s="20">
        <v>45592</v>
      </c>
      <c r="C255" s="4">
        <v>45616</v>
      </c>
      <c r="D255" s="4" t="s">
        <v>1435</v>
      </c>
      <c r="E255" s="4">
        <v>45616</v>
      </c>
      <c r="F255" s="11">
        <f t="shared" si="42"/>
        <v>24</v>
      </c>
      <c r="G255" s="11" t="str">
        <f t="shared" si="45"/>
        <v>Does not Meet Target</v>
      </c>
      <c r="H255" t="s">
        <v>647</v>
      </c>
      <c r="I255" t="s">
        <v>652</v>
      </c>
      <c r="J255" t="s">
        <v>694</v>
      </c>
      <c r="K255" t="s">
        <v>703</v>
      </c>
      <c r="L255" t="s">
        <v>708</v>
      </c>
      <c r="M255" t="s">
        <v>722</v>
      </c>
      <c r="N255" t="s">
        <v>732</v>
      </c>
      <c r="O255" t="str" cm="1">
        <f t="array" ref="O255">_xlfn.IFS(S255&lt;=_xlfn.PERCENTILE.INC(IF(N255:N885=N255, S255:S885), 0.33), "Low", S255&lt;=_xlfn.PERCENTILE.INC(IF(N255:N885=N255, S255:S885), 0.66), "Medium", S255 &gt; _xlfn.PERCENTILE.INC(IF(N255:N885=N255, S255:S885), 0.66), "High")</f>
        <v>Medium</v>
      </c>
      <c r="P255" t="s">
        <v>988</v>
      </c>
      <c r="Q255" s="6">
        <v>317.25</v>
      </c>
      <c r="R255" s="6">
        <v>758.92</v>
      </c>
      <c r="S255" s="6">
        <v>758.92</v>
      </c>
      <c r="T255" s="9">
        <v>5.2999999999999999E-2</v>
      </c>
      <c r="U255" s="9">
        <f>IF(T255&gt;0.3, $AO$4, T255)</f>
        <v>5.2999999999999999E-2</v>
      </c>
      <c r="V255" s="7" t="str">
        <f t="shared" si="46"/>
        <v>Less than 20%</v>
      </c>
      <c r="W255" s="11">
        <v>9</v>
      </c>
      <c r="X255" s="6">
        <f t="shared" si="43"/>
        <v>6468.2751599999992</v>
      </c>
      <c r="Y255" s="6">
        <f t="shared" si="44"/>
        <v>2855.25</v>
      </c>
      <c r="Z255" s="6">
        <f t="shared" si="47"/>
        <v>3613.0251599999992</v>
      </c>
      <c r="AA255" s="9">
        <f t="shared" si="48"/>
        <v>0.5585762928489888</v>
      </c>
      <c r="AB255" s="9">
        <f>IF(U255&gt;'What-If Analysis'!$F$16, 'What-If Analysis'!$F$16,T255)</f>
        <v>5.2999999999999999E-2</v>
      </c>
      <c r="AC255" s="42">
        <f>S255*(1-AB255)</f>
        <v>718.69723999999997</v>
      </c>
      <c r="AD255" s="42">
        <f>Q255*(1+'What-If Analysis'!F270)</f>
        <v>317.25</v>
      </c>
      <c r="AE255" s="41">
        <f>W255*(1+'What-If Analysis'!$F$18)</f>
        <v>10.53</v>
      </c>
      <c r="AF255" s="42">
        <f t="shared" si="49"/>
        <v>7567.8819371999989</v>
      </c>
      <c r="AG255" s="42">
        <f t="shared" si="50"/>
        <v>3340.6424999999999</v>
      </c>
      <c r="AH255" s="42">
        <f t="shared" si="51"/>
        <v>4227.239437199999</v>
      </c>
      <c r="AI255" s="44">
        <f t="shared" si="52"/>
        <v>0.5585762928489888</v>
      </c>
      <c r="AJ255" s="42">
        <f t="shared" si="53"/>
        <v>1099.6067771999997</v>
      </c>
      <c r="AK255" s="42">
        <f t="shared" si="54"/>
        <v>3613.0251599999992</v>
      </c>
      <c r="AL255" s="9">
        <f t="shared" si="55"/>
        <v>0</v>
      </c>
      <c r="AM255" s="42"/>
    </row>
    <row r="256" spans="1:39" x14ac:dyDescent="0.25">
      <c r="A256" t="s">
        <v>269</v>
      </c>
      <c r="B256" s="20">
        <v>45411</v>
      </c>
      <c r="C256" s="4">
        <v>45431</v>
      </c>
      <c r="D256" s="4" t="s">
        <v>1439</v>
      </c>
      <c r="E256" s="4">
        <v>45431</v>
      </c>
      <c r="F256" s="11">
        <f t="shared" si="42"/>
        <v>20</v>
      </c>
      <c r="G256" s="11" t="str">
        <f t="shared" si="45"/>
        <v>Does not Meet Target</v>
      </c>
      <c r="H256" t="s">
        <v>649</v>
      </c>
      <c r="I256" t="s">
        <v>656</v>
      </c>
      <c r="J256" t="s">
        <v>698</v>
      </c>
      <c r="K256" t="s">
        <v>706</v>
      </c>
      <c r="L256" t="s">
        <v>709</v>
      </c>
      <c r="M256" t="s">
        <v>712</v>
      </c>
      <c r="N256" t="s">
        <v>731</v>
      </c>
      <c r="O256" t="str" cm="1">
        <f t="array" ref="O256">_xlfn.IFS(S256&lt;=_xlfn.PERCENTILE.INC(IF(N256:N886=N256, S256:S886), 0.33), "Low", S256&lt;=_xlfn.PERCENTILE.INC(IF(N256:N886=N256, S256:S886), 0.66), "Medium", S256 &gt; _xlfn.PERCENTILE.INC(IF(N256:N886=N256, S256:S886), 0.66), "High")</f>
        <v>Medium</v>
      </c>
      <c r="P256" t="s">
        <v>989</v>
      </c>
      <c r="Q256" s="6">
        <v>668.97</v>
      </c>
      <c r="R256" s="6">
        <v>1667.44</v>
      </c>
      <c r="S256" s="6">
        <v>1667.44</v>
      </c>
      <c r="T256" s="9">
        <v>3.4000000000000002E-2</v>
      </c>
      <c r="U256" s="9">
        <f>IF(T256&gt;0.3, $AO$4, T256)</f>
        <v>3.4000000000000002E-2</v>
      </c>
      <c r="V256" s="7" t="str">
        <f t="shared" si="46"/>
        <v>Less than 20%</v>
      </c>
      <c r="W256" s="11">
        <v>15</v>
      </c>
      <c r="X256" s="6">
        <f t="shared" si="43"/>
        <v>24161.205600000001</v>
      </c>
      <c r="Y256" s="6">
        <f t="shared" si="44"/>
        <v>10034.550000000001</v>
      </c>
      <c r="Z256" s="6">
        <f t="shared" si="47"/>
        <v>14126.6556</v>
      </c>
      <c r="AA256" s="9">
        <f t="shared" si="48"/>
        <v>0.58468339013679016</v>
      </c>
      <c r="AB256" s="9">
        <f>IF(U256&gt;'What-If Analysis'!$F$16, 'What-If Analysis'!$F$16,T256)</f>
        <v>3.4000000000000002E-2</v>
      </c>
      <c r="AC256" s="42">
        <f>S256*(1-AB256)</f>
        <v>1610.74704</v>
      </c>
      <c r="AD256" s="42">
        <f>Q256*(1+'What-If Analysis'!F271)</f>
        <v>668.97</v>
      </c>
      <c r="AE256" s="41">
        <f>W256*(1+'What-If Analysis'!$F$18)</f>
        <v>17.549999999999997</v>
      </c>
      <c r="AF256" s="42">
        <f t="shared" si="49"/>
        <v>28268.610551999995</v>
      </c>
      <c r="AG256" s="42">
        <f t="shared" si="50"/>
        <v>11740.423499999999</v>
      </c>
      <c r="AH256" s="42">
        <f t="shared" si="51"/>
        <v>16528.187051999994</v>
      </c>
      <c r="AI256" s="44">
        <f t="shared" si="52"/>
        <v>0.58468339013679005</v>
      </c>
      <c r="AJ256" s="42">
        <f t="shared" si="53"/>
        <v>4107.4049519999935</v>
      </c>
      <c r="AK256" s="42">
        <f t="shared" si="54"/>
        <v>14126.6556</v>
      </c>
      <c r="AL256" s="9">
        <f t="shared" si="55"/>
        <v>0</v>
      </c>
      <c r="AM256" s="42"/>
    </row>
    <row r="257" spans="1:39" x14ac:dyDescent="0.25">
      <c r="A257" t="s">
        <v>270</v>
      </c>
      <c r="B257" s="20">
        <v>45204</v>
      </c>
      <c r="C257" s="4">
        <v>45205</v>
      </c>
      <c r="D257" s="4" t="s">
        <v>1438</v>
      </c>
      <c r="E257" s="4">
        <v>45205</v>
      </c>
      <c r="F257" s="11">
        <f t="shared" si="42"/>
        <v>1</v>
      </c>
      <c r="G257" s="11" t="str">
        <f t="shared" si="45"/>
        <v>Meets Target</v>
      </c>
      <c r="H257" t="s">
        <v>647</v>
      </c>
      <c r="I257" t="s">
        <v>654</v>
      </c>
      <c r="J257" t="s">
        <v>668</v>
      </c>
      <c r="K257" t="s">
        <v>703</v>
      </c>
      <c r="L257" t="s">
        <v>708</v>
      </c>
      <c r="M257" t="s">
        <v>714</v>
      </c>
      <c r="N257" t="s">
        <v>727</v>
      </c>
      <c r="O257" t="str" cm="1">
        <f t="array" ref="O257">_xlfn.IFS(S257&lt;=_xlfn.PERCENTILE.INC(IF(N257:N887=N257, S257:S887), 0.33), "Low", S257&lt;=_xlfn.PERCENTILE.INC(IF(N257:N887=N257, S257:S887), 0.66), "Medium", S257 &gt; _xlfn.PERCENTILE.INC(IF(N257:N887=N257, S257:S887), 0.66), "High")</f>
        <v>High</v>
      </c>
      <c r="P257" t="s">
        <v>990</v>
      </c>
      <c r="Q257" s="6">
        <v>1470.26</v>
      </c>
      <c r="R257" s="6">
        <v>2562.5500000000002</v>
      </c>
      <c r="S257" s="6">
        <v>2562.5500000000002</v>
      </c>
      <c r="T257" s="9">
        <v>0.17299999999999999</v>
      </c>
      <c r="U257" s="9">
        <f>IF(T257&gt;0.3, $AO$4, T257)</f>
        <v>0.17299999999999999</v>
      </c>
      <c r="V257" s="7" t="str">
        <f t="shared" si="46"/>
        <v>Less than 20%</v>
      </c>
      <c r="W257" s="11">
        <v>9</v>
      </c>
      <c r="X257" s="6">
        <f t="shared" si="43"/>
        <v>19073.059649999999</v>
      </c>
      <c r="Y257" s="6">
        <f t="shared" si="44"/>
        <v>13232.34</v>
      </c>
      <c r="Z257" s="6">
        <f t="shared" si="47"/>
        <v>5840.7196499999991</v>
      </c>
      <c r="AA257" s="9">
        <f t="shared" si="48"/>
        <v>0.30622877279157462</v>
      </c>
      <c r="AB257" s="9">
        <f>IF(U257&gt;'What-If Analysis'!$F$16, 'What-If Analysis'!$F$16,T257)</f>
        <v>0.17</v>
      </c>
      <c r="AC257" s="42">
        <f>S257*(1-AB257)</f>
        <v>2126.9165000000003</v>
      </c>
      <c r="AD257" s="42">
        <f>Q257*(1+'What-If Analysis'!F272)</f>
        <v>1470.26</v>
      </c>
      <c r="AE257" s="41">
        <f>W257*(1+'What-If Analysis'!$F$18)</f>
        <v>10.53</v>
      </c>
      <c r="AF257" s="42">
        <f t="shared" si="49"/>
        <v>22396.430745000001</v>
      </c>
      <c r="AG257" s="42">
        <f t="shared" si="50"/>
        <v>15481.837799999999</v>
      </c>
      <c r="AH257" s="42">
        <f t="shared" si="51"/>
        <v>6914.5929450000021</v>
      </c>
      <c r="AI257" s="44">
        <f t="shared" si="52"/>
        <v>0.30873637963690637</v>
      </c>
      <c r="AJ257" s="42">
        <f t="shared" si="53"/>
        <v>3323.3710950000022</v>
      </c>
      <c r="AK257" s="42">
        <f t="shared" si="54"/>
        <v>5840.7196499999991</v>
      </c>
      <c r="AL257" s="9">
        <f t="shared" si="55"/>
        <v>2.5076068453317446E-3</v>
      </c>
      <c r="AM257" s="42"/>
    </row>
    <row r="258" spans="1:39" x14ac:dyDescent="0.25">
      <c r="A258" t="s">
        <v>271</v>
      </c>
      <c r="B258" s="20">
        <v>45035</v>
      </c>
      <c r="C258" s="4">
        <v>45053</v>
      </c>
      <c r="D258" s="4" t="s">
        <v>1442</v>
      </c>
      <c r="E258" s="4">
        <v>45053</v>
      </c>
      <c r="F258" s="11">
        <f t="shared" ref="F258:F321" si="56">E258-B258</f>
        <v>18</v>
      </c>
      <c r="G258" s="11" t="str">
        <f t="shared" si="45"/>
        <v>Does not Meet Target</v>
      </c>
      <c r="H258" t="s">
        <v>649</v>
      </c>
      <c r="I258" t="s">
        <v>658</v>
      </c>
      <c r="J258" t="s">
        <v>683</v>
      </c>
      <c r="K258" t="s">
        <v>703</v>
      </c>
      <c r="L258" t="s">
        <v>711</v>
      </c>
      <c r="M258" t="s">
        <v>722</v>
      </c>
      <c r="N258" t="s">
        <v>729</v>
      </c>
      <c r="O258" t="str" cm="1">
        <f t="array" ref="O258">_xlfn.IFS(S258&lt;=_xlfn.PERCENTILE.INC(IF(N258:N888=N258, S258:S888), 0.33), "Low", S258&lt;=_xlfn.PERCENTILE.INC(IF(N258:N888=N258, S258:S888), 0.66), "Medium", S258 &gt; _xlfn.PERCENTILE.INC(IF(N258:N888=N258, S258:S888), 0.66), "High")</f>
        <v>Low</v>
      </c>
      <c r="P258" t="s">
        <v>991</v>
      </c>
      <c r="Q258" s="6">
        <v>516.96</v>
      </c>
      <c r="R258" s="6">
        <v>745.38</v>
      </c>
      <c r="S258" s="6">
        <v>745.38</v>
      </c>
      <c r="T258" s="9">
        <v>0.19700000000000001</v>
      </c>
      <c r="U258" s="9">
        <f>IF(T258&gt;0.3, $AO$4, T258)</f>
        <v>0.19700000000000001</v>
      </c>
      <c r="V258" s="7" t="str">
        <f t="shared" si="46"/>
        <v>Less than 20%</v>
      </c>
      <c r="W258" s="11">
        <v>4</v>
      </c>
      <c r="X258" s="6">
        <f t="shared" ref="X258:X321" si="57">S258*W258*(1-U258)</f>
        <v>2394.1605599999998</v>
      </c>
      <c r="Y258" s="6">
        <f t="shared" ref="Y258:Y321" si="58">Q258*W258</f>
        <v>2067.84</v>
      </c>
      <c r="Z258" s="6">
        <f t="shared" si="47"/>
        <v>326.32055999999966</v>
      </c>
      <c r="AA258" s="9">
        <f t="shared" si="48"/>
        <v>0.13629852794835101</v>
      </c>
      <c r="AB258" s="9">
        <f>IF(U258&gt;'What-If Analysis'!$F$16, 'What-If Analysis'!$F$16,T258)</f>
        <v>0.17</v>
      </c>
      <c r="AC258" s="42">
        <f>S258*(1-AB258)</f>
        <v>618.66539999999998</v>
      </c>
      <c r="AD258" s="42">
        <f>Q258*(1+'What-If Analysis'!F273)</f>
        <v>516.96</v>
      </c>
      <c r="AE258" s="41">
        <f>W258*(1+'What-If Analysis'!$F$18)</f>
        <v>4.68</v>
      </c>
      <c r="AF258" s="42">
        <f t="shared" si="49"/>
        <v>2895.3540719999996</v>
      </c>
      <c r="AG258" s="42">
        <f t="shared" si="50"/>
        <v>2419.3728000000001</v>
      </c>
      <c r="AH258" s="42">
        <f t="shared" si="51"/>
        <v>475.98127199999954</v>
      </c>
      <c r="AI258" s="44">
        <f t="shared" si="52"/>
        <v>0.16439484089460946</v>
      </c>
      <c r="AJ258" s="42">
        <f t="shared" si="53"/>
        <v>501.19351199999983</v>
      </c>
      <c r="AK258" s="42">
        <f t="shared" si="54"/>
        <v>326.32055999999966</v>
      </c>
      <c r="AL258" s="9">
        <f t="shared" si="55"/>
        <v>2.8096312946258445E-2</v>
      </c>
      <c r="AM258" s="42"/>
    </row>
    <row r="259" spans="1:39" x14ac:dyDescent="0.25">
      <c r="A259" t="s">
        <v>272</v>
      </c>
      <c r="B259" s="20">
        <v>45835</v>
      </c>
      <c r="C259" s="4">
        <v>45843</v>
      </c>
      <c r="D259" s="4" t="s">
        <v>1440</v>
      </c>
      <c r="E259" s="4">
        <v>45843</v>
      </c>
      <c r="F259" s="11">
        <f t="shared" si="56"/>
        <v>8</v>
      </c>
      <c r="G259" s="11" t="str">
        <f t="shared" ref="G259:G322" si="59">IF(F259&lt;=7, "Meets Target", "Does not Meet Target")</f>
        <v>Does not Meet Target</v>
      </c>
      <c r="H259" t="s">
        <v>649</v>
      </c>
      <c r="I259" t="s">
        <v>656</v>
      </c>
      <c r="J259" t="s">
        <v>684</v>
      </c>
      <c r="K259" t="s">
        <v>705</v>
      </c>
      <c r="L259" t="s">
        <v>711</v>
      </c>
      <c r="M259" t="s">
        <v>715</v>
      </c>
      <c r="N259" t="s">
        <v>732</v>
      </c>
      <c r="O259" t="str" cm="1">
        <f t="array" ref="O259">_xlfn.IFS(S259&lt;=_xlfn.PERCENTILE.INC(IF(N259:N889=N259, S259:S889), 0.33), "Low", S259&lt;=_xlfn.PERCENTILE.INC(IF(N259:N889=N259, S259:S889), 0.66), "Medium", S259 &gt; _xlfn.PERCENTILE.INC(IF(N259:N889=N259, S259:S889), 0.66), "High")</f>
        <v>Low</v>
      </c>
      <c r="P259" t="s">
        <v>992</v>
      </c>
      <c r="Q259" s="6">
        <v>314.93</v>
      </c>
      <c r="R259" s="6">
        <v>687.95</v>
      </c>
      <c r="S259" s="6">
        <v>687.95</v>
      </c>
      <c r="T259" s="9">
        <v>0.20499999999999999</v>
      </c>
      <c r="U259" s="9">
        <f>IF(T259&gt;0.3, $AO$4, T259)</f>
        <v>0.20499999999999999</v>
      </c>
      <c r="V259" s="7" t="str">
        <f t="shared" ref="V259:V322" si="60">IF(U259&gt;20%, "Greater than 20%", "Less than 20%")</f>
        <v>Greater than 20%</v>
      </c>
      <c r="W259" s="11">
        <v>8</v>
      </c>
      <c r="X259" s="6">
        <f t="shared" si="57"/>
        <v>4375.3620000000001</v>
      </c>
      <c r="Y259" s="6">
        <f t="shared" si="58"/>
        <v>2519.44</v>
      </c>
      <c r="Z259" s="6">
        <f t="shared" ref="Z259:Z322" si="61">X259-Y259</f>
        <v>1855.922</v>
      </c>
      <c r="AA259" s="9">
        <f t="shared" ref="AA259:AA322" si="62">IF(X259=0, 0, Z259/X259)</f>
        <v>0.424175645352316</v>
      </c>
      <c r="AB259" s="9">
        <f>IF(U259&gt;'What-If Analysis'!$F$16, 'What-If Analysis'!$F$16,T259)</f>
        <v>0.17</v>
      </c>
      <c r="AC259" s="42">
        <f>S259*(1-AB259)</f>
        <v>570.99850000000004</v>
      </c>
      <c r="AD259" s="42">
        <f>Q259*(1+'What-If Analysis'!F274)</f>
        <v>314.93</v>
      </c>
      <c r="AE259" s="41">
        <f>W259*(1+'What-If Analysis'!$F$18)</f>
        <v>9.36</v>
      </c>
      <c r="AF259" s="42">
        <f t="shared" ref="AF259:AF322" si="63">AC259*AE259</f>
        <v>5344.5459600000004</v>
      </c>
      <c r="AG259" s="42">
        <f t="shared" ref="AG259:AG322" si="64">AD259*AE259</f>
        <v>2947.7447999999999</v>
      </c>
      <c r="AH259" s="42">
        <f t="shared" ref="AH259:AH322" si="65">AF259-AG259</f>
        <v>2396.8011600000004</v>
      </c>
      <c r="AI259" s="44">
        <f t="shared" ref="AI259:AI322" si="66">IF(AF259=0, 0, AH259/AF259)</f>
        <v>0.44845739524709788</v>
      </c>
      <c r="AJ259" s="42">
        <f t="shared" ref="AJ259:AJ322" si="67">AF259-X259</f>
        <v>969.1839600000003</v>
      </c>
      <c r="AK259" s="42">
        <f t="shared" ref="AK259:AK322" si="68">Z259</f>
        <v>1855.922</v>
      </c>
      <c r="AL259" s="9">
        <f t="shared" ref="AL259:AL322" si="69">AI259-AA259</f>
        <v>2.4281749894781879E-2</v>
      </c>
      <c r="AM259" s="42"/>
    </row>
    <row r="260" spans="1:39" x14ac:dyDescent="0.25">
      <c r="A260" t="s">
        <v>273</v>
      </c>
      <c r="B260" s="20">
        <v>45210</v>
      </c>
      <c r="C260" s="4">
        <v>45212</v>
      </c>
      <c r="D260" s="4" t="s">
        <v>1438</v>
      </c>
      <c r="E260" s="4">
        <v>45212</v>
      </c>
      <c r="F260" s="11">
        <f t="shared" si="56"/>
        <v>2</v>
      </c>
      <c r="G260" s="11" t="str">
        <f t="shared" si="59"/>
        <v>Meets Target</v>
      </c>
      <c r="H260" t="s">
        <v>648</v>
      </c>
      <c r="I260" t="s">
        <v>655</v>
      </c>
      <c r="J260" t="s">
        <v>672</v>
      </c>
      <c r="K260" t="s">
        <v>704</v>
      </c>
      <c r="L260" t="s">
        <v>710</v>
      </c>
      <c r="M260" t="s">
        <v>1422</v>
      </c>
      <c r="N260" t="s">
        <v>733</v>
      </c>
      <c r="O260" t="str" cm="1">
        <f t="array" ref="O260">_xlfn.IFS(S260&lt;=_xlfn.PERCENTILE.INC(IF(N260:N890=N260, S260:S890), 0.33), "Low", S260&lt;=_xlfn.PERCENTILE.INC(IF(N260:N890=N260, S260:S890), 0.66), "Medium", S260 &gt; _xlfn.PERCENTILE.INC(IF(N260:N890=N260, S260:S890), 0.66), "High")</f>
        <v>Low</v>
      </c>
      <c r="P260" t="s">
        <v>993</v>
      </c>
      <c r="Q260" s="6">
        <v>715.94</v>
      </c>
      <c r="R260" s="6">
        <v>550.07000000000005</v>
      </c>
      <c r="S260" s="6">
        <v>550.07000000000005</v>
      </c>
      <c r="T260" s="9">
        <v>0.14000000000000001</v>
      </c>
      <c r="U260" s="9">
        <f>IF(T260&gt;0.3, $AO$4, T260)</f>
        <v>0.14000000000000001</v>
      </c>
      <c r="V260" s="7" t="str">
        <f t="shared" si="60"/>
        <v>Less than 20%</v>
      </c>
      <c r="W260" s="11">
        <v>16</v>
      </c>
      <c r="X260" s="6">
        <f t="shared" si="57"/>
        <v>7568.9632000000001</v>
      </c>
      <c r="Y260" s="6">
        <f t="shared" si="58"/>
        <v>11455.04</v>
      </c>
      <c r="Z260" s="6">
        <f t="shared" si="61"/>
        <v>-3886.0768000000007</v>
      </c>
      <c r="AA260" s="9">
        <f t="shared" si="62"/>
        <v>-0.51342260456491595</v>
      </c>
      <c r="AB260" s="9">
        <f>IF(U260&gt;'What-If Analysis'!$F$16, 'What-If Analysis'!$F$16,T260)</f>
        <v>0.14000000000000001</v>
      </c>
      <c r="AC260" s="42">
        <f>S260*(1-AB260)</f>
        <v>473.06020000000001</v>
      </c>
      <c r="AD260" s="42">
        <f>Q260*(1+'What-If Analysis'!F275)</f>
        <v>715.94</v>
      </c>
      <c r="AE260" s="41">
        <f>W260*(1+'What-If Analysis'!$F$18)</f>
        <v>18.72</v>
      </c>
      <c r="AF260" s="42">
        <f t="shared" si="63"/>
        <v>8855.6869439999991</v>
      </c>
      <c r="AG260" s="42">
        <f t="shared" si="64"/>
        <v>13402.3968</v>
      </c>
      <c r="AH260" s="42">
        <f t="shared" si="65"/>
        <v>-4546.7098560000013</v>
      </c>
      <c r="AI260" s="44">
        <f t="shared" si="66"/>
        <v>-0.51342260456491606</v>
      </c>
      <c r="AJ260" s="42">
        <f t="shared" si="67"/>
        <v>1286.723743999999</v>
      </c>
      <c r="AK260" s="42">
        <f t="shared" si="68"/>
        <v>-3886.0768000000007</v>
      </c>
      <c r="AL260" s="9">
        <f t="shared" si="69"/>
        <v>0</v>
      </c>
      <c r="AM260" s="42"/>
    </row>
    <row r="261" spans="1:39" x14ac:dyDescent="0.25">
      <c r="A261" t="s">
        <v>274</v>
      </c>
      <c r="B261" s="20">
        <v>45066</v>
      </c>
      <c r="C261" s="4">
        <v>45084</v>
      </c>
      <c r="D261" s="4" t="s">
        <v>1442</v>
      </c>
      <c r="E261" s="4">
        <v>45084</v>
      </c>
      <c r="F261" s="11">
        <f t="shared" si="56"/>
        <v>18</v>
      </c>
      <c r="G261" s="11" t="str">
        <f t="shared" si="59"/>
        <v>Does not Meet Target</v>
      </c>
      <c r="H261" t="s">
        <v>646</v>
      </c>
      <c r="I261" t="s">
        <v>651</v>
      </c>
      <c r="J261" t="s">
        <v>663</v>
      </c>
      <c r="K261" t="s">
        <v>706</v>
      </c>
      <c r="L261" t="s">
        <v>710</v>
      </c>
      <c r="M261" t="s">
        <v>718</v>
      </c>
      <c r="N261" t="s">
        <v>727</v>
      </c>
      <c r="O261" t="str" cm="1">
        <f t="array" ref="O261">_xlfn.IFS(S261&lt;=_xlfn.PERCENTILE.INC(IF(N261:N891=N261, S261:S891), 0.33), "Low", S261&lt;=_xlfn.PERCENTILE.INC(IF(N261:N891=N261, S261:S891), 0.66), "Medium", S261 &gt; _xlfn.PERCENTILE.INC(IF(N261:N891=N261, S261:S891), 0.66), "High")</f>
        <v>High</v>
      </c>
      <c r="P261" t="s">
        <v>994</v>
      </c>
      <c r="Q261" s="6">
        <v>1120.06</v>
      </c>
      <c r="R261" s="6">
        <v>2068.21</v>
      </c>
      <c r="S261" s="6">
        <v>2068.21</v>
      </c>
      <c r="T261" s="9">
        <v>7.8E-2</v>
      </c>
      <c r="U261" s="9">
        <f>IF(T261&gt;0.3, $AO$4, T261)</f>
        <v>7.8E-2</v>
      </c>
      <c r="V261" s="7" t="str">
        <f t="shared" si="60"/>
        <v>Less than 20%</v>
      </c>
      <c r="W261" s="11">
        <v>12</v>
      </c>
      <c r="X261" s="6">
        <f t="shared" si="57"/>
        <v>22882.675440000003</v>
      </c>
      <c r="Y261" s="6">
        <f t="shared" si="58"/>
        <v>13440.72</v>
      </c>
      <c r="Z261" s="6">
        <f t="shared" si="61"/>
        <v>9441.9554400000034</v>
      </c>
      <c r="AA261" s="9">
        <f t="shared" si="62"/>
        <v>0.41262462795303284</v>
      </c>
      <c r="AB261" s="9">
        <f>IF(U261&gt;'What-If Analysis'!$F$16, 'What-If Analysis'!$F$16,T261)</f>
        <v>7.8E-2</v>
      </c>
      <c r="AC261" s="42">
        <f>S261*(1-AB261)</f>
        <v>1906.8896200000001</v>
      </c>
      <c r="AD261" s="42">
        <f>Q261*(1+'What-If Analysis'!F276)</f>
        <v>1120.06</v>
      </c>
      <c r="AE261" s="41">
        <f>W261*(1+'What-If Analysis'!$F$18)</f>
        <v>14.04</v>
      </c>
      <c r="AF261" s="42">
        <f t="shared" si="63"/>
        <v>26772.7302648</v>
      </c>
      <c r="AG261" s="42">
        <f t="shared" si="64"/>
        <v>15725.642399999999</v>
      </c>
      <c r="AH261" s="42">
        <f t="shared" si="65"/>
        <v>11047.087864800002</v>
      </c>
      <c r="AI261" s="44">
        <f t="shared" si="66"/>
        <v>0.41262462795303279</v>
      </c>
      <c r="AJ261" s="42">
        <f t="shared" si="67"/>
        <v>3890.0548247999977</v>
      </c>
      <c r="AK261" s="42">
        <f t="shared" si="68"/>
        <v>9441.9554400000034</v>
      </c>
      <c r="AL261" s="9">
        <f t="shared" si="69"/>
        <v>0</v>
      </c>
      <c r="AM261" s="42"/>
    </row>
    <row r="262" spans="1:39" x14ac:dyDescent="0.25">
      <c r="A262" t="s">
        <v>275</v>
      </c>
      <c r="B262" s="20">
        <v>45073</v>
      </c>
      <c r="C262" s="4">
        <v>45096</v>
      </c>
      <c r="D262" s="4" t="s">
        <v>1442</v>
      </c>
      <c r="E262" s="4">
        <v>45096</v>
      </c>
      <c r="F262" s="11">
        <f t="shared" si="56"/>
        <v>23</v>
      </c>
      <c r="G262" s="11" t="str">
        <f t="shared" si="59"/>
        <v>Does not Meet Target</v>
      </c>
      <c r="H262" t="s">
        <v>649</v>
      </c>
      <c r="I262" t="s">
        <v>656</v>
      </c>
      <c r="J262" t="s">
        <v>671</v>
      </c>
      <c r="K262" t="s">
        <v>702</v>
      </c>
      <c r="L262" t="s">
        <v>707</v>
      </c>
      <c r="M262" t="s">
        <v>719</v>
      </c>
      <c r="N262" t="s">
        <v>733</v>
      </c>
      <c r="O262" t="str" cm="1">
        <f t="array" ref="O262">_xlfn.IFS(S262&lt;=_xlfn.PERCENTILE.INC(IF(N262:N892=N262, S262:S892), 0.33), "Low", S262&lt;=_xlfn.PERCENTILE.INC(IF(N262:N892=N262, S262:S892), 0.66), "Medium", S262 &gt; _xlfn.PERCENTILE.INC(IF(N262:N892=N262, S262:S892), 0.66), "High")</f>
        <v>High</v>
      </c>
      <c r="P262" t="s">
        <v>995</v>
      </c>
      <c r="Q262" s="6">
        <v>1471.58</v>
      </c>
      <c r="R262" s="6">
        <v>2576.65</v>
      </c>
      <c r="S262" s="6">
        <v>2576.65</v>
      </c>
      <c r="T262" s="9">
        <v>4.0000000000000001E-3</v>
      </c>
      <c r="U262" s="9">
        <f>IF(T262&gt;0.3, $AO$4, T262)</f>
        <v>4.0000000000000001E-3</v>
      </c>
      <c r="V262" s="7" t="str">
        <f t="shared" si="60"/>
        <v>Less than 20%</v>
      </c>
      <c r="W262" s="11">
        <v>7</v>
      </c>
      <c r="X262" s="6">
        <f t="shared" si="57"/>
        <v>17964.4038</v>
      </c>
      <c r="Y262" s="6">
        <f t="shared" si="58"/>
        <v>10301.06</v>
      </c>
      <c r="Z262" s="6">
        <f t="shared" si="61"/>
        <v>7663.3438000000006</v>
      </c>
      <c r="AA262" s="9">
        <f t="shared" si="62"/>
        <v>0.4265849223451546</v>
      </c>
      <c r="AB262" s="9">
        <f>IF(U262&gt;'What-If Analysis'!$F$16, 'What-If Analysis'!$F$16,T262)</f>
        <v>4.0000000000000001E-3</v>
      </c>
      <c r="AC262" s="42">
        <f>S262*(1-AB262)</f>
        <v>2566.3434000000002</v>
      </c>
      <c r="AD262" s="42">
        <f>Q262*(1+'What-If Analysis'!F277)</f>
        <v>1471.58</v>
      </c>
      <c r="AE262" s="41">
        <f>W262*(1+'What-If Analysis'!$F$18)</f>
        <v>8.19</v>
      </c>
      <c r="AF262" s="42">
        <f t="shared" si="63"/>
        <v>21018.352446000001</v>
      </c>
      <c r="AG262" s="42">
        <f t="shared" si="64"/>
        <v>12052.240199999998</v>
      </c>
      <c r="AH262" s="42">
        <f t="shared" si="65"/>
        <v>8966.1122460000024</v>
      </c>
      <c r="AI262" s="44">
        <f t="shared" si="66"/>
        <v>0.42658492234515466</v>
      </c>
      <c r="AJ262" s="42">
        <f t="shared" si="67"/>
        <v>3053.9486460000007</v>
      </c>
      <c r="AK262" s="42">
        <f t="shared" si="68"/>
        <v>7663.3438000000006</v>
      </c>
      <c r="AL262" s="9">
        <f t="shared" si="69"/>
        <v>0</v>
      </c>
      <c r="AM262" s="42"/>
    </row>
    <row r="263" spans="1:39" x14ac:dyDescent="0.25">
      <c r="A263" t="s">
        <v>276</v>
      </c>
      <c r="B263" s="20">
        <v>45142</v>
      </c>
      <c r="C263" s="4">
        <v>45162</v>
      </c>
      <c r="D263" s="4" t="s">
        <v>1444</v>
      </c>
      <c r="E263" s="4">
        <v>45162</v>
      </c>
      <c r="F263" s="11">
        <f t="shared" si="56"/>
        <v>20</v>
      </c>
      <c r="G263" s="11" t="str">
        <f t="shared" si="59"/>
        <v>Does not Meet Target</v>
      </c>
      <c r="H263" t="s">
        <v>648</v>
      </c>
      <c r="I263" t="s">
        <v>655</v>
      </c>
      <c r="J263" t="s">
        <v>672</v>
      </c>
      <c r="K263" t="s">
        <v>703</v>
      </c>
      <c r="L263" t="s">
        <v>711</v>
      </c>
      <c r="M263" t="s">
        <v>1422</v>
      </c>
      <c r="N263" t="s">
        <v>729</v>
      </c>
      <c r="O263" t="str" cm="1">
        <f t="array" ref="O263">_xlfn.IFS(S263&lt;=_xlfn.PERCENTILE.INC(IF(N263:N893=N263, S263:S893), 0.33), "Low", S263&lt;=_xlfn.PERCENTILE.INC(IF(N263:N893=N263, S263:S893), 0.66), "Medium", S263 &gt; _xlfn.PERCENTILE.INC(IF(N263:N893=N263, S263:S893), 0.66), "High")</f>
        <v>Medium</v>
      </c>
      <c r="P263" t="s">
        <v>996</v>
      </c>
      <c r="Q263" s="6">
        <v>582.88</v>
      </c>
      <c r="R263" s="6">
        <v>1044.1400000000001</v>
      </c>
      <c r="S263" s="6">
        <v>1044.1400000000001</v>
      </c>
      <c r="T263" s="9">
        <v>0.216</v>
      </c>
      <c r="U263" s="9">
        <f>IF(T263&gt;0.3, $AO$4, T263)</f>
        <v>0.216</v>
      </c>
      <c r="V263" s="7" t="str">
        <f t="shared" si="60"/>
        <v>Greater than 20%</v>
      </c>
      <c r="W263" s="11">
        <v>10</v>
      </c>
      <c r="X263" s="6">
        <f t="shared" si="57"/>
        <v>8186.057600000001</v>
      </c>
      <c r="Y263" s="6">
        <f t="shared" si="58"/>
        <v>5828.8</v>
      </c>
      <c r="Z263" s="6">
        <f t="shared" si="61"/>
        <v>2357.2576000000008</v>
      </c>
      <c r="AA263" s="9">
        <f t="shared" si="62"/>
        <v>0.28796005539956138</v>
      </c>
      <c r="AB263" s="9">
        <f>IF(U263&gt;'What-If Analysis'!$F$16, 'What-If Analysis'!$F$16,T263)</f>
        <v>0.17</v>
      </c>
      <c r="AC263" s="42">
        <f>S263*(1-AB263)</f>
        <v>866.63620000000003</v>
      </c>
      <c r="AD263" s="42">
        <f>Q263*(1+'What-If Analysis'!F278)</f>
        <v>582.88</v>
      </c>
      <c r="AE263" s="41">
        <f>W263*(1+'What-If Analysis'!$F$18)</f>
        <v>11.7</v>
      </c>
      <c r="AF263" s="42">
        <f t="shared" si="63"/>
        <v>10139.643539999999</v>
      </c>
      <c r="AG263" s="42">
        <f t="shared" si="64"/>
        <v>6819.6959999999999</v>
      </c>
      <c r="AH263" s="42">
        <f t="shared" si="65"/>
        <v>3319.9475399999992</v>
      </c>
      <c r="AI263" s="44">
        <f t="shared" si="66"/>
        <v>0.32742251016054946</v>
      </c>
      <c r="AJ263" s="42">
        <f t="shared" si="67"/>
        <v>1953.5859399999981</v>
      </c>
      <c r="AK263" s="42">
        <f t="shared" si="68"/>
        <v>2357.2576000000008</v>
      </c>
      <c r="AL263" s="9">
        <f t="shared" si="69"/>
        <v>3.9462454760988086E-2</v>
      </c>
      <c r="AM263" s="42"/>
    </row>
    <row r="264" spans="1:39" x14ac:dyDescent="0.25">
      <c r="A264" t="s">
        <v>277</v>
      </c>
      <c r="B264" s="20">
        <v>45829</v>
      </c>
      <c r="C264" s="4">
        <v>45835</v>
      </c>
      <c r="D264" s="4" t="s">
        <v>1440</v>
      </c>
      <c r="E264" s="4">
        <v>45835</v>
      </c>
      <c r="F264" s="11">
        <f t="shared" si="56"/>
        <v>6</v>
      </c>
      <c r="G264" s="11" t="str">
        <f t="shared" si="59"/>
        <v>Meets Target</v>
      </c>
      <c r="H264" t="s">
        <v>646</v>
      </c>
      <c r="I264" t="s">
        <v>661</v>
      </c>
      <c r="J264" t="s">
        <v>687</v>
      </c>
      <c r="K264" t="s">
        <v>706</v>
      </c>
      <c r="L264" t="s">
        <v>710</v>
      </c>
      <c r="M264" t="s">
        <v>725</v>
      </c>
      <c r="N264" t="s">
        <v>730</v>
      </c>
      <c r="O264" t="str" cm="1">
        <f t="array" ref="O264">_xlfn.IFS(S264&lt;=_xlfn.PERCENTILE.INC(IF(N264:N894=N264, S264:S894), 0.33), "Low", S264&lt;=_xlfn.PERCENTILE.INC(IF(N264:N894=N264, S264:S894), 0.66), "Medium", S264 &gt; _xlfn.PERCENTILE.INC(IF(N264:N894=N264, S264:S894), 0.66), "High")</f>
        <v>Low</v>
      </c>
      <c r="P264" t="s">
        <v>997</v>
      </c>
      <c r="Q264" s="6">
        <v>93.91</v>
      </c>
      <c r="R264" s="6">
        <v>99.04</v>
      </c>
      <c r="S264" s="6">
        <v>99.04</v>
      </c>
      <c r="T264" s="9">
        <v>5.7000000000000002E-2</v>
      </c>
      <c r="U264" s="9">
        <f>IF(T264&gt;0.3, $AO$4, T264)</f>
        <v>5.7000000000000002E-2</v>
      </c>
      <c r="V264" s="7" t="str">
        <f t="shared" si="60"/>
        <v>Less than 20%</v>
      </c>
      <c r="W264" s="11">
        <v>6</v>
      </c>
      <c r="X264" s="6">
        <f t="shared" si="57"/>
        <v>560.36831999999993</v>
      </c>
      <c r="Y264" s="6">
        <f t="shared" si="58"/>
        <v>563.46</v>
      </c>
      <c r="Z264" s="6">
        <f t="shared" si="61"/>
        <v>-3.0916800000001103</v>
      </c>
      <c r="AA264" s="9">
        <f t="shared" si="62"/>
        <v>-5.5172283829323376E-3</v>
      </c>
      <c r="AB264" s="9">
        <f>IF(U264&gt;'What-If Analysis'!$F$16, 'What-If Analysis'!$F$16,T264)</f>
        <v>5.7000000000000002E-2</v>
      </c>
      <c r="AC264" s="42">
        <f>S264*(1-AB264)</f>
        <v>93.394720000000007</v>
      </c>
      <c r="AD264" s="42">
        <f>Q264*(1+'What-If Analysis'!F279)</f>
        <v>93.91</v>
      </c>
      <c r="AE264" s="41">
        <f>W264*(1+'What-If Analysis'!$F$18)</f>
        <v>7.02</v>
      </c>
      <c r="AF264" s="42">
        <f t="shared" si="63"/>
        <v>655.6309344</v>
      </c>
      <c r="AG264" s="42">
        <f t="shared" si="64"/>
        <v>659.24819999999988</v>
      </c>
      <c r="AH264" s="42">
        <f t="shared" si="65"/>
        <v>-3.6172655999998824</v>
      </c>
      <c r="AI264" s="44">
        <f t="shared" si="66"/>
        <v>-5.5172283829319603E-3</v>
      </c>
      <c r="AJ264" s="42">
        <f t="shared" si="67"/>
        <v>95.262614400000075</v>
      </c>
      <c r="AK264" s="42">
        <f t="shared" si="68"/>
        <v>-3.0916800000001103</v>
      </c>
      <c r="AL264" s="9">
        <f t="shared" si="69"/>
        <v>3.7730235602495554E-16</v>
      </c>
      <c r="AM264" s="42"/>
    </row>
    <row r="265" spans="1:39" x14ac:dyDescent="0.25">
      <c r="A265" t="s">
        <v>278</v>
      </c>
      <c r="B265" s="20">
        <v>45763</v>
      </c>
      <c r="C265" s="4">
        <v>45773</v>
      </c>
      <c r="D265" s="4" t="s">
        <v>1440</v>
      </c>
      <c r="E265" s="4">
        <v>45773</v>
      </c>
      <c r="F265" s="11">
        <f t="shared" si="56"/>
        <v>10</v>
      </c>
      <c r="G265" s="11" t="str">
        <f t="shared" si="59"/>
        <v>Does not Meet Target</v>
      </c>
      <c r="H265" t="s">
        <v>646</v>
      </c>
      <c r="I265" t="s">
        <v>651</v>
      </c>
      <c r="J265" t="s">
        <v>663</v>
      </c>
      <c r="K265" t="s">
        <v>706</v>
      </c>
      <c r="L265" t="s">
        <v>709</v>
      </c>
      <c r="M265" t="s">
        <v>721</v>
      </c>
      <c r="N265" t="s">
        <v>731</v>
      </c>
      <c r="O265" t="str" cm="1">
        <f t="array" ref="O265">_xlfn.IFS(S265&lt;=_xlfn.PERCENTILE.INC(IF(N265:N895=N265, S265:S895), 0.33), "Low", S265&lt;=_xlfn.PERCENTILE.INC(IF(N265:N895=N265, S265:S895), 0.66), "Medium", S265 &gt; _xlfn.PERCENTILE.INC(IF(N265:N895=N265, S265:S895), 0.66), "High")</f>
        <v>Medium</v>
      </c>
      <c r="P265" t="s">
        <v>998</v>
      </c>
      <c r="Q265" s="6">
        <v>1457.44</v>
      </c>
      <c r="R265" s="6">
        <v>1996.81</v>
      </c>
      <c r="S265" s="6">
        <v>1996.81</v>
      </c>
      <c r="T265" s="9">
        <v>0.126</v>
      </c>
      <c r="U265" s="9">
        <f>IF(T265&gt;0.3, $AO$4, T265)</f>
        <v>0.126</v>
      </c>
      <c r="V265" s="7" t="str">
        <f t="shared" si="60"/>
        <v>Less than 20%</v>
      </c>
      <c r="W265" s="11">
        <v>23</v>
      </c>
      <c r="X265" s="6">
        <f t="shared" si="57"/>
        <v>40139.874619999995</v>
      </c>
      <c r="Y265" s="6">
        <f t="shared" si="58"/>
        <v>33521.120000000003</v>
      </c>
      <c r="Z265" s="6">
        <f t="shared" si="61"/>
        <v>6618.7546199999924</v>
      </c>
      <c r="AA265" s="9">
        <f t="shared" si="62"/>
        <v>0.16489225944672353</v>
      </c>
      <c r="AB265" s="9">
        <f>IF(U265&gt;'What-If Analysis'!$F$16, 'What-If Analysis'!$F$16,T265)</f>
        <v>0.126</v>
      </c>
      <c r="AC265" s="42">
        <f>S265*(1-AB265)</f>
        <v>1745.2119399999999</v>
      </c>
      <c r="AD265" s="42">
        <f>Q265*(1+'What-If Analysis'!F280)</f>
        <v>1457.44</v>
      </c>
      <c r="AE265" s="41">
        <f>W265*(1+'What-If Analysis'!$F$18)</f>
        <v>26.909999999999997</v>
      </c>
      <c r="AF265" s="42">
        <f t="shared" si="63"/>
        <v>46963.653305399988</v>
      </c>
      <c r="AG265" s="42">
        <f t="shared" si="64"/>
        <v>39219.710399999996</v>
      </c>
      <c r="AH265" s="42">
        <f t="shared" si="65"/>
        <v>7743.942905399992</v>
      </c>
      <c r="AI265" s="44">
        <f t="shared" si="66"/>
        <v>0.16489225944672356</v>
      </c>
      <c r="AJ265" s="42">
        <f t="shared" si="67"/>
        <v>6823.7786853999933</v>
      </c>
      <c r="AK265" s="42">
        <f t="shared" si="68"/>
        <v>6618.7546199999924</v>
      </c>
      <c r="AL265" s="9">
        <f t="shared" si="69"/>
        <v>0</v>
      </c>
      <c r="AM265" s="42"/>
    </row>
    <row r="266" spans="1:39" x14ac:dyDescent="0.25">
      <c r="A266" t="s">
        <v>279</v>
      </c>
      <c r="B266" s="20">
        <v>45902</v>
      </c>
      <c r="C266" s="4">
        <v>45911</v>
      </c>
      <c r="D266" s="4" t="s">
        <v>1441</v>
      </c>
      <c r="E266" s="4">
        <v>45911</v>
      </c>
      <c r="F266" s="11">
        <f t="shared" si="56"/>
        <v>9</v>
      </c>
      <c r="G266" s="11" t="str">
        <f t="shared" si="59"/>
        <v>Does not Meet Target</v>
      </c>
      <c r="H266" t="s">
        <v>648</v>
      </c>
      <c r="I266" t="s">
        <v>653</v>
      </c>
      <c r="J266" t="s">
        <v>667</v>
      </c>
      <c r="K266" t="s">
        <v>701</v>
      </c>
      <c r="L266" t="s">
        <v>710</v>
      </c>
      <c r="M266" t="s">
        <v>724</v>
      </c>
      <c r="N266" t="s">
        <v>728</v>
      </c>
      <c r="O266" t="str" cm="1">
        <f t="array" ref="O266">_xlfn.IFS(S266&lt;=_xlfn.PERCENTILE.INC(IF(N266:N896=N266, S266:S896), 0.33), "Low", S266&lt;=_xlfn.PERCENTILE.INC(IF(N266:N896=N266, S266:S896), 0.66), "Medium", S266 &gt; _xlfn.PERCENTILE.INC(IF(N266:N896=N266, S266:S896), 0.66), "High")</f>
        <v>Medium</v>
      </c>
      <c r="P266" t="s">
        <v>999</v>
      </c>
      <c r="Q266" s="6">
        <v>1207.6300000000001</v>
      </c>
      <c r="R266" s="6">
        <v>921.68</v>
      </c>
      <c r="S266" s="6">
        <v>921.68</v>
      </c>
      <c r="T266" s="9">
        <v>0.19600000000000001</v>
      </c>
      <c r="U266" s="9">
        <f>IF(T266&gt;0.3, $AO$4, T266)</f>
        <v>0.19600000000000001</v>
      </c>
      <c r="V266" s="7" t="str">
        <f t="shared" si="60"/>
        <v>Less than 20%</v>
      </c>
      <c r="W266" s="11">
        <v>17</v>
      </c>
      <c r="X266" s="6">
        <f t="shared" si="57"/>
        <v>12597.52224</v>
      </c>
      <c r="Y266" s="6">
        <f t="shared" si="58"/>
        <v>20529.710000000003</v>
      </c>
      <c r="Z266" s="6">
        <f t="shared" si="61"/>
        <v>-7932.1877600000025</v>
      </c>
      <c r="AA266" s="9">
        <f t="shared" si="62"/>
        <v>-0.62966253274897988</v>
      </c>
      <c r="AB266" s="9">
        <f>IF(U266&gt;'What-If Analysis'!$F$16, 'What-If Analysis'!$F$16,T266)</f>
        <v>0.17</v>
      </c>
      <c r="AC266" s="42">
        <f>S266*(1-AB266)</f>
        <v>764.99439999999993</v>
      </c>
      <c r="AD266" s="42">
        <f>Q266*(1+'What-If Analysis'!F281)</f>
        <v>1207.6300000000001</v>
      </c>
      <c r="AE266" s="41">
        <f>W266*(1+'What-If Analysis'!$F$18)</f>
        <v>19.89</v>
      </c>
      <c r="AF266" s="42">
        <f t="shared" si="63"/>
        <v>15215.738615999999</v>
      </c>
      <c r="AG266" s="42">
        <f t="shared" si="64"/>
        <v>24019.760700000003</v>
      </c>
      <c r="AH266" s="42">
        <f t="shared" si="65"/>
        <v>-8804.0220840000038</v>
      </c>
      <c r="AI266" s="44">
        <f t="shared" si="66"/>
        <v>-0.57861286304840953</v>
      </c>
      <c r="AJ266" s="42">
        <f t="shared" si="67"/>
        <v>2618.2163759999985</v>
      </c>
      <c r="AK266" s="42">
        <f t="shared" si="68"/>
        <v>-7932.1877600000025</v>
      </c>
      <c r="AL266" s="9">
        <f t="shared" si="69"/>
        <v>5.1049669700570344E-2</v>
      </c>
      <c r="AM266" s="42"/>
    </row>
    <row r="267" spans="1:39" x14ac:dyDescent="0.25">
      <c r="A267" t="s">
        <v>280</v>
      </c>
      <c r="B267" s="20">
        <v>45573</v>
      </c>
      <c r="C267" s="4">
        <v>45573</v>
      </c>
      <c r="D267" s="4" t="s">
        <v>1435</v>
      </c>
      <c r="E267" s="4">
        <v>45573</v>
      </c>
      <c r="F267" s="11">
        <f t="shared" si="56"/>
        <v>0</v>
      </c>
      <c r="G267" s="11" t="str">
        <f t="shared" si="59"/>
        <v>Meets Target</v>
      </c>
      <c r="H267" t="s">
        <v>649</v>
      </c>
      <c r="I267" t="s">
        <v>658</v>
      </c>
      <c r="J267" t="s">
        <v>683</v>
      </c>
      <c r="K267" t="s">
        <v>701</v>
      </c>
      <c r="L267" t="s">
        <v>708</v>
      </c>
      <c r="M267" t="s">
        <v>718</v>
      </c>
      <c r="N267" t="s">
        <v>732</v>
      </c>
      <c r="O267" t="str" cm="1">
        <f t="array" ref="O267">_xlfn.IFS(S267&lt;=_xlfn.PERCENTILE.INC(IF(N267:N897=N267, S267:S897), 0.33), "Low", S267&lt;=_xlfn.PERCENTILE.INC(IF(N267:N897=N267, S267:S897), 0.66), "Medium", S267 &gt; _xlfn.PERCENTILE.INC(IF(N267:N897=N267, S267:S897), 0.66), "High")</f>
        <v>High</v>
      </c>
      <c r="P267" t="s">
        <v>1000</v>
      </c>
      <c r="Q267" s="6">
        <v>1108.1099999999999</v>
      </c>
      <c r="R267" s="6">
        <v>2503.79</v>
      </c>
      <c r="S267" s="6">
        <v>2503.79</v>
      </c>
      <c r="T267" s="9">
        <v>0.184</v>
      </c>
      <c r="U267" s="9">
        <f>IF(T267&gt;0.3, $AO$4, T267)</f>
        <v>0.184</v>
      </c>
      <c r="V267" s="7" t="str">
        <f t="shared" si="60"/>
        <v>Less than 20%</v>
      </c>
      <c r="W267" s="11">
        <v>19</v>
      </c>
      <c r="X267" s="6">
        <f t="shared" si="57"/>
        <v>38818.760160000005</v>
      </c>
      <c r="Y267" s="6">
        <f t="shared" si="58"/>
        <v>21054.089999999997</v>
      </c>
      <c r="Z267" s="6">
        <f t="shared" si="61"/>
        <v>17764.670160000009</v>
      </c>
      <c r="AA267" s="9">
        <f t="shared" si="62"/>
        <v>0.45763105485025896</v>
      </c>
      <c r="AB267" s="9">
        <f>IF(U267&gt;'What-If Analysis'!$F$16, 'What-If Analysis'!$F$16,T267)</f>
        <v>0.17</v>
      </c>
      <c r="AC267" s="42">
        <f>S267*(1-AB267)</f>
        <v>2078.1457</v>
      </c>
      <c r="AD267" s="42">
        <f>Q267*(1+'What-If Analysis'!F282)</f>
        <v>1108.1099999999999</v>
      </c>
      <c r="AE267" s="41">
        <f>W267*(1+'What-If Analysis'!$F$18)</f>
        <v>22.229999999999997</v>
      </c>
      <c r="AF267" s="42">
        <f t="shared" si="63"/>
        <v>46197.178910999995</v>
      </c>
      <c r="AG267" s="42">
        <f t="shared" si="64"/>
        <v>24633.285299999996</v>
      </c>
      <c r="AH267" s="42">
        <f t="shared" si="65"/>
        <v>21563.893611</v>
      </c>
      <c r="AI267" s="44">
        <f t="shared" si="66"/>
        <v>0.46677944669615806</v>
      </c>
      <c r="AJ267" s="42">
        <f t="shared" si="67"/>
        <v>7378.4187509999902</v>
      </c>
      <c r="AK267" s="42">
        <f t="shared" si="68"/>
        <v>17764.670160000009</v>
      </c>
      <c r="AL267" s="9">
        <f t="shared" si="69"/>
        <v>9.1483918458991065E-3</v>
      </c>
      <c r="AM267" s="42"/>
    </row>
    <row r="268" spans="1:39" x14ac:dyDescent="0.25">
      <c r="A268" t="s">
        <v>281</v>
      </c>
      <c r="B268" s="20">
        <v>45053</v>
      </c>
      <c r="C268" s="4">
        <v>45051</v>
      </c>
      <c r="D268" s="4" t="s">
        <v>1442</v>
      </c>
      <c r="E268" s="4">
        <v>45071</v>
      </c>
      <c r="F268" s="11">
        <f t="shared" si="56"/>
        <v>18</v>
      </c>
      <c r="G268" s="11" t="str">
        <f t="shared" si="59"/>
        <v>Does not Meet Target</v>
      </c>
      <c r="H268" t="s">
        <v>646</v>
      </c>
      <c r="I268" t="s">
        <v>651</v>
      </c>
      <c r="J268" t="s">
        <v>663</v>
      </c>
      <c r="K268" t="s">
        <v>703</v>
      </c>
      <c r="L268" t="s">
        <v>709</v>
      </c>
      <c r="M268" t="s">
        <v>720</v>
      </c>
      <c r="N268" t="s">
        <v>727</v>
      </c>
      <c r="O268" t="str" cm="1">
        <f t="array" ref="O268">_xlfn.IFS(S268&lt;=_xlfn.PERCENTILE.INC(IF(N268:N898=N268, S268:S898), 0.33), "Low", S268&lt;=_xlfn.PERCENTILE.INC(IF(N268:N898=N268, S268:S898), 0.66), "Medium", S268 &gt; _xlfn.PERCENTILE.INC(IF(N268:N898=N268, S268:S898), 0.66), "High")</f>
        <v>High</v>
      </c>
      <c r="P268" t="s">
        <v>1001</v>
      </c>
      <c r="Q268" s="6">
        <v>1269.6500000000001</v>
      </c>
      <c r="R268" s="6">
        <v>2462.77</v>
      </c>
      <c r="S268" s="6">
        <v>2462.77</v>
      </c>
      <c r="T268" s="9">
        <v>0.107</v>
      </c>
      <c r="U268" s="9">
        <f>IF(T268&gt;0.3, $AO$4, T268)</f>
        <v>0.107</v>
      </c>
      <c r="V268" s="7" t="str">
        <f t="shared" si="60"/>
        <v>Less than 20%</v>
      </c>
      <c r="W268" s="11">
        <v>8</v>
      </c>
      <c r="X268" s="6">
        <f t="shared" si="57"/>
        <v>17594.028880000002</v>
      </c>
      <c r="Y268" s="6">
        <f t="shared" si="58"/>
        <v>10157.200000000001</v>
      </c>
      <c r="Z268" s="6">
        <f t="shared" si="61"/>
        <v>7436.8288800000009</v>
      </c>
      <c r="AA268" s="9">
        <f t="shared" si="62"/>
        <v>0.42269050089225502</v>
      </c>
      <c r="AB268" s="9">
        <f>IF(U268&gt;'What-If Analysis'!$F$16, 'What-If Analysis'!$F$16,T268)</f>
        <v>0.107</v>
      </c>
      <c r="AC268" s="42">
        <f>S268*(1-AB268)</f>
        <v>2199.2536100000002</v>
      </c>
      <c r="AD268" s="42">
        <f>Q268*(1+'What-If Analysis'!F283)</f>
        <v>1269.6500000000001</v>
      </c>
      <c r="AE268" s="41">
        <f>W268*(1+'What-If Analysis'!$F$18)</f>
        <v>9.36</v>
      </c>
      <c r="AF268" s="42">
        <f t="shared" si="63"/>
        <v>20585.013789600001</v>
      </c>
      <c r="AG268" s="42">
        <f t="shared" si="64"/>
        <v>11883.924000000001</v>
      </c>
      <c r="AH268" s="42">
        <f t="shared" si="65"/>
        <v>8701.0897896000006</v>
      </c>
      <c r="AI268" s="44">
        <f t="shared" si="66"/>
        <v>0.42269050089225496</v>
      </c>
      <c r="AJ268" s="42">
        <f t="shared" si="67"/>
        <v>2990.9849095999998</v>
      </c>
      <c r="AK268" s="42">
        <f t="shared" si="68"/>
        <v>7436.8288800000009</v>
      </c>
      <c r="AL268" s="9">
        <f t="shared" si="69"/>
        <v>0</v>
      </c>
      <c r="AM268" s="42"/>
    </row>
    <row r="269" spans="1:39" x14ac:dyDescent="0.25">
      <c r="A269" t="s">
        <v>282</v>
      </c>
      <c r="B269" s="20">
        <v>45284</v>
      </c>
      <c r="C269" s="4">
        <v>45292</v>
      </c>
      <c r="D269" s="4" t="s">
        <v>1438</v>
      </c>
      <c r="E269" s="4">
        <v>45292</v>
      </c>
      <c r="F269" s="11">
        <f t="shared" si="56"/>
        <v>8</v>
      </c>
      <c r="G269" s="11" t="str">
        <f t="shared" si="59"/>
        <v>Does not Meet Target</v>
      </c>
      <c r="H269" t="s">
        <v>648</v>
      </c>
      <c r="I269" t="s">
        <v>655</v>
      </c>
      <c r="J269" t="s">
        <v>670</v>
      </c>
      <c r="K269" t="s">
        <v>702</v>
      </c>
      <c r="L269" t="s">
        <v>711</v>
      </c>
      <c r="M269" t="s">
        <v>712</v>
      </c>
      <c r="N269" t="s">
        <v>730</v>
      </c>
      <c r="O269" t="str" cm="1">
        <f t="array" ref="O269">_xlfn.IFS(S269&lt;=_xlfn.PERCENTILE.INC(IF(N269:N899=N269, S269:S899), 0.33), "Low", S269&lt;=_xlfn.PERCENTILE.INC(IF(N269:N899=N269, S269:S899), 0.66), "Medium", S269 &gt; _xlfn.PERCENTILE.INC(IF(N269:N899=N269, S269:S899), 0.66), "High")</f>
        <v>Low</v>
      </c>
      <c r="P269" t="s">
        <v>1002</v>
      </c>
      <c r="Q269" s="6">
        <v>526.49</v>
      </c>
      <c r="R269" s="6">
        <v>496.2</v>
      </c>
      <c r="S269" s="6">
        <v>496.2</v>
      </c>
      <c r="T269" s="9">
        <v>0</v>
      </c>
      <c r="U269" s="9">
        <f>IF(T269&gt;0.3, $AO$4, T269)</f>
        <v>0</v>
      </c>
      <c r="V269" s="7" t="str">
        <f t="shared" si="60"/>
        <v>Less than 20%</v>
      </c>
      <c r="W269" s="11">
        <v>14</v>
      </c>
      <c r="X269" s="6">
        <f t="shared" si="57"/>
        <v>6946.8</v>
      </c>
      <c r="Y269" s="6">
        <f t="shared" si="58"/>
        <v>7370.8600000000006</v>
      </c>
      <c r="Z269" s="6">
        <f t="shared" si="61"/>
        <v>-424.0600000000004</v>
      </c>
      <c r="AA269" s="9">
        <f t="shared" si="62"/>
        <v>-6.1043933897621985E-2</v>
      </c>
      <c r="AB269" s="9">
        <f>IF(U269&gt;'What-If Analysis'!$F$16, 'What-If Analysis'!$F$16,T269)</f>
        <v>0</v>
      </c>
      <c r="AC269" s="42">
        <f>S269*(1-AB269)</f>
        <v>496.2</v>
      </c>
      <c r="AD269" s="42">
        <f>Q269*(1+'What-If Analysis'!F284)</f>
        <v>526.49</v>
      </c>
      <c r="AE269" s="41">
        <f>W269*(1+'What-If Analysis'!$F$18)</f>
        <v>16.38</v>
      </c>
      <c r="AF269" s="42">
        <f t="shared" si="63"/>
        <v>8127.7559999999994</v>
      </c>
      <c r="AG269" s="42">
        <f t="shared" si="64"/>
        <v>8623.9061999999994</v>
      </c>
      <c r="AH269" s="42">
        <f t="shared" si="65"/>
        <v>-496.15020000000004</v>
      </c>
      <c r="AI269" s="44">
        <f t="shared" si="66"/>
        <v>-6.1043933897621937E-2</v>
      </c>
      <c r="AJ269" s="42">
        <f t="shared" si="67"/>
        <v>1180.9559999999992</v>
      </c>
      <c r="AK269" s="42">
        <f t="shared" si="68"/>
        <v>-424.0600000000004</v>
      </c>
      <c r="AL269" s="9">
        <f t="shared" si="69"/>
        <v>0</v>
      </c>
      <c r="AM269" s="42"/>
    </row>
    <row r="270" spans="1:39" x14ac:dyDescent="0.25">
      <c r="A270" t="s">
        <v>283</v>
      </c>
      <c r="B270" s="20">
        <v>45301</v>
      </c>
      <c r="C270" s="4">
        <v>45314</v>
      </c>
      <c r="D270" s="4" t="s">
        <v>1434</v>
      </c>
      <c r="E270" s="4">
        <v>45314</v>
      </c>
      <c r="F270" s="11">
        <f t="shared" si="56"/>
        <v>13</v>
      </c>
      <c r="G270" s="11" t="str">
        <f t="shared" si="59"/>
        <v>Does not Meet Target</v>
      </c>
      <c r="H270" t="s">
        <v>649</v>
      </c>
      <c r="I270" t="s">
        <v>657</v>
      </c>
      <c r="J270" t="s">
        <v>673</v>
      </c>
      <c r="K270" t="s">
        <v>701</v>
      </c>
      <c r="L270" t="s">
        <v>711</v>
      </c>
      <c r="M270" t="s">
        <v>720</v>
      </c>
      <c r="N270" t="s">
        <v>728</v>
      </c>
      <c r="O270" t="str" cm="1">
        <f t="array" ref="O270">_xlfn.IFS(S270&lt;=_xlfn.PERCENTILE.INC(IF(N270:N900=N270, S270:S900), 0.33), "Low", S270&lt;=_xlfn.PERCENTILE.INC(IF(N270:N900=N270, S270:S900), 0.66), "Medium", S270 &gt; _xlfn.PERCENTILE.INC(IF(N270:N900=N270, S270:S900), 0.66), "High")</f>
        <v>Medium</v>
      </c>
      <c r="P270" t="s">
        <v>1003</v>
      </c>
      <c r="Q270" s="6">
        <v>720</v>
      </c>
      <c r="R270" s="6">
        <v>907.59</v>
      </c>
      <c r="S270" s="6">
        <v>907.59</v>
      </c>
      <c r="T270" s="9">
        <v>0.154</v>
      </c>
      <c r="U270" s="9">
        <f>IF(T270&gt;0.3, $AO$4, T270)</f>
        <v>0.154</v>
      </c>
      <c r="V270" s="7" t="str">
        <f t="shared" si="60"/>
        <v>Less than 20%</v>
      </c>
      <c r="W270" s="11">
        <v>10</v>
      </c>
      <c r="X270" s="6">
        <f t="shared" si="57"/>
        <v>7678.2113999999992</v>
      </c>
      <c r="Y270" s="6">
        <f t="shared" si="58"/>
        <v>7200</v>
      </c>
      <c r="Z270" s="6">
        <f t="shared" si="61"/>
        <v>478.21139999999923</v>
      </c>
      <c r="AA270" s="9">
        <f t="shared" si="62"/>
        <v>6.2281614179052078E-2</v>
      </c>
      <c r="AB270" s="9">
        <f>IF(U270&gt;'What-If Analysis'!$F$16, 'What-If Analysis'!$F$16,T270)</f>
        <v>0.154</v>
      </c>
      <c r="AC270" s="42">
        <f>S270*(1-AB270)</f>
        <v>767.82114000000001</v>
      </c>
      <c r="AD270" s="42">
        <f>Q270*(1+'What-If Analysis'!F285)</f>
        <v>720</v>
      </c>
      <c r="AE270" s="41">
        <f>W270*(1+'What-If Analysis'!$F$18)</f>
        <v>11.7</v>
      </c>
      <c r="AF270" s="42">
        <f t="shared" si="63"/>
        <v>8983.5073379999994</v>
      </c>
      <c r="AG270" s="42">
        <f t="shared" si="64"/>
        <v>8424</v>
      </c>
      <c r="AH270" s="42">
        <f t="shared" si="65"/>
        <v>559.50733799999944</v>
      </c>
      <c r="AI270" s="44">
        <f t="shared" si="66"/>
        <v>6.2281614179052112E-2</v>
      </c>
      <c r="AJ270" s="42">
        <f t="shared" si="67"/>
        <v>1305.2959380000002</v>
      </c>
      <c r="AK270" s="42">
        <f t="shared" si="68"/>
        <v>478.21139999999923</v>
      </c>
      <c r="AL270" s="9">
        <f t="shared" si="69"/>
        <v>0</v>
      </c>
      <c r="AM270" s="42"/>
    </row>
    <row r="271" spans="1:39" x14ac:dyDescent="0.25">
      <c r="A271" t="s">
        <v>284</v>
      </c>
      <c r="B271" s="20">
        <v>45141</v>
      </c>
      <c r="C271" s="4">
        <v>45152</v>
      </c>
      <c r="D271" s="4" t="s">
        <v>1444</v>
      </c>
      <c r="E271" s="4">
        <v>45152</v>
      </c>
      <c r="F271" s="11">
        <f t="shared" si="56"/>
        <v>11</v>
      </c>
      <c r="G271" s="11" t="str">
        <f t="shared" si="59"/>
        <v>Does not Meet Target</v>
      </c>
      <c r="H271" t="s">
        <v>648</v>
      </c>
      <c r="I271" t="s">
        <v>655</v>
      </c>
      <c r="J271" t="s">
        <v>672</v>
      </c>
      <c r="K271" t="s">
        <v>701</v>
      </c>
      <c r="L271" t="s">
        <v>711</v>
      </c>
      <c r="M271" t="s">
        <v>713</v>
      </c>
      <c r="N271" t="s">
        <v>733</v>
      </c>
      <c r="O271" t="str" cm="1">
        <f t="array" ref="O271">_xlfn.IFS(S271&lt;=_xlfn.PERCENTILE.INC(IF(N271:N901=N271, S271:S901), 0.33), "Low", S271&lt;=_xlfn.PERCENTILE.INC(IF(N271:N901=N271, S271:S901), 0.66), "Medium", S271 &gt; _xlfn.PERCENTILE.INC(IF(N271:N901=N271, S271:S901), 0.66), "High")</f>
        <v>Low</v>
      </c>
      <c r="P271" t="s">
        <v>1004</v>
      </c>
      <c r="Q271" s="6">
        <v>232.73</v>
      </c>
      <c r="R271" s="6">
        <v>334.19</v>
      </c>
      <c r="S271" s="6">
        <v>334.19</v>
      </c>
      <c r="T271" s="9">
        <v>0.13400000000000001</v>
      </c>
      <c r="U271" s="9">
        <f>IF(T271&gt;0.3, $AO$4, T271)</f>
        <v>0.13400000000000001</v>
      </c>
      <c r="V271" s="7" t="str">
        <f t="shared" si="60"/>
        <v>Less than 20%</v>
      </c>
      <c r="W271" s="11">
        <v>25</v>
      </c>
      <c r="X271" s="6">
        <f t="shared" si="57"/>
        <v>7235.2134999999998</v>
      </c>
      <c r="Y271" s="6">
        <f t="shared" si="58"/>
        <v>5818.25</v>
      </c>
      <c r="Z271" s="6">
        <f t="shared" si="61"/>
        <v>1416.9634999999998</v>
      </c>
      <c r="AA271" s="9">
        <f t="shared" si="62"/>
        <v>0.1958426658729559</v>
      </c>
      <c r="AB271" s="9">
        <f>IF(U271&gt;'What-If Analysis'!$F$16, 'What-If Analysis'!$F$16,T271)</f>
        <v>0.13400000000000001</v>
      </c>
      <c r="AC271" s="42">
        <f>S271*(1-AB271)</f>
        <v>289.40854000000002</v>
      </c>
      <c r="AD271" s="42">
        <f>Q271*(1+'What-If Analysis'!F286)</f>
        <v>232.73</v>
      </c>
      <c r="AE271" s="41">
        <f>W271*(1+'What-If Analysis'!$F$18)</f>
        <v>29.25</v>
      </c>
      <c r="AF271" s="42">
        <f t="shared" si="63"/>
        <v>8465.1997950000004</v>
      </c>
      <c r="AG271" s="42">
        <f t="shared" si="64"/>
        <v>6807.3525</v>
      </c>
      <c r="AH271" s="42">
        <f t="shared" si="65"/>
        <v>1657.8472950000005</v>
      </c>
      <c r="AI271" s="44">
        <f t="shared" si="66"/>
        <v>0.19584266587295598</v>
      </c>
      <c r="AJ271" s="42">
        <f t="shared" si="67"/>
        <v>1229.9862950000006</v>
      </c>
      <c r="AK271" s="42">
        <f t="shared" si="68"/>
        <v>1416.9634999999998</v>
      </c>
      <c r="AL271" s="9">
        <f t="shared" si="69"/>
        <v>0</v>
      </c>
      <c r="AM271" s="42"/>
    </row>
    <row r="272" spans="1:39" x14ac:dyDescent="0.25">
      <c r="A272" t="s">
        <v>285</v>
      </c>
      <c r="B272" s="20">
        <v>45707</v>
      </c>
      <c r="C272" s="4">
        <v>45725</v>
      </c>
      <c r="D272" s="4" t="s">
        <v>1437</v>
      </c>
      <c r="E272" s="4">
        <v>45725</v>
      </c>
      <c r="F272" s="11">
        <f t="shared" si="56"/>
        <v>18</v>
      </c>
      <c r="G272" s="11" t="str">
        <f t="shared" si="59"/>
        <v>Does not Meet Target</v>
      </c>
      <c r="H272" t="s">
        <v>647</v>
      </c>
      <c r="I272" t="s">
        <v>654</v>
      </c>
      <c r="J272" t="s">
        <v>680</v>
      </c>
      <c r="K272" t="s">
        <v>705</v>
      </c>
      <c r="L272" t="s">
        <v>711</v>
      </c>
      <c r="M272" t="s">
        <v>719</v>
      </c>
      <c r="N272" t="s">
        <v>732</v>
      </c>
      <c r="O272" t="str" cm="1">
        <f t="array" ref="O272">_xlfn.IFS(S272&lt;=_xlfn.PERCENTILE.INC(IF(N272:N902=N272, S272:S902), 0.33), "Low", S272&lt;=_xlfn.PERCENTILE.INC(IF(N272:N902=N272, S272:S902), 0.66), "Medium", S272 &gt; _xlfn.PERCENTILE.INC(IF(N272:N902=N272, S272:S902), 0.66), "High")</f>
        <v>Low</v>
      </c>
      <c r="P272" t="s">
        <v>1005</v>
      </c>
      <c r="Q272" s="6">
        <v>325.87</v>
      </c>
      <c r="R272" s="6">
        <v>538.79</v>
      </c>
      <c r="S272" s="6">
        <v>538.79</v>
      </c>
      <c r="T272" s="9">
        <v>0.17399999999999999</v>
      </c>
      <c r="U272" s="9">
        <f>IF(T272&gt;0.3, $AO$4, T272)</f>
        <v>0.17399999999999999</v>
      </c>
      <c r="V272" s="7" t="str">
        <f t="shared" si="60"/>
        <v>Less than 20%</v>
      </c>
      <c r="W272" s="11">
        <v>16</v>
      </c>
      <c r="X272" s="6">
        <f t="shared" si="57"/>
        <v>7120.6486400000003</v>
      </c>
      <c r="Y272" s="6">
        <f t="shared" si="58"/>
        <v>5213.92</v>
      </c>
      <c r="Z272" s="6">
        <f t="shared" si="61"/>
        <v>1906.7286400000003</v>
      </c>
      <c r="AA272" s="9">
        <f t="shared" si="62"/>
        <v>0.26777457172778013</v>
      </c>
      <c r="AB272" s="9">
        <f>IF(U272&gt;'What-If Analysis'!$F$16, 'What-If Analysis'!$F$16,T272)</f>
        <v>0.17</v>
      </c>
      <c r="AC272" s="42">
        <f>S272*(1-AB272)</f>
        <v>447.19569999999993</v>
      </c>
      <c r="AD272" s="42">
        <f>Q272*(1+'What-If Analysis'!F287)</f>
        <v>325.87</v>
      </c>
      <c r="AE272" s="41">
        <f>W272*(1+'What-If Analysis'!$F$18)</f>
        <v>18.72</v>
      </c>
      <c r="AF272" s="42">
        <f t="shared" si="63"/>
        <v>8371.5035039999984</v>
      </c>
      <c r="AG272" s="42">
        <f t="shared" si="64"/>
        <v>6100.2864</v>
      </c>
      <c r="AH272" s="42">
        <f t="shared" si="65"/>
        <v>2271.2171039999985</v>
      </c>
      <c r="AI272" s="44">
        <f t="shared" si="66"/>
        <v>0.27130336897246538</v>
      </c>
      <c r="AJ272" s="42">
        <f t="shared" si="67"/>
        <v>1250.8548639999981</v>
      </c>
      <c r="AK272" s="42">
        <f t="shared" si="68"/>
        <v>1906.7286400000003</v>
      </c>
      <c r="AL272" s="9">
        <f t="shared" si="69"/>
        <v>3.5287972446852445E-3</v>
      </c>
      <c r="AM272" s="42"/>
    </row>
    <row r="273" spans="1:39" x14ac:dyDescent="0.25">
      <c r="A273" t="s">
        <v>286</v>
      </c>
      <c r="B273" s="20">
        <v>45382</v>
      </c>
      <c r="C273" s="4">
        <v>45399</v>
      </c>
      <c r="D273" s="4" t="s">
        <v>1434</v>
      </c>
      <c r="E273" s="4">
        <v>45399</v>
      </c>
      <c r="F273" s="11">
        <f t="shared" si="56"/>
        <v>17</v>
      </c>
      <c r="G273" s="11" t="str">
        <f t="shared" si="59"/>
        <v>Does not Meet Target</v>
      </c>
      <c r="H273" t="s">
        <v>649</v>
      </c>
      <c r="I273" t="s">
        <v>656</v>
      </c>
      <c r="J273" t="s">
        <v>698</v>
      </c>
      <c r="K273" t="s">
        <v>702</v>
      </c>
      <c r="L273" t="s">
        <v>711</v>
      </c>
      <c r="M273" t="s">
        <v>722</v>
      </c>
      <c r="N273" t="s">
        <v>732</v>
      </c>
      <c r="O273" t="str" cm="1">
        <f t="array" ref="O273">_xlfn.IFS(S273&lt;=_xlfn.PERCENTILE.INC(IF(N273:N903=N273, S273:S903), 0.33), "Low", S273&lt;=_xlfn.PERCENTILE.INC(IF(N273:N903=N273, S273:S903), 0.66), "Medium", S273 &gt; _xlfn.PERCENTILE.INC(IF(N273:N903=N273, S273:S903), 0.66), "High")</f>
        <v>Medium</v>
      </c>
      <c r="P273" t="s">
        <v>1006</v>
      </c>
      <c r="Q273" s="6">
        <v>1025.51</v>
      </c>
      <c r="R273" s="6">
        <v>1436.54</v>
      </c>
      <c r="S273" s="6">
        <v>1436.54</v>
      </c>
      <c r="T273" s="9">
        <v>0.13900000000000001</v>
      </c>
      <c r="U273" s="9">
        <f>IF(T273&gt;0.3, $AO$4, T273)</f>
        <v>0.13900000000000001</v>
      </c>
      <c r="V273" s="7" t="str">
        <f t="shared" si="60"/>
        <v>Less than 20%</v>
      </c>
      <c r="W273" s="11">
        <v>28</v>
      </c>
      <c r="X273" s="6">
        <f t="shared" si="57"/>
        <v>34632.106319999999</v>
      </c>
      <c r="Y273" s="6">
        <f t="shared" si="58"/>
        <v>28714.28</v>
      </c>
      <c r="Z273" s="6">
        <f t="shared" si="61"/>
        <v>5917.8263200000001</v>
      </c>
      <c r="AA273" s="9">
        <f t="shared" si="62"/>
        <v>0.17087688127656453</v>
      </c>
      <c r="AB273" s="9">
        <f>IF(U273&gt;'What-If Analysis'!$F$16, 'What-If Analysis'!$F$16,T273)</f>
        <v>0.13900000000000001</v>
      </c>
      <c r="AC273" s="42">
        <f>S273*(1-AB273)</f>
        <v>1236.86094</v>
      </c>
      <c r="AD273" s="42">
        <f>Q273*(1+'What-If Analysis'!F288)</f>
        <v>1025.51</v>
      </c>
      <c r="AE273" s="41">
        <f>W273*(1+'What-If Analysis'!$F$18)</f>
        <v>32.76</v>
      </c>
      <c r="AF273" s="42">
        <f t="shared" si="63"/>
        <v>40519.564394399997</v>
      </c>
      <c r="AG273" s="42">
        <f t="shared" si="64"/>
        <v>33595.707599999994</v>
      </c>
      <c r="AH273" s="42">
        <f t="shared" si="65"/>
        <v>6923.8567944000024</v>
      </c>
      <c r="AI273" s="44">
        <f t="shared" si="66"/>
        <v>0.17087688127656461</v>
      </c>
      <c r="AJ273" s="42">
        <f t="shared" si="67"/>
        <v>5887.4580743999977</v>
      </c>
      <c r="AK273" s="42">
        <f t="shared" si="68"/>
        <v>5917.8263200000001</v>
      </c>
      <c r="AL273" s="9">
        <f t="shared" si="69"/>
        <v>0</v>
      </c>
      <c r="AM273" s="42"/>
    </row>
    <row r="274" spans="1:39" x14ac:dyDescent="0.25">
      <c r="A274" t="s">
        <v>287</v>
      </c>
      <c r="B274" s="20">
        <v>45131</v>
      </c>
      <c r="C274" s="4">
        <v>45151</v>
      </c>
      <c r="D274" s="4" t="s">
        <v>1444</v>
      </c>
      <c r="E274" s="4">
        <v>45151</v>
      </c>
      <c r="F274" s="11">
        <f t="shared" si="56"/>
        <v>20</v>
      </c>
      <c r="G274" s="11" t="str">
        <f t="shared" si="59"/>
        <v>Does not Meet Target</v>
      </c>
      <c r="H274" t="s">
        <v>648</v>
      </c>
      <c r="I274" t="s">
        <v>653</v>
      </c>
      <c r="J274" t="s">
        <v>681</v>
      </c>
      <c r="K274" t="s">
        <v>702</v>
      </c>
      <c r="L274" t="s">
        <v>711</v>
      </c>
      <c r="M274" t="s">
        <v>712</v>
      </c>
      <c r="N274" t="s">
        <v>732</v>
      </c>
      <c r="O274" t="str" cm="1">
        <f t="array" ref="O274">_xlfn.IFS(S274&lt;=_xlfn.PERCENTILE.INC(IF(N274:N904=N274, S274:S904), 0.33), "Low", S274&lt;=_xlfn.PERCENTILE.INC(IF(N274:N904=N274, S274:S904), 0.66), "Medium", S274 &gt; _xlfn.PERCENTILE.INC(IF(N274:N904=N274, S274:S904), 0.66), "High")</f>
        <v>High</v>
      </c>
      <c r="P274" t="s">
        <v>1007</v>
      </c>
      <c r="Q274" s="6">
        <v>1082.3800000000001</v>
      </c>
      <c r="R274" s="6">
        <v>1766.55</v>
      </c>
      <c r="S274" s="6">
        <v>1766.55</v>
      </c>
      <c r="T274" s="9">
        <v>0.16400000000000001</v>
      </c>
      <c r="U274" s="9">
        <f>IF(T274&gt;0.3, $AO$4, T274)</f>
        <v>0.16400000000000001</v>
      </c>
      <c r="V274" s="7" t="str">
        <f t="shared" si="60"/>
        <v>Less than 20%</v>
      </c>
      <c r="W274" s="11">
        <v>20</v>
      </c>
      <c r="X274" s="6">
        <f t="shared" si="57"/>
        <v>29536.716</v>
      </c>
      <c r="Y274" s="6">
        <f t="shared" si="58"/>
        <v>21647.600000000002</v>
      </c>
      <c r="Z274" s="6">
        <f t="shared" si="61"/>
        <v>7889.1159999999982</v>
      </c>
      <c r="AA274" s="9">
        <f t="shared" si="62"/>
        <v>0.26709523157550752</v>
      </c>
      <c r="AB274" s="9">
        <f>IF(U274&gt;'What-If Analysis'!$F$16, 'What-If Analysis'!$F$16,T274)</f>
        <v>0.16400000000000001</v>
      </c>
      <c r="AC274" s="42">
        <f>S274*(1-AB274)</f>
        <v>1476.8357999999998</v>
      </c>
      <c r="AD274" s="42">
        <f>Q274*(1+'What-If Analysis'!F289)</f>
        <v>1082.3800000000001</v>
      </c>
      <c r="AE274" s="41">
        <f>W274*(1+'What-If Analysis'!$F$18)</f>
        <v>23.4</v>
      </c>
      <c r="AF274" s="42">
        <f t="shared" si="63"/>
        <v>34557.957719999991</v>
      </c>
      <c r="AG274" s="42">
        <f t="shared" si="64"/>
        <v>25327.692000000003</v>
      </c>
      <c r="AH274" s="42">
        <f t="shared" si="65"/>
        <v>9230.2657199999885</v>
      </c>
      <c r="AI274" s="44">
        <f t="shared" si="66"/>
        <v>0.2670952315755073</v>
      </c>
      <c r="AJ274" s="42">
        <f t="shared" si="67"/>
        <v>5021.2417199999909</v>
      </c>
      <c r="AK274" s="42">
        <f t="shared" si="68"/>
        <v>7889.1159999999982</v>
      </c>
      <c r="AL274" s="9">
        <f t="shared" si="69"/>
        <v>0</v>
      </c>
      <c r="AM274" s="42"/>
    </row>
    <row r="275" spans="1:39" x14ac:dyDescent="0.25">
      <c r="A275" t="s">
        <v>288</v>
      </c>
      <c r="B275" s="20">
        <v>45367</v>
      </c>
      <c r="C275" s="4">
        <v>45395</v>
      </c>
      <c r="D275" s="4" t="s">
        <v>1434</v>
      </c>
      <c r="E275" s="4">
        <v>45395</v>
      </c>
      <c r="F275" s="11">
        <f t="shared" si="56"/>
        <v>28</v>
      </c>
      <c r="G275" s="11" t="str">
        <f t="shared" si="59"/>
        <v>Does not Meet Target</v>
      </c>
      <c r="H275" t="s">
        <v>649</v>
      </c>
      <c r="I275" t="s">
        <v>657</v>
      </c>
      <c r="J275" t="s">
        <v>690</v>
      </c>
      <c r="K275" t="s">
        <v>705</v>
      </c>
      <c r="L275" t="s">
        <v>708</v>
      </c>
      <c r="M275" t="s">
        <v>723</v>
      </c>
      <c r="N275" t="s">
        <v>728</v>
      </c>
      <c r="O275" t="str" cm="1">
        <f t="array" ref="O275">_xlfn.IFS(S275&lt;=_xlfn.PERCENTILE.INC(IF(N275:N905=N275, S275:S905), 0.33), "Low", S275&lt;=_xlfn.PERCENTILE.INC(IF(N275:N905=N275, S275:S905), 0.66), "Medium", S275 &gt; _xlfn.PERCENTILE.INC(IF(N275:N905=N275, S275:S905), 0.66), "High")</f>
        <v>Low</v>
      </c>
      <c r="P275" t="s">
        <v>1008</v>
      </c>
      <c r="Q275" s="6">
        <v>287.61</v>
      </c>
      <c r="R275" s="6">
        <v>628.54</v>
      </c>
      <c r="S275" s="6">
        <v>628.54</v>
      </c>
      <c r="T275" s="9">
        <v>0.13500000000000001</v>
      </c>
      <c r="U275" s="9">
        <f>IF(T275&gt;0.3, $AO$4, T275)</f>
        <v>0.13500000000000001</v>
      </c>
      <c r="V275" s="7" t="str">
        <f t="shared" si="60"/>
        <v>Less than 20%</v>
      </c>
      <c r="W275" s="11">
        <v>21</v>
      </c>
      <c r="X275" s="6">
        <f t="shared" si="57"/>
        <v>11417.429099999999</v>
      </c>
      <c r="Y275" s="6">
        <f t="shared" si="58"/>
        <v>6039.81</v>
      </c>
      <c r="Z275" s="6">
        <f t="shared" si="61"/>
        <v>5377.619099999999</v>
      </c>
      <c r="AA275" s="9">
        <f t="shared" si="62"/>
        <v>0.47100087531964613</v>
      </c>
      <c r="AB275" s="9">
        <f>IF(U275&gt;'What-If Analysis'!$F$16, 'What-If Analysis'!$F$16,T275)</f>
        <v>0.13500000000000001</v>
      </c>
      <c r="AC275" s="42">
        <f>S275*(1-AB275)</f>
        <v>543.68709999999999</v>
      </c>
      <c r="AD275" s="42">
        <f>Q275*(1+'What-If Analysis'!F290)</f>
        <v>287.61</v>
      </c>
      <c r="AE275" s="41">
        <f>W275*(1+'What-If Analysis'!$F$18)</f>
        <v>24.57</v>
      </c>
      <c r="AF275" s="42">
        <f t="shared" si="63"/>
        <v>13358.392046999999</v>
      </c>
      <c r="AG275" s="42">
        <f t="shared" si="64"/>
        <v>7066.5777000000007</v>
      </c>
      <c r="AH275" s="42">
        <f t="shared" si="65"/>
        <v>6291.8143469999986</v>
      </c>
      <c r="AI275" s="44">
        <f t="shared" si="66"/>
        <v>0.47100087531964607</v>
      </c>
      <c r="AJ275" s="42">
        <f t="shared" si="67"/>
        <v>1940.962947</v>
      </c>
      <c r="AK275" s="42">
        <f t="shared" si="68"/>
        <v>5377.619099999999</v>
      </c>
      <c r="AL275" s="9">
        <f t="shared" si="69"/>
        <v>0</v>
      </c>
      <c r="AM275" s="42"/>
    </row>
    <row r="276" spans="1:39" x14ac:dyDescent="0.25">
      <c r="A276" t="s">
        <v>289</v>
      </c>
      <c r="B276" s="20">
        <v>45316</v>
      </c>
      <c r="C276" s="4">
        <v>45318</v>
      </c>
      <c r="D276" s="4" t="s">
        <v>1434</v>
      </c>
      <c r="E276" s="4">
        <v>45318</v>
      </c>
      <c r="F276" s="11">
        <f t="shared" si="56"/>
        <v>2</v>
      </c>
      <c r="G276" s="11" t="str">
        <f t="shared" si="59"/>
        <v>Meets Target</v>
      </c>
      <c r="H276" t="s">
        <v>648</v>
      </c>
      <c r="I276" t="s">
        <v>655</v>
      </c>
      <c r="J276" t="s">
        <v>670</v>
      </c>
      <c r="K276" t="s">
        <v>703</v>
      </c>
      <c r="L276" t="s">
        <v>709</v>
      </c>
      <c r="M276" t="s">
        <v>725</v>
      </c>
      <c r="N276" t="s">
        <v>731</v>
      </c>
      <c r="O276" t="str" cm="1">
        <f t="array" ref="O276">_xlfn.IFS(S276&lt;=_xlfn.PERCENTILE.INC(IF(N276:N906=N276, S276:S906), 0.33), "Low", S276&lt;=_xlfn.PERCENTILE.INC(IF(N276:N906=N276, S276:S906), 0.66), "Medium", S276 &gt; _xlfn.PERCENTILE.INC(IF(N276:N906=N276, S276:S906), 0.66), "High")</f>
        <v>Medium</v>
      </c>
      <c r="P276" t="s">
        <v>1009</v>
      </c>
      <c r="Q276" s="6">
        <v>1410.97</v>
      </c>
      <c r="R276" s="6">
        <v>1650.75</v>
      </c>
      <c r="S276" s="6">
        <v>1650.75</v>
      </c>
      <c r="T276" s="9">
        <v>0.13500000000000001</v>
      </c>
      <c r="U276" s="9">
        <f>IF(T276&gt;0.3, $AO$4, T276)</f>
        <v>0.13500000000000001</v>
      </c>
      <c r="V276" s="7" t="str">
        <f t="shared" si="60"/>
        <v>Less than 20%</v>
      </c>
      <c r="W276" s="11">
        <v>6</v>
      </c>
      <c r="X276" s="6">
        <f t="shared" si="57"/>
        <v>8567.3924999999999</v>
      </c>
      <c r="Y276" s="6">
        <f t="shared" si="58"/>
        <v>8465.82</v>
      </c>
      <c r="Z276" s="6">
        <f t="shared" si="61"/>
        <v>101.57250000000022</v>
      </c>
      <c r="AA276" s="9">
        <f t="shared" si="62"/>
        <v>1.1855707556295596E-2</v>
      </c>
      <c r="AB276" s="9">
        <f>IF(U276&gt;'What-If Analysis'!$F$16, 'What-If Analysis'!$F$16,T276)</f>
        <v>0.13500000000000001</v>
      </c>
      <c r="AC276" s="42">
        <f>S276*(1-AB276)</f>
        <v>1427.8987500000001</v>
      </c>
      <c r="AD276" s="42">
        <f>Q276*(1+'What-If Analysis'!F291)</f>
        <v>1410.97</v>
      </c>
      <c r="AE276" s="41">
        <f>W276*(1+'What-If Analysis'!$F$18)</f>
        <v>7.02</v>
      </c>
      <c r="AF276" s="42">
        <f t="shared" si="63"/>
        <v>10023.849225</v>
      </c>
      <c r="AG276" s="42">
        <f t="shared" si="64"/>
        <v>9905.009399999999</v>
      </c>
      <c r="AH276" s="42">
        <f t="shared" si="65"/>
        <v>118.83982500000093</v>
      </c>
      <c r="AI276" s="44">
        <f t="shared" si="66"/>
        <v>1.1855707556295664E-2</v>
      </c>
      <c r="AJ276" s="42">
        <f t="shared" si="67"/>
        <v>1456.456725</v>
      </c>
      <c r="AK276" s="42">
        <f t="shared" si="68"/>
        <v>101.57250000000022</v>
      </c>
      <c r="AL276" s="9">
        <f t="shared" si="69"/>
        <v>6.7654215563095477E-17</v>
      </c>
      <c r="AM276" s="42"/>
    </row>
    <row r="277" spans="1:39" x14ac:dyDescent="0.25">
      <c r="A277" t="s">
        <v>290</v>
      </c>
      <c r="B277" s="20">
        <v>45378</v>
      </c>
      <c r="C277" s="4">
        <v>45393</v>
      </c>
      <c r="D277" s="4" t="s">
        <v>1434</v>
      </c>
      <c r="E277" s="4">
        <v>45393</v>
      </c>
      <c r="F277" s="11">
        <f t="shared" si="56"/>
        <v>15</v>
      </c>
      <c r="G277" s="11" t="str">
        <f t="shared" si="59"/>
        <v>Does not Meet Target</v>
      </c>
      <c r="H277" t="s">
        <v>648</v>
      </c>
      <c r="I277" t="s">
        <v>660</v>
      </c>
      <c r="J277" t="s">
        <v>686</v>
      </c>
      <c r="K277" t="s">
        <v>705</v>
      </c>
      <c r="L277" t="s">
        <v>711</v>
      </c>
      <c r="M277" t="s">
        <v>719</v>
      </c>
      <c r="N277" t="s">
        <v>729</v>
      </c>
      <c r="O277" t="str" cm="1">
        <f t="array" ref="O277">_xlfn.IFS(S277&lt;=_xlfn.PERCENTILE.INC(IF(N277:N907=N277, S277:S907), 0.33), "Low", S277&lt;=_xlfn.PERCENTILE.INC(IF(N277:N907=N277, S277:S907), 0.66), "Medium", S277 &gt; _xlfn.PERCENTILE.INC(IF(N277:N907=N277, S277:S907), 0.66), "High")</f>
        <v>High</v>
      </c>
      <c r="P277" t="s">
        <v>1010</v>
      </c>
      <c r="Q277" s="6">
        <v>1338.35</v>
      </c>
      <c r="R277" s="6">
        <v>2247.14</v>
      </c>
      <c r="S277" s="6">
        <v>2247.14</v>
      </c>
      <c r="T277" s="9">
        <v>0.115</v>
      </c>
      <c r="U277" s="9">
        <f>IF(T277&gt;0.3, $AO$4, T277)</f>
        <v>0.115</v>
      </c>
      <c r="V277" s="7" t="str">
        <f t="shared" si="60"/>
        <v>Less than 20%</v>
      </c>
      <c r="W277" s="11">
        <v>40</v>
      </c>
      <c r="X277" s="6">
        <f t="shared" si="57"/>
        <v>79548.755999999994</v>
      </c>
      <c r="Y277" s="6">
        <f t="shared" si="58"/>
        <v>53534</v>
      </c>
      <c r="Z277" s="6">
        <f t="shared" si="61"/>
        <v>26014.755999999994</v>
      </c>
      <c r="AA277" s="9">
        <f t="shared" si="62"/>
        <v>0.32702907384246205</v>
      </c>
      <c r="AB277" s="9">
        <f>IF(U277&gt;'What-If Analysis'!$F$16, 'What-If Analysis'!$F$16,T277)</f>
        <v>0.115</v>
      </c>
      <c r="AC277" s="42">
        <f>S277*(1-AB277)</f>
        <v>1988.7188999999998</v>
      </c>
      <c r="AD277" s="42">
        <f>Q277*(1+'What-If Analysis'!F292)</f>
        <v>1338.35</v>
      </c>
      <c r="AE277" s="41">
        <f>W277*(1+'What-If Analysis'!$F$18)</f>
        <v>46.8</v>
      </c>
      <c r="AF277" s="42">
        <f t="shared" si="63"/>
        <v>93072.044519999981</v>
      </c>
      <c r="AG277" s="42">
        <f t="shared" si="64"/>
        <v>62634.779999999992</v>
      </c>
      <c r="AH277" s="42">
        <f t="shared" si="65"/>
        <v>30437.26451999999</v>
      </c>
      <c r="AI277" s="44">
        <f t="shared" si="66"/>
        <v>0.32702907384246205</v>
      </c>
      <c r="AJ277" s="42">
        <f t="shared" si="67"/>
        <v>13523.288519999987</v>
      </c>
      <c r="AK277" s="42">
        <f t="shared" si="68"/>
        <v>26014.755999999994</v>
      </c>
      <c r="AL277" s="9">
        <f t="shared" si="69"/>
        <v>0</v>
      </c>
      <c r="AM277" s="42"/>
    </row>
    <row r="278" spans="1:39" x14ac:dyDescent="0.25">
      <c r="A278" t="s">
        <v>291</v>
      </c>
      <c r="B278" s="20">
        <v>45832</v>
      </c>
      <c r="C278" s="4">
        <v>45852</v>
      </c>
      <c r="D278" s="4" t="s">
        <v>1440</v>
      </c>
      <c r="E278" s="4">
        <v>45852</v>
      </c>
      <c r="F278" s="11">
        <f t="shared" si="56"/>
        <v>20</v>
      </c>
      <c r="G278" s="11" t="str">
        <f t="shared" si="59"/>
        <v>Does not Meet Target</v>
      </c>
      <c r="H278" t="s">
        <v>649</v>
      </c>
      <c r="I278" t="s">
        <v>656</v>
      </c>
      <c r="J278" t="s">
        <v>671</v>
      </c>
      <c r="K278" t="s">
        <v>701</v>
      </c>
      <c r="L278" t="s">
        <v>711</v>
      </c>
      <c r="M278" t="s">
        <v>719</v>
      </c>
      <c r="N278" t="s">
        <v>733</v>
      </c>
      <c r="O278" t="str" cm="1">
        <f t="array" ref="O278">_xlfn.IFS(S278&lt;=_xlfn.PERCENTILE.INC(IF(N278:N908=N278, S278:S908), 0.33), "Low", S278&lt;=_xlfn.PERCENTILE.INC(IF(N278:N908=N278, S278:S908), 0.66), "Medium", S278 &gt; _xlfn.PERCENTILE.INC(IF(N278:N908=N278, S278:S908), 0.66), "High")</f>
        <v>Medium</v>
      </c>
      <c r="P278" t="s">
        <v>1011</v>
      </c>
      <c r="Q278" s="6">
        <v>385.08</v>
      </c>
      <c r="R278" s="6">
        <v>893.19</v>
      </c>
      <c r="S278" s="6">
        <v>893.19</v>
      </c>
      <c r="T278" s="9">
        <v>0.151</v>
      </c>
      <c r="U278" s="9">
        <f>IF(T278&gt;0.3, $AO$4, T278)</f>
        <v>0.151</v>
      </c>
      <c r="V278" s="7" t="str">
        <f t="shared" si="60"/>
        <v>Less than 20%</v>
      </c>
      <c r="W278" s="11">
        <v>8</v>
      </c>
      <c r="X278" s="6">
        <f t="shared" si="57"/>
        <v>6066.54648</v>
      </c>
      <c r="Y278" s="6">
        <f t="shared" si="58"/>
        <v>3080.64</v>
      </c>
      <c r="Z278" s="6">
        <f t="shared" si="61"/>
        <v>2985.9064800000001</v>
      </c>
      <c r="AA278" s="9">
        <f t="shared" si="62"/>
        <v>0.49219213762621666</v>
      </c>
      <c r="AB278" s="9">
        <f>IF(U278&gt;'What-If Analysis'!$F$16, 'What-If Analysis'!$F$16,T278)</f>
        <v>0.151</v>
      </c>
      <c r="AC278" s="42">
        <f>S278*(1-AB278)</f>
        <v>758.31831</v>
      </c>
      <c r="AD278" s="42">
        <f>Q278*(1+'What-If Analysis'!F293)</f>
        <v>385.08</v>
      </c>
      <c r="AE278" s="41">
        <f>W278*(1+'What-If Analysis'!$F$18)</f>
        <v>9.36</v>
      </c>
      <c r="AF278" s="42">
        <f t="shared" si="63"/>
        <v>7097.8593815999993</v>
      </c>
      <c r="AG278" s="42">
        <f t="shared" si="64"/>
        <v>3604.3487999999998</v>
      </c>
      <c r="AH278" s="42">
        <f t="shared" si="65"/>
        <v>3493.5105815999996</v>
      </c>
      <c r="AI278" s="44">
        <f t="shared" si="66"/>
        <v>0.49219213762621661</v>
      </c>
      <c r="AJ278" s="42">
        <f t="shared" si="67"/>
        <v>1031.3129015999993</v>
      </c>
      <c r="AK278" s="42">
        <f t="shared" si="68"/>
        <v>2985.9064800000001</v>
      </c>
      <c r="AL278" s="9">
        <f t="shared" si="69"/>
        <v>0</v>
      </c>
      <c r="AM278" s="42"/>
    </row>
    <row r="279" spans="1:39" x14ac:dyDescent="0.25">
      <c r="A279" t="s">
        <v>292</v>
      </c>
      <c r="B279" s="20">
        <v>45459</v>
      </c>
      <c r="C279" s="4">
        <v>45476</v>
      </c>
      <c r="D279" s="4" t="s">
        <v>1439</v>
      </c>
      <c r="E279" s="4">
        <v>45476</v>
      </c>
      <c r="F279" s="11">
        <f t="shared" si="56"/>
        <v>17</v>
      </c>
      <c r="G279" s="11" t="str">
        <f t="shared" si="59"/>
        <v>Does not Meet Target</v>
      </c>
      <c r="H279" t="s">
        <v>646</v>
      </c>
      <c r="I279" t="s">
        <v>661</v>
      </c>
      <c r="J279" t="s">
        <v>682</v>
      </c>
      <c r="K279" t="s">
        <v>706</v>
      </c>
      <c r="L279" t="s">
        <v>709</v>
      </c>
      <c r="M279" t="s">
        <v>721</v>
      </c>
      <c r="N279" t="s">
        <v>730</v>
      </c>
      <c r="O279" t="str" cm="1">
        <f t="array" ref="O279">_xlfn.IFS(S279&lt;=_xlfn.PERCENTILE.INC(IF(N279:N909=N279, S279:S909), 0.33), "Low", S279&lt;=_xlfn.PERCENTILE.INC(IF(N279:N909=N279, S279:S909), 0.66), "Medium", S279 &gt; _xlfn.PERCENTILE.INC(IF(N279:N909=N279, S279:S909), 0.66), "High")</f>
        <v>High</v>
      </c>
      <c r="P279" t="s">
        <v>1012</v>
      </c>
      <c r="Q279" s="6">
        <v>1173.83</v>
      </c>
      <c r="R279" s="6">
        <v>2328.9</v>
      </c>
      <c r="S279" s="6">
        <v>2328.9</v>
      </c>
      <c r="T279" s="9">
        <v>0.12</v>
      </c>
      <c r="U279" s="9">
        <f>IF(T279&gt;0.3, $AO$4, T279)</f>
        <v>0.12</v>
      </c>
      <c r="V279" s="7" t="str">
        <f t="shared" si="60"/>
        <v>Less than 20%</v>
      </c>
      <c r="W279" s="11">
        <v>17</v>
      </c>
      <c r="X279" s="6">
        <f t="shared" si="57"/>
        <v>34840.344000000005</v>
      </c>
      <c r="Y279" s="6">
        <f t="shared" si="58"/>
        <v>19955.11</v>
      </c>
      <c r="Z279" s="6">
        <f t="shared" si="61"/>
        <v>14885.234000000004</v>
      </c>
      <c r="AA279" s="9">
        <f t="shared" si="62"/>
        <v>0.42724130393201637</v>
      </c>
      <c r="AB279" s="9">
        <f>IF(U279&gt;'What-If Analysis'!$F$16, 'What-If Analysis'!$F$16,T279)</f>
        <v>0.12</v>
      </c>
      <c r="AC279" s="42">
        <f>S279*(1-AB279)</f>
        <v>2049.4320000000002</v>
      </c>
      <c r="AD279" s="42">
        <f>Q279*(1+'What-If Analysis'!F294)</f>
        <v>1173.83</v>
      </c>
      <c r="AE279" s="41">
        <f>W279*(1+'What-If Analysis'!$F$18)</f>
        <v>19.89</v>
      </c>
      <c r="AF279" s="42">
        <f t="shared" si="63"/>
        <v>40763.202480000007</v>
      </c>
      <c r="AG279" s="42">
        <f t="shared" si="64"/>
        <v>23347.4787</v>
      </c>
      <c r="AH279" s="42">
        <f t="shared" si="65"/>
        <v>17415.723780000008</v>
      </c>
      <c r="AI279" s="44">
        <f t="shared" si="66"/>
        <v>0.42724130393201637</v>
      </c>
      <c r="AJ279" s="42">
        <f t="shared" si="67"/>
        <v>5922.8584800000026</v>
      </c>
      <c r="AK279" s="42">
        <f t="shared" si="68"/>
        <v>14885.234000000004</v>
      </c>
      <c r="AL279" s="9">
        <f t="shared" si="69"/>
        <v>0</v>
      </c>
      <c r="AM279" s="42"/>
    </row>
    <row r="280" spans="1:39" x14ac:dyDescent="0.25">
      <c r="A280" t="s">
        <v>293</v>
      </c>
      <c r="B280" s="20">
        <v>45229</v>
      </c>
      <c r="C280" s="4">
        <v>45244</v>
      </c>
      <c r="D280" s="4" t="s">
        <v>1438</v>
      </c>
      <c r="E280" s="4">
        <v>45244</v>
      </c>
      <c r="F280" s="11">
        <f t="shared" si="56"/>
        <v>15</v>
      </c>
      <c r="G280" s="11" t="str">
        <f t="shared" si="59"/>
        <v>Does not Meet Target</v>
      </c>
      <c r="H280" t="s">
        <v>647</v>
      </c>
      <c r="I280" t="s">
        <v>654</v>
      </c>
      <c r="J280" t="s">
        <v>668</v>
      </c>
      <c r="K280" t="s">
        <v>701</v>
      </c>
      <c r="L280" t="s">
        <v>708</v>
      </c>
      <c r="M280" t="s">
        <v>721</v>
      </c>
      <c r="N280" t="s">
        <v>731</v>
      </c>
      <c r="O280" t="str" cm="1">
        <f t="array" ref="O280">_xlfn.IFS(S280&lt;=_xlfn.PERCENTILE.INC(IF(N280:N910=N280, S280:S910), 0.33), "Low", S280&lt;=_xlfn.PERCENTILE.INC(IF(N280:N910=N280, S280:S910), 0.66), "Medium", S280 &gt; _xlfn.PERCENTILE.INC(IF(N280:N910=N280, S280:S910), 0.66), "High")</f>
        <v>Medium</v>
      </c>
      <c r="P280" t="s">
        <v>1013</v>
      </c>
      <c r="Q280" s="6">
        <v>953.46</v>
      </c>
      <c r="R280" s="6">
        <v>2066.75</v>
      </c>
      <c r="S280" s="6">
        <v>2066.75</v>
      </c>
      <c r="T280" s="9">
        <v>0.13800000000000001</v>
      </c>
      <c r="U280" s="9">
        <f>IF(T280&gt;0.3, $AO$4, T280)</f>
        <v>0.13800000000000001</v>
      </c>
      <c r="V280" s="7" t="str">
        <f t="shared" si="60"/>
        <v>Less than 20%</v>
      </c>
      <c r="W280" s="11">
        <v>5</v>
      </c>
      <c r="X280" s="6">
        <f t="shared" si="57"/>
        <v>8907.6924999999992</v>
      </c>
      <c r="Y280" s="6">
        <f t="shared" si="58"/>
        <v>4767.3</v>
      </c>
      <c r="Z280" s="6">
        <f t="shared" si="61"/>
        <v>4140.392499999999</v>
      </c>
      <c r="AA280" s="9">
        <f t="shared" si="62"/>
        <v>0.46481089238318446</v>
      </c>
      <c r="AB280" s="9">
        <f>IF(U280&gt;'What-If Analysis'!$F$16, 'What-If Analysis'!$F$16,T280)</f>
        <v>0.13800000000000001</v>
      </c>
      <c r="AC280" s="42">
        <f>S280*(1-AB280)</f>
        <v>1781.5384999999999</v>
      </c>
      <c r="AD280" s="42">
        <f>Q280*(1+'What-If Analysis'!F295)</f>
        <v>953.46</v>
      </c>
      <c r="AE280" s="41">
        <f>W280*(1+'What-If Analysis'!$F$18)</f>
        <v>5.85</v>
      </c>
      <c r="AF280" s="42">
        <f t="shared" si="63"/>
        <v>10422.000224999998</v>
      </c>
      <c r="AG280" s="42">
        <f t="shared" si="64"/>
        <v>5577.741</v>
      </c>
      <c r="AH280" s="42">
        <f t="shared" si="65"/>
        <v>4844.259224999998</v>
      </c>
      <c r="AI280" s="44">
        <f t="shared" si="66"/>
        <v>0.4648108923831844</v>
      </c>
      <c r="AJ280" s="42">
        <f t="shared" si="67"/>
        <v>1514.3077249999988</v>
      </c>
      <c r="AK280" s="42">
        <f t="shared" si="68"/>
        <v>4140.392499999999</v>
      </c>
      <c r="AL280" s="9">
        <f t="shared" si="69"/>
        <v>0</v>
      </c>
      <c r="AM280" s="42"/>
    </row>
    <row r="281" spans="1:39" x14ac:dyDescent="0.25">
      <c r="A281" t="s">
        <v>294</v>
      </c>
      <c r="B281" s="20">
        <v>45092</v>
      </c>
      <c r="C281" s="4">
        <v>45100</v>
      </c>
      <c r="D281" s="4" t="s">
        <v>1442</v>
      </c>
      <c r="E281" s="4">
        <v>45100</v>
      </c>
      <c r="F281" s="11">
        <f t="shared" si="56"/>
        <v>8</v>
      </c>
      <c r="G281" s="11" t="str">
        <f t="shared" si="59"/>
        <v>Does not Meet Target</v>
      </c>
      <c r="H281" t="s">
        <v>648</v>
      </c>
      <c r="I281" t="s">
        <v>660</v>
      </c>
      <c r="J281" t="s">
        <v>686</v>
      </c>
      <c r="K281" t="s">
        <v>704</v>
      </c>
      <c r="L281" t="s">
        <v>710</v>
      </c>
      <c r="M281" t="s">
        <v>719</v>
      </c>
      <c r="N281" t="s">
        <v>732</v>
      </c>
      <c r="O281" t="str" cm="1">
        <f t="array" ref="O281">_xlfn.IFS(S281&lt;=_xlfn.PERCENTILE.INC(IF(N281:N911=N281, S281:S911), 0.33), "Low", S281&lt;=_xlfn.PERCENTILE.INC(IF(N281:N911=N281, S281:S911), 0.66), "Medium", S281 &gt; _xlfn.PERCENTILE.INC(IF(N281:N911=N281, S281:S911), 0.66), "High")</f>
        <v>High</v>
      </c>
      <c r="P281" t="s">
        <v>1014</v>
      </c>
      <c r="Q281" s="6">
        <v>1097.0899999999999</v>
      </c>
      <c r="R281" s="6">
        <v>2182.31</v>
      </c>
      <c r="S281" s="6">
        <v>2182.31</v>
      </c>
      <c r="T281" s="9">
        <v>0.112</v>
      </c>
      <c r="U281" s="9">
        <f>IF(T281&gt;0.3, $AO$4, T281)</f>
        <v>0.112</v>
      </c>
      <c r="V281" s="7" t="str">
        <f t="shared" si="60"/>
        <v>Less than 20%</v>
      </c>
      <c r="W281" s="11">
        <v>9</v>
      </c>
      <c r="X281" s="6">
        <f t="shared" si="57"/>
        <v>17441.021520000002</v>
      </c>
      <c r="Y281" s="6">
        <f t="shared" si="58"/>
        <v>9873.81</v>
      </c>
      <c r="Z281" s="6">
        <f t="shared" si="61"/>
        <v>7567.2115200000026</v>
      </c>
      <c r="AA281" s="9">
        <f t="shared" si="62"/>
        <v>0.43387432962699546</v>
      </c>
      <c r="AB281" s="9">
        <f>IF(U281&gt;'What-If Analysis'!$F$16, 'What-If Analysis'!$F$16,T281)</f>
        <v>0.112</v>
      </c>
      <c r="AC281" s="42">
        <f>S281*(1-AB281)</f>
        <v>1937.8912800000001</v>
      </c>
      <c r="AD281" s="42">
        <f>Q281*(1+'What-If Analysis'!F296)</f>
        <v>1097.0899999999999</v>
      </c>
      <c r="AE281" s="41">
        <f>W281*(1+'What-If Analysis'!$F$18)</f>
        <v>10.53</v>
      </c>
      <c r="AF281" s="42">
        <f t="shared" si="63"/>
        <v>20405.9951784</v>
      </c>
      <c r="AG281" s="42">
        <f t="shared" si="64"/>
        <v>11552.357699999999</v>
      </c>
      <c r="AH281" s="42">
        <f t="shared" si="65"/>
        <v>8853.6374784000018</v>
      </c>
      <c r="AI281" s="44">
        <f t="shared" si="66"/>
        <v>0.43387432962699546</v>
      </c>
      <c r="AJ281" s="42">
        <f t="shared" si="67"/>
        <v>2964.9736583999984</v>
      </c>
      <c r="AK281" s="42">
        <f t="shared" si="68"/>
        <v>7567.2115200000026</v>
      </c>
      <c r="AL281" s="9">
        <f t="shared" si="69"/>
        <v>0</v>
      </c>
      <c r="AM281" s="42"/>
    </row>
    <row r="282" spans="1:39" x14ac:dyDescent="0.25">
      <c r="A282" t="s">
        <v>295</v>
      </c>
      <c r="B282" s="20">
        <v>45730</v>
      </c>
      <c r="C282" s="4">
        <v>45745</v>
      </c>
      <c r="D282" s="4" t="s">
        <v>1437</v>
      </c>
      <c r="E282" s="4">
        <v>45745</v>
      </c>
      <c r="F282" s="11">
        <f t="shared" si="56"/>
        <v>15</v>
      </c>
      <c r="G282" s="11" t="str">
        <f t="shared" si="59"/>
        <v>Does not Meet Target</v>
      </c>
      <c r="H282" t="s">
        <v>647</v>
      </c>
      <c r="I282" t="s">
        <v>652</v>
      </c>
      <c r="J282" t="s">
        <v>689</v>
      </c>
      <c r="K282" t="s">
        <v>703</v>
      </c>
      <c r="L282" t="s">
        <v>711</v>
      </c>
      <c r="M282" t="s">
        <v>722</v>
      </c>
      <c r="N282" t="s">
        <v>729</v>
      </c>
      <c r="O282" t="str" cm="1">
        <f t="array" ref="O282">_xlfn.IFS(S282&lt;=_xlfn.PERCENTILE.INC(IF(N282:N912=N282, S282:S912), 0.33), "Low", S282&lt;=_xlfn.PERCENTILE.INC(IF(N282:N912=N282, S282:S912), 0.66), "Medium", S282 &gt; _xlfn.PERCENTILE.INC(IF(N282:N912=N282, S282:S912), 0.66), "High")</f>
        <v>High</v>
      </c>
      <c r="P282" t="s">
        <v>1015</v>
      </c>
      <c r="Q282" s="6">
        <v>1106.96</v>
      </c>
      <c r="R282" s="6">
        <v>2726.62</v>
      </c>
      <c r="S282" s="6">
        <v>2726.62</v>
      </c>
      <c r="T282" s="9">
        <v>0.317</v>
      </c>
      <c r="U282" s="9">
        <f>IF(T282&gt;0.3, $AO$4, T282)</f>
        <v>0.12</v>
      </c>
      <c r="V282" s="7" t="str">
        <f t="shared" si="60"/>
        <v>Less than 20%</v>
      </c>
      <c r="W282" s="11">
        <v>7</v>
      </c>
      <c r="X282" s="6">
        <f t="shared" si="57"/>
        <v>16795.979200000002</v>
      </c>
      <c r="Y282" s="6">
        <f t="shared" si="58"/>
        <v>7748.72</v>
      </c>
      <c r="Z282" s="6">
        <f t="shared" si="61"/>
        <v>9047.2592000000004</v>
      </c>
      <c r="AA282" s="9">
        <f t="shared" si="62"/>
        <v>0.53865625172958054</v>
      </c>
      <c r="AB282" s="9">
        <f>IF(U282&gt;'What-If Analysis'!$F$16, 'What-If Analysis'!$F$16,T282)</f>
        <v>0.317</v>
      </c>
      <c r="AC282" s="42">
        <f>S282*(1-AB282)</f>
        <v>1862.2814600000002</v>
      </c>
      <c r="AD282" s="42">
        <f>Q282*(1+'What-If Analysis'!F297)</f>
        <v>1106.96</v>
      </c>
      <c r="AE282" s="41">
        <f>W282*(1+'What-If Analysis'!$F$18)</f>
        <v>8.19</v>
      </c>
      <c r="AF282" s="42">
        <f t="shared" si="63"/>
        <v>15252.085157400001</v>
      </c>
      <c r="AG282" s="42">
        <f t="shared" si="64"/>
        <v>9066.0023999999994</v>
      </c>
      <c r="AH282" s="42">
        <f t="shared" si="65"/>
        <v>6186.0827574000014</v>
      </c>
      <c r="AI282" s="44">
        <f t="shared" si="66"/>
        <v>0.40558931408789312</v>
      </c>
      <c r="AJ282" s="42">
        <f t="shared" si="67"/>
        <v>-1543.8940426000008</v>
      </c>
      <c r="AK282" s="42">
        <f t="shared" si="68"/>
        <v>9047.2592000000004</v>
      </c>
      <c r="AL282" s="9">
        <f t="shared" si="69"/>
        <v>-0.13306693764168742</v>
      </c>
      <c r="AM282" s="42"/>
    </row>
    <row r="283" spans="1:39" x14ac:dyDescent="0.25">
      <c r="A283" t="s">
        <v>296</v>
      </c>
      <c r="B283" s="20">
        <v>45153</v>
      </c>
      <c r="C283" s="4">
        <v>45163</v>
      </c>
      <c r="D283" s="4" t="s">
        <v>1444</v>
      </c>
      <c r="E283" s="4">
        <v>45163</v>
      </c>
      <c r="F283" s="11">
        <f t="shared" si="56"/>
        <v>10</v>
      </c>
      <c r="G283" s="11" t="str">
        <f t="shared" si="59"/>
        <v>Does not Meet Target</v>
      </c>
      <c r="H283" t="s">
        <v>646</v>
      </c>
      <c r="I283" t="s">
        <v>650</v>
      </c>
      <c r="J283" t="s">
        <v>664</v>
      </c>
      <c r="K283" t="s">
        <v>705</v>
      </c>
      <c r="L283" t="s">
        <v>707</v>
      </c>
      <c r="M283" t="s">
        <v>725</v>
      </c>
      <c r="N283" t="s">
        <v>730</v>
      </c>
      <c r="O283" t="str" cm="1">
        <f t="array" ref="O283">_xlfn.IFS(S283&lt;=_xlfn.PERCENTILE.INC(IF(N283:N913=N283, S283:S913), 0.33), "Low", S283&lt;=_xlfn.PERCENTILE.INC(IF(N283:N913=N283, S283:S913), 0.66), "Medium", S283 &gt; _xlfn.PERCENTILE.INC(IF(N283:N913=N283, S283:S913), 0.66), "High")</f>
        <v>Low</v>
      </c>
      <c r="P283" t="s">
        <v>1016</v>
      </c>
      <c r="Q283" s="6">
        <v>91.85</v>
      </c>
      <c r="R283" s="6">
        <v>111.29</v>
      </c>
      <c r="S283" s="6">
        <v>111.29</v>
      </c>
      <c r="T283" s="9">
        <v>0</v>
      </c>
      <c r="U283" s="9">
        <f>IF(T283&gt;0.3, $AO$4, T283)</f>
        <v>0</v>
      </c>
      <c r="V283" s="7" t="str">
        <f t="shared" si="60"/>
        <v>Less than 20%</v>
      </c>
      <c r="W283" s="11">
        <v>6</v>
      </c>
      <c r="X283" s="6">
        <f t="shared" si="57"/>
        <v>667.74</v>
      </c>
      <c r="Y283" s="6">
        <f t="shared" si="58"/>
        <v>551.09999999999991</v>
      </c>
      <c r="Z283" s="6">
        <f t="shared" si="61"/>
        <v>116.6400000000001</v>
      </c>
      <c r="AA283" s="9">
        <f t="shared" si="62"/>
        <v>0.17467876718483258</v>
      </c>
      <c r="AB283" s="9">
        <f>IF(U283&gt;'What-If Analysis'!$F$16, 'What-If Analysis'!$F$16,T283)</f>
        <v>0</v>
      </c>
      <c r="AC283" s="42">
        <f>S283*(1-AB283)</f>
        <v>111.29</v>
      </c>
      <c r="AD283" s="42">
        <f>Q283*(1+'What-If Analysis'!F298)</f>
        <v>91.85</v>
      </c>
      <c r="AE283" s="41">
        <f>W283*(1+'What-If Analysis'!$F$18)</f>
        <v>7.02</v>
      </c>
      <c r="AF283" s="42">
        <f t="shared" si="63"/>
        <v>781.25580000000002</v>
      </c>
      <c r="AG283" s="42">
        <f t="shared" si="64"/>
        <v>644.78699999999992</v>
      </c>
      <c r="AH283" s="42">
        <f t="shared" si="65"/>
        <v>136.4688000000001</v>
      </c>
      <c r="AI283" s="44">
        <f t="shared" si="66"/>
        <v>0.17467876718483255</v>
      </c>
      <c r="AJ283" s="42">
        <f t="shared" si="67"/>
        <v>113.51580000000001</v>
      </c>
      <c r="AK283" s="42">
        <f t="shared" si="68"/>
        <v>116.6400000000001</v>
      </c>
      <c r="AL283" s="9">
        <f t="shared" si="69"/>
        <v>0</v>
      </c>
      <c r="AM283" s="42"/>
    </row>
    <row r="284" spans="1:39" x14ac:dyDescent="0.25">
      <c r="A284" t="s">
        <v>297</v>
      </c>
      <c r="B284" s="20">
        <v>45794</v>
      </c>
      <c r="C284" s="4">
        <v>45805</v>
      </c>
      <c r="D284" s="4" t="s">
        <v>1440</v>
      </c>
      <c r="E284" s="4">
        <v>45805</v>
      </c>
      <c r="F284" s="11">
        <f t="shared" si="56"/>
        <v>11</v>
      </c>
      <c r="G284" s="11" t="str">
        <f t="shared" si="59"/>
        <v>Does not Meet Target</v>
      </c>
      <c r="H284" t="s">
        <v>647</v>
      </c>
      <c r="I284" t="s">
        <v>654</v>
      </c>
      <c r="J284" t="s">
        <v>668</v>
      </c>
      <c r="K284" t="s">
        <v>701</v>
      </c>
      <c r="L284" t="s">
        <v>710</v>
      </c>
      <c r="M284" t="s">
        <v>717</v>
      </c>
      <c r="N284" t="s">
        <v>731</v>
      </c>
      <c r="O284" t="str" cm="1">
        <f t="array" ref="O284">_xlfn.IFS(S284&lt;=_xlfn.PERCENTILE.INC(IF(N284:N914=N284, S284:S914), 0.33), "Low", S284&lt;=_xlfn.PERCENTILE.INC(IF(N284:N914=N284, S284:S914), 0.66), "Medium", S284 &gt; _xlfn.PERCENTILE.INC(IF(N284:N914=N284, S284:S914), 0.66), "High")</f>
        <v>Low</v>
      </c>
      <c r="P284" t="s">
        <v>1017</v>
      </c>
      <c r="Q284" s="6">
        <v>623.4</v>
      </c>
      <c r="R284" s="6">
        <v>1100.0899999999999</v>
      </c>
      <c r="S284" s="6">
        <v>1100.0899999999999</v>
      </c>
      <c r="T284" s="9">
        <v>0.114</v>
      </c>
      <c r="U284" s="9">
        <f>IF(T284&gt;0.3, $AO$4, T284)</f>
        <v>0.114</v>
      </c>
      <c r="V284" s="7" t="str">
        <f t="shared" si="60"/>
        <v>Less than 20%</v>
      </c>
      <c r="W284" s="11">
        <v>12</v>
      </c>
      <c r="X284" s="6">
        <f t="shared" si="57"/>
        <v>11696.156879999999</v>
      </c>
      <c r="Y284" s="6">
        <f t="shared" si="58"/>
        <v>7480.7999999999993</v>
      </c>
      <c r="Z284" s="6">
        <f t="shared" si="61"/>
        <v>4215.3568799999994</v>
      </c>
      <c r="AA284" s="9">
        <f t="shared" si="62"/>
        <v>0.36040529579490388</v>
      </c>
      <c r="AB284" s="9">
        <f>IF(U284&gt;'What-If Analysis'!$F$16, 'What-If Analysis'!$F$16,T284)</f>
        <v>0.114</v>
      </c>
      <c r="AC284" s="42">
        <f>S284*(1-AB284)</f>
        <v>974.67973999999992</v>
      </c>
      <c r="AD284" s="42">
        <f>Q284*(1+'What-If Analysis'!F299)</f>
        <v>623.4</v>
      </c>
      <c r="AE284" s="41">
        <f>W284*(1+'What-If Analysis'!$F$18)</f>
        <v>14.04</v>
      </c>
      <c r="AF284" s="42">
        <f t="shared" si="63"/>
        <v>13684.503549599998</v>
      </c>
      <c r="AG284" s="42">
        <f t="shared" si="64"/>
        <v>8752.5360000000001</v>
      </c>
      <c r="AH284" s="42">
        <f t="shared" si="65"/>
        <v>4931.9675495999982</v>
      </c>
      <c r="AI284" s="44">
        <f t="shared" si="66"/>
        <v>0.36040529579490377</v>
      </c>
      <c r="AJ284" s="42">
        <f t="shared" si="67"/>
        <v>1988.3466695999996</v>
      </c>
      <c r="AK284" s="42">
        <f t="shared" si="68"/>
        <v>4215.3568799999994</v>
      </c>
      <c r="AL284" s="9">
        <f t="shared" si="69"/>
        <v>0</v>
      </c>
      <c r="AM284" s="42"/>
    </row>
    <row r="285" spans="1:39" x14ac:dyDescent="0.25">
      <c r="A285" t="s">
        <v>298</v>
      </c>
      <c r="B285" s="20">
        <v>45304</v>
      </c>
      <c r="C285" s="4">
        <v>45327</v>
      </c>
      <c r="D285" s="4" t="s">
        <v>1434</v>
      </c>
      <c r="E285" s="4">
        <v>45327</v>
      </c>
      <c r="F285" s="11">
        <f t="shared" si="56"/>
        <v>23</v>
      </c>
      <c r="G285" s="11" t="str">
        <f t="shared" si="59"/>
        <v>Does not Meet Target</v>
      </c>
      <c r="H285" t="s">
        <v>649</v>
      </c>
      <c r="I285" t="s">
        <v>656</v>
      </c>
      <c r="J285" t="s">
        <v>698</v>
      </c>
      <c r="K285" t="s">
        <v>702</v>
      </c>
      <c r="L285" t="s">
        <v>711</v>
      </c>
      <c r="M285" t="s">
        <v>717</v>
      </c>
      <c r="N285" t="s">
        <v>731</v>
      </c>
      <c r="O285" t="str" cm="1">
        <f t="array" ref="O285">_xlfn.IFS(S285&lt;=_xlfn.PERCENTILE.INC(IF(N285:N915=N285, S285:S915), 0.33), "Low", S285&lt;=_xlfn.PERCENTILE.INC(IF(N285:N915=N285, S285:S915), 0.66), "Medium", S285 &gt; _xlfn.PERCENTILE.INC(IF(N285:N915=N285, S285:S915), 0.66), "High")</f>
        <v>Medium</v>
      </c>
      <c r="P285" t="s">
        <v>1018</v>
      </c>
      <c r="Q285" s="6">
        <v>1017.93</v>
      </c>
      <c r="R285" s="6">
        <v>1529.14</v>
      </c>
      <c r="S285" s="6">
        <v>1529.14</v>
      </c>
      <c r="T285" s="9">
        <v>0.155</v>
      </c>
      <c r="U285" s="9">
        <f>IF(T285&gt;0.3, $AO$4, T285)</f>
        <v>0.155</v>
      </c>
      <c r="V285" s="7" t="str">
        <f t="shared" si="60"/>
        <v>Less than 20%</v>
      </c>
      <c r="W285" s="11">
        <v>12</v>
      </c>
      <c r="X285" s="6">
        <f t="shared" si="57"/>
        <v>15505.479600000001</v>
      </c>
      <c r="Y285" s="6">
        <f t="shared" si="58"/>
        <v>12215.16</v>
      </c>
      <c r="Z285" s="6">
        <f t="shared" si="61"/>
        <v>3290.3196000000007</v>
      </c>
      <c r="AA285" s="9">
        <f t="shared" si="62"/>
        <v>0.21220366508366503</v>
      </c>
      <c r="AB285" s="9">
        <f>IF(U285&gt;'What-If Analysis'!$F$16, 'What-If Analysis'!$F$16,T285)</f>
        <v>0.155</v>
      </c>
      <c r="AC285" s="42">
        <f>S285*(1-AB285)</f>
        <v>1292.1233</v>
      </c>
      <c r="AD285" s="42">
        <f>Q285*(1+'What-If Analysis'!F300)</f>
        <v>1017.93</v>
      </c>
      <c r="AE285" s="41">
        <f>W285*(1+'What-If Analysis'!$F$18)</f>
        <v>14.04</v>
      </c>
      <c r="AF285" s="42">
        <f t="shared" si="63"/>
        <v>18141.411131999997</v>
      </c>
      <c r="AG285" s="42">
        <f t="shared" si="64"/>
        <v>14291.737199999998</v>
      </c>
      <c r="AH285" s="42">
        <f t="shared" si="65"/>
        <v>3849.6739319999997</v>
      </c>
      <c r="AI285" s="44">
        <f t="shared" si="66"/>
        <v>0.21220366508366501</v>
      </c>
      <c r="AJ285" s="42">
        <f t="shared" si="67"/>
        <v>2635.9315319999969</v>
      </c>
      <c r="AK285" s="42">
        <f t="shared" si="68"/>
        <v>3290.3196000000007</v>
      </c>
      <c r="AL285" s="9">
        <f t="shared" si="69"/>
        <v>0</v>
      </c>
      <c r="AM285" s="42"/>
    </row>
    <row r="286" spans="1:39" x14ac:dyDescent="0.25">
      <c r="A286" t="s">
        <v>299</v>
      </c>
      <c r="B286" s="20">
        <v>45101</v>
      </c>
      <c r="C286" s="4">
        <v>45128</v>
      </c>
      <c r="D286" s="4" t="s">
        <v>1442</v>
      </c>
      <c r="E286" s="4">
        <v>45128</v>
      </c>
      <c r="F286" s="11">
        <f t="shared" si="56"/>
        <v>27</v>
      </c>
      <c r="G286" s="11" t="str">
        <f t="shared" si="59"/>
        <v>Does not Meet Target</v>
      </c>
      <c r="H286" t="s">
        <v>647</v>
      </c>
      <c r="I286" t="s">
        <v>652</v>
      </c>
      <c r="J286" t="s">
        <v>694</v>
      </c>
      <c r="K286" t="s">
        <v>704</v>
      </c>
      <c r="L286" t="s">
        <v>709</v>
      </c>
      <c r="M286" t="s">
        <v>713</v>
      </c>
      <c r="N286" t="s">
        <v>730</v>
      </c>
      <c r="O286" t="str" cm="1">
        <f t="array" ref="O286">_xlfn.IFS(S286&lt;=_xlfn.PERCENTILE.INC(IF(N286:N916=N286, S286:S916), 0.33), "Low", S286&lt;=_xlfn.PERCENTILE.INC(IF(N286:N916=N286, S286:S916), 0.66), "Medium", S286 &gt; _xlfn.PERCENTILE.INC(IF(N286:N916=N286, S286:S916), 0.66), "High")</f>
        <v>Low</v>
      </c>
      <c r="P286" t="s">
        <v>1019</v>
      </c>
      <c r="Q286" s="6">
        <v>554.76</v>
      </c>
      <c r="R286" s="6">
        <v>728.69</v>
      </c>
      <c r="S286" s="6">
        <v>728.69</v>
      </c>
      <c r="T286" s="9">
        <v>0.22</v>
      </c>
      <c r="U286" s="9">
        <f>IF(T286&gt;0.3, $AO$4, T286)</f>
        <v>0.22</v>
      </c>
      <c r="V286" s="7" t="str">
        <f t="shared" si="60"/>
        <v>Greater than 20%</v>
      </c>
      <c r="W286" s="11">
        <v>7</v>
      </c>
      <c r="X286" s="6">
        <f t="shared" si="57"/>
        <v>3978.6474000000003</v>
      </c>
      <c r="Y286" s="6">
        <f t="shared" si="58"/>
        <v>3883.3199999999997</v>
      </c>
      <c r="Z286" s="6">
        <f t="shared" si="61"/>
        <v>95.32740000000058</v>
      </c>
      <c r="AA286" s="9">
        <f t="shared" si="62"/>
        <v>2.395975074343119E-2</v>
      </c>
      <c r="AB286" s="9">
        <f>IF(U286&gt;'What-If Analysis'!$F$16, 'What-If Analysis'!$F$16,T286)</f>
        <v>0.17</v>
      </c>
      <c r="AC286" s="42">
        <f>S286*(1-AB286)</f>
        <v>604.81270000000006</v>
      </c>
      <c r="AD286" s="42">
        <f>Q286*(1+'What-If Analysis'!F301)</f>
        <v>554.76</v>
      </c>
      <c r="AE286" s="41">
        <f>W286*(1+'What-If Analysis'!$F$18)</f>
        <v>8.19</v>
      </c>
      <c r="AF286" s="42">
        <f t="shared" si="63"/>
        <v>4953.416013</v>
      </c>
      <c r="AG286" s="42">
        <f t="shared" si="64"/>
        <v>4543.4843999999994</v>
      </c>
      <c r="AH286" s="42">
        <f t="shared" si="65"/>
        <v>409.93161300000065</v>
      </c>
      <c r="AI286" s="44">
        <f t="shared" si="66"/>
        <v>8.2757356120332928E-2</v>
      </c>
      <c r="AJ286" s="42">
        <f t="shared" si="67"/>
        <v>974.76861299999973</v>
      </c>
      <c r="AK286" s="42">
        <f t="shared" si="68"/>
        <v>95.32740000000058</v>
      </c>
      <c r="AL286" s="9">
        <f t="shared" si="69"/>
        <v>5.8797605376901735E-2</v>
      </c>
      <c r="AM286" s="42"/>
    </row>
    <row r="287" spans="1:39" x14ac:dyDescent="0.25">
      <c r="A287" t="s">
        <v>300</v>
      </c>
      <c r="B287" s="20">
        <v>45751</v>
      </c>
      <c r="C287" s="4">
        <v>45760</v>
      </c>
      <c r="D287" s="4" t="s">
        <v>1440</v>
      </c>
      <c r="E287" s="4">
        <v>45760</v>
      </c>
      <c r="F287" s="11">
        <f t="shared" si="56"/>
        <v>9</v>
      </c>
      <c r="G287" s="11" t="str">
        <f t="shared" si="59"/>
        <v>Does not Meet Target</v>
      </c>
      <c r="H287" t="s">
        <v>649</v>
      </c>
      <c r="I287" t="s">
        <v>656</v>
      </c>
      <c r="J287" t="s">
        <v>684</v>
      </c>
      <c r="K287" t="s">
        <v>704</v>
      </c>
      <c r="L287" t="s">
        <v>709</v>
      </c>
      <c r="M287" t="s">
        <v>721</v>
      </c>
      <c r="N287" t="s">
        <v>730</v>
      </c>
      <c r="O287" t="str" cm="1">
        <f t="array" ref="O287">_xlfn.IFS(S287&lt;=_xlfn.PERCENTILE.INC(IF(N287:N917=N287, S287:S917), 0.33), "Low", S287&lt;=_xlfn.PERCENTILE.INC(IF(N287:N917=N287, S287:S917), 0.66), "Medium", S287 &gt; _xlfn.PERCENTILE.INC(IF(N287:N917=N287, S287:S917), 0.66), "High")</f>
        <v>Low</v>
      </c>
      <c r="P287" t="s">
        <v>1020</v>
      </c>
      <c r="Q287" s="6">
        <v>7.02</v>
      </c>
      <c r="R287" s="6">
        <v>6.28</v>
      </c>
      <c r="S287" s="6">
        <v>6.28</v>
      </c>
      <c r="T287" s="9">
        <v>0.13400000000000001</v>
      </c>
      <c r="U287" s="9">
        <f>IF(T287&gt;0.3, $AO$4, T287)</f>
        <v>0.13400000000000001</v>
      </c>
      <c r="V287" s="7" t="str">
        <f t="shared" si="60"/>
        <v>Less than 20%</v>
      </c>
      <c r="W287" s="11">
        <v>14</v>
      </c>
      <c r="X287" s="6">
        <f t="shared" si="57"/>
        <v>76.138720000000006</v>
      </c>
      <c r="Y287" s="6">
        <f t="shared" si="58"/>
        <v>98.28</v>
      </c>
      <c r="Z287" s="6">
        <f t="shared" si="61"/>
        <v>-22.141279999999995</v>
      </c>
      <c r="AA287" s="9">
        <f t="shared" si="62"/>
        <v>-0.29080184169106066</v>
      </c>
      <c r="AB287" s="9">
        <f>IF(U287&gt;'What-If Analysis'!$F$16, 'What-If Analysis'!$F$16,T287)</f>
        <v>0.13400000000000001</v>
      </c>
      <c r="AC287" s="42">
        <f>S287*(1-AB287)</f>
        <v>5.4384800000000002</v>
      </c>
      <c r="AD287" s="42">
        <f>Q287*(1+'What-If Analysis'!F302)</f>
        <v>7.02</v>
      </c>
      <c r="AE287" s="41">
        <f>W287*(1+'What-If Analysis'!$F$18)</f>
        <v>16.38</v>
      </c>
      <c r="AF287" s="42">
        <f t="shared" si="63"/>
        <v>89.082302400000003</v>
      </c>
      <c r="AG287" s="42">
        <f t="shared" si="64"/>
        <v>114.98759999999999</v>
      </c>
      <c r="AH287" s="42">
        <f t="shared" si="65"/>
        <v>-25.905297599999983</v>
      </c>
      <c r="AI287" s="44">
        <f t="shared" si="66"/>
        <v>-0.29080184169106055</v>
      </c>
      <c r="AJ287" s="42">
        <f t="shared" si="67"/>
        <v>12.943582399999997</v>
      </c>
      <c r="AK287" s="42">
        <f t="shared" si="68"/>
        <v>-22.141279999999995</v>
      </c>
      <c r="AL287" s="9">
        <f t="shared" si="69"/>
        <v>0</v>
      </c>
      <c r="AM287" s="42"/>
    </row>
    <row r="288" spans="1:39" x14ac:dyDescent="0.25">
      <c r="A288" t="s">
        <v>301</v>
      </c>
      <c r="B288" s="20">
        <v>45542</v>
      </c>
      <c r="C288" s="4">
        <v>45542</v>
      </c>
      <c r="D288" s="4" t="s">
        <v>1443</v>
      </c>
      <c r="E288" s="4">
        <v>45542</v>
      </c>
      <c r="F288" s="11">
        <f t="shared" si="56"/>
        <v>0</v>
      </c>
      <c r="G288" s="11" t="str">
        <f t="shared" si="59"/>
        <v>Meets Target</v>
      </c>
      <c r="H288" t="s">
        <v>647</v>
      </c>
      <c r="I288" t="s">
        <v>654</v>
      </c>
      <c r="J288" t="s">
        <v>691</v>
      </c>
      <c r="K288" t="s">
        <v>702</v>
      </c>
      <c r="L288" t="s">
        <v>710</v>
      </c>
      <c r="M288" t="s">
        <v>717</v>
      </c>
      <c r="N288" t="s">
        <v>729</v>
      </c>
      <c r="O288" t="str" cm="1">
        <f t="array" ref="O288">_xlfn.IFS(S288&lt;=_xlfn.PERCENTILE.INC(IF(N288:N918=N288, S288:S918), 0.33), "Low", S288&lt;=_xlfn.PERCENTILE.INC(IF(N288:N918=N288, S288:S918), 0.66), "Medium", S288 &gt; _xlfn.PERCENTILE.INC(IF(N288:N918=N288, S288:S918), 0.66), "High")</f>
        <v>High</v>
      </c>
      <c r="P288" t="s">
        <v>1021</v>
      </c>
      <c r="Q288" s="6">
        <v>1066.6500000000001</v>
      </c>
      <c r="R288" s="6">
        <v>2569.77</v>
      </c>
      <c r="S288" s="6">
        <v>2569.77</v>
      </c>
      <c r="T288" s="9">
        <v>0.13400000000000001</v>
      </c>
      <c r="U288" s="9">
        <f>IF(T288&gt;0.3, $AO$4, T288)</f>
        <v>0.13400000000000001</v>
      </c>
      <c r="V288" s="7" t="str">
        <f t="shared" si="60"/>
        <v>Less than 20%</v>
      </c>
      <c r="W288" s="11">
        <v>9</v>
      </c>
      <c r="X288" s="6">
        <f t="shared" si="57"/>
        <v>20028.787380000002</v>
      </c>
      <c r="Y288" s="6">
        <f t="shared" si="58"/>
        <v>9599.85</v>
      </c>
      <c r="Z288" s="6">
        <f t="shared" si="61"/>
        <v>10428.937380000001</v>
      </c>
      <c r="AA288" s="9">
        <f t="shared" si="62"/>
        <v>0.52069739331368348</v>
      </c>
      <c r="AB288" s="9">
        <f>IF(U288&gt;'What-If Analysis'!$F$16, 'What-If Analysis'!$F$16,T288)</f>
        <v>0.13400000000000001</v>
      </c>
      <c r="AC288" s="42">
        <f>S288*(1-AB288)</f>
        <v>2225.4208199999998</v>
      </c>
      <c r="AD288" s="42">
        <f>Q288*(1+'What-If Analysis'!F303)</f>
        <v>1066.6500000000001</v>
      </c>
      <c r="AE288" s="41">
        <f>W288*(1+'What-If Analysis'!$F$18)</f>
        <v>10.53</v>
      </c>
      <c r="AF288" s="42">
        <f t="shared" si="63"/>
        <v>23433.681234599997</v>
      </c>
      <c r="AG288" s="42">
        <f t="shared" si="64"/>
        <v>11231.824500000001</v>
      </c>
      <c r="AH288" s="42">
        <f t="shared" si="65"/>
        <v>12201.856734599996</v>
      </c>
      <c r="AI288" s="44">
        <f t="shared" si="66"/>
        <v>0.52069739331368337</v>
      </c>
      <c r="AJ288" s="42">
        <f t="shared" si="67"/>
        <v>3404.8938545999954</v>
      </c>
      <c r="AK288" s="42">
        <f t="shared" si="68"/>
        <v>10428.937380000001</v>
      </c>
      <c r="AL288" s="9">
        <f t="shared" si="69"/>
        <v>0</v>
      </c>
      <c r="AM288" s="42"/>
    </row>
    <row r="289" spans="1:39" x14ac:dyDescent="0.25">
      <c r="A289" t="s">
        <v>302</v>
      </c>
      <c r="B289" s="20">
        <v>45319</v>
      </c>
      <c r="C289" s="4">
        <v>45321</v>
      </c>
      <c r="D289" s="4" t="s">
        <v>1434</v>
      </c>
      <c r="E289" s="4">
        <v>45321</v>
      </c>
      <c r="F289" s="11">
        <f t="shared" si="56"/>
        <v>2</v>
      </c>
      <c r="G289" s="11" t="str">
        <f t="shared" si="59"/>
        <v>Meets Target</v>
      </c>
      <c r="H289" t="s">
        <v>646</v>
      </c>
      <c r="I289" t="s">
        <v>661</v>
      </c>
      <c r="J289" t="s">
        <v>695</v>
      </c>
      <c r="K289" t="s">
        <v>704</v>
      </c>
      <c r="L289" t="s">
        <v>711</v>
      </c>
      <c r="M289" t="s">
        <v>721</v>
      </c>
      <c r="N289" t="s">
        <v>733</v>
      </c>
      <c r="O289" t="str" cm="1">
        <f t="array" ref="O289">_xlfn.IFS(S289&lt;=_xlfn.PERCENTILE.INC(IF(N289:N919=N289, S289:S919), 0.33), "Low", S289&lt;=_xlfn.PERCENTILE.INC(IF(N289:N919=N289, S289:S919), 0.66), "Medium", S289 &gt; _xlfn.PERCENTILE.INC(IF(N289:N919=N289, S289:S919), 0.66), "High")</f>
        <v>High</v>
      </c>
      <c r="P289" t="s">
        <v>1022</v>
      </c>
      <c r="Q289" s="6">
        <v>798.45</v>
      </c>
      <c r="R289" s="6">
        <v>1592.02</v>
      </c>
      <c r="S289" s="6">
        <v>1592.02</v>
      </c>
      <c r="T289" s="9">
        <v>6.6000000000000003E-2</v>
      </c>
      <c r="U289" s="9">
        <f>IF(T289&gt;0.3, $AO$4, T289)</f>
        <v>6.6000000000000003E-2</v>
      </c>
      <c r="V289" s="7" t="str">
        <f t="shared" si="60"/>
        <v>Less than 20%</v>
      </c>
      <c r="W289" s="11">
        <v>18</v>
      </c>
      <c r="X289" s="6">
        <f t="shared" si="57"/>
        <v>26765.040239999998</v>
      </c>
      <c r="Y289" s="6">
        <f t="shared" si="58"/>
        <v>14372.1</v>
      </c>
      <c r="Z289" s="6">
        <f t="shared" si="61"/>
        <v>12392.940239999998</v>
      </c>
      <c r="AA289" s="9">
        <f t="shared" si="62"/>
        <v>0.46302714768494585</v>
      </c>
      <c r="AB289" s="9">
        <f>IF(U289&gt;'What-If Analysis'!$F$16, 'What-If Analysis'!$F$16,T289)</f>
        <v>6.6000000000000003E-2</v>
      </c>
      <c r="AC289" s="42">
        <f>S289*(1-AB289)</f>
        <v>1486.9466799999998</v>
      </c>
      <c r="AD289" s="42">
        <f>Q289*(1+'What-If Analysis'!F304)</f>
        <v>798.45</v>
      </c>
      <c r="AE289" s="41">
        <f>W289*(1+'What-If Analysis'!$F$18)</f>
        <v>21.06</v>
      </c>
      <c r="AF289" s="42">
        <f t="shared" si="63"/>
        <v>31315.097080799995</v>
      </c>
      <c r="AG289" s="42">
        <f t="shared" si="64"/>
        <v>16815.357</v>
      </c>
      <c r="AH289" s="42">
        <f t="shared" si="65"/>
        <v>14499.740080799995</v>
      </c>
      <c r="AI289" s="44">
        <f t="shared" si="66"/>
        <v>0.46302714768494579</v>
      </c>
      <c r="AJ289" s="42">
        <f t="shared" si="67"/>
        <v>4550.0568407999963</v>
      </c>
      <c r="AK289" s="42">
        <f t="shared" si="68"/>
        <v>12392.940239999998</v>
      </c>
      <c r="AL289" s="9">
        <f t="shared" si="69"/>
        <v>0</v>
      </c>
      <c r="AM289" s="42"/>
    </row>
    <row r="290" spans="1:39" x14ac:dyDescent="0.25">
      <c r="A290" t="s">
        <v>303</v>
      </c>
      <c r="B290" s="20">
        <v>45125</v>
      </c>
      <c r="C290" s="4">
        <v>45148</v>
      </c>
      <c r="D290" s="4" t="s">
        <v>1444</v>
      </c>
      <c r="E290" s="4">
        <v>45148</v>
      </c>
      <c r="F290" s="11">
        <f t="shared" si="56"/>
        <v>23</v>
      </c>
      <c r="G290" s="11" t="str">
        <f t="shared" si="59"/>
        <v>Does not Meet Target</v>
      </c>
      <c r="H290" t="s">
        <v>646</v>
      </c>
      <c r="I290" t="s">
        <v>661</v>
      </c>
      <c r="J290" t="s">
        <v>682</v>
      </c>
      <c r="K290" t="s">
        <v>705</v>
      </c>
      <c r="L290" t="s">
        <v>707</v>
      </c>
      <c r="M290" t="s">
        <v>716</v>
      </c>
      <c r="N290" t="s">
        <v>727</v>
      </c>
      <c r="O290" t="str" cm="1">
        <f t="array" ref="O290">_xlfn.IFS(S290&lt;=_xlfn.PERCENTILE.INC(IF(N290:N920=N290, S290:S920), 0.33), "Low", S290&lt;=_xlfn.PERCENTILE.INC(IF(N290:N920=N290, S290:S920), 0.66), "Medium", S290 &gt; _xlfn.PERCENTILE.INC(IF(N290:N920=N290, S290:S920), 0.66), "High")</f>
        <v>Medium</v>
      </c>
      <c r="P290" t="s">
        <v>1023</v>
      </c>
      <c r="Q290" s="6">
        <v>1271.56</v>
      </c>
      <c r="R290" s="6">
        <v>995.47</v>
      </c>
      <c r="S290" s="6">
        <v>995.47</v>
      </c>
      <c r="T290" s="9">
        <v>0.192</v>
      </c>
      <c r="U290" s="9">
        <f>IF(T290&gt;0.3, $AO$4, T290)</f>
        <v>0.192</v>
      </c>
      <c r="V290" s="7" t="str">
        <f t="shared" si="60"/>
        <v>Less than 20%</v>
      </c>
      <c r="W290" s="11">
        <v>13</v>
      </c>
      <c r="X290" s="6">
        <f t="shared" si="57"/>
        <v>10456.416880000001</v>
      </c>
      <c r="Y290" s="6">
        <f t="shared" si="58"/>
        <v>16530.28</v>
      </c>
      <c r="Z290" s="6">
        <f t="shared" si="61"/>
        <v>-6073.8631199999982</v>
      </c>
      <c r="AA290" s="9">
        <f t="shared" si="62"/>
        <v>-0.58087423155607754</v>
      </c>
      <c r="AB290" s="9">
        <f>IF(U290&gt;'What-If Analysis'!$F$16, 'What-If Analysis'!$F$16,T290)</f>
        <v>0.17</v>
      </c>
      <c r="AC290" s="42">
        <f>S290*(1-AB290)</f>
        <v>826.24009999999998</v>
      </c>
      <c r="AD290" s="42">
        <f>Q290*(1+'What-If Analysis'!F305)</f>
        <v>1271.56</v>
      </c>
      <c r="AE290" s="41">
        <f>W290*(1+'What-If Analysis'!$F$18)</f>
        <v>15.209999999999999</v>
      </c>
      <c r="AF290" s="42">
        <f t="shared" si="63"/>
        <v>12567.111921</v>
      </c>
      <c r="AG290" s="42">
        <f t="shared" si="64"/>
        <v>19340.427599999999</v>
      </c>
      <c r="AH290" s="42">
        <f t="shared" si="65"/>
        <v>-6773.3156789999994</v>
      </c>
      <c r="AI290" s="44">
        <f t="shared" si="66"/>
        <v>-0.53897154108109735</v>
      </c>
      <c r="AJ290" s="42">
        <f t="shared" si="67"/>
        <v>2110.695040999999</v>
      </c>
      <c r="AK290" s="42">
        <f t="shared" si="68"/>
        <v>-6073.8631199999982</v>
      </c>
      <c r="AL290" s="9">
        <f t="shared" si="69"/>
        <v>4.1902690474980187E-2</v>
      </c>
      <c r="AM290" s="42"/>
    </row>
    <row r="291" spans="1:39" x14ac:dyDescent="0.25">
      <c r="A291" t="s">
        <v>304</v>
      </c>
      <c r="B291" s="20">
        <v>45897</v>
      </c>
      <c r="C291" s="4">
        <v>45895</v>
      </c>
      <c r="D291" s="4" t="s">
        <v>1441</v>
      </c>
      <c r="E291" s="4">
        <v>45915</v>
      </c>
      <c r="F291" s="11">
        <f t="shared" si="56"/>
        <v>18</v>
      </c>
      <c r="G291" s="11" t="str">
        <f t="shared" si="59"/>
        <v>Does not Meet Target</v>
      </c>
      <c r="H291" t="s">
        <v>646</v>
      </c>
      <c r="I291" t="s">
        <v>651</v>
      </c>
      <c r="J291" t="s">
        <v>663</v>
      </c>
      <c r="K291" t="s">
        <v>705</v>
      </c>
      <c r="L291" t="s">
        <v>707</v>
      </c>
      <c r="M291" t="s">
        <v>720</v>
      </c>
      <c r="N291" t="s">
        <v>733</v>
      </c>
      <c r="O291" t="str" cm="1">
        <f t="array" ref="O291">_xlfn.IFS(S291&lt;=_xlfn.PERCENTILE.INC(IF(N291:N921=N291, S291:S921), 0.33), "Low", S291&lt;=_xlfn.PERCENTILE.INC(IF(N291:N921=N291, S291:S921), 0.66), "Medium", S291 &gt; _xlfn.PERCENTILE.INC(IF(N291:N921=N291, S291:S921), 0.66), "High")</f>
        <v>Medium</v>
      </c>
      <c r="P291" t="s">
        <v>1024</v>
      </c>
      <c r="Q291" s="6">
        <v>521.05999999999995</v>
      </c>
      <c r="R291" s="6">
        <v>1240.31</v>
      </c>
      <c r="S291" s="6">
        <v>1240.31</v>
      </c>
      <c r="T291" s="9">
        <v>0.14599999999999999</v>
      </c>
      <c r="U291" s="9">
        <f>IF(T291&gt;0.3, $AO$4, T291)</f>
        <v>0.14599999999999999</v>
      </c>
      <c r="V291" s="7" t="str">
        <f t="shared" si="60"/>
        <v>Less than 20%</v>
      </c>
      <c r="W291" s="11">
        <v>18</v>
      </c>
      <c r="X291" s="6">
        <f t="shared" si="57"/>
        <v>19066.045319999997</v>
      </c>
      <c r="Y291" s="6">
        <f t="shared" si="58"/>
        <v>9379.0799999999981</v>
      </c>
      <c r="Z291" s="6">
        <f t="shared" si="61"/>
        <v>9686.9653199999993</v>
      </c>
      <c r="AA291" s="9">
        <f t="shared" si="62"/>
        <v>0.50807417885650974</v>
      </c>
      <c r="AB291" s="9">
        <f>IF(U291&gt;'What-If Analysis'!$F$16, 'What-If Analysis'!$F$16,T291)</f>
        <v>0.14599999999999999</v>
      </c>
      <c r="AC291" s="42">
        <f>S291*(1-AB291)</f>
        <v>1059.2247399999999</v>
      </c>
      <c r="AD291" s="42">
        <f>Q291*(1+'What-If Analysis'!F306)</f>
        <v>521.05999999999995</v>
      </c>
      <c r="AE291" s="41">
        <f>W291*(1+'What-If Analysis'!$F$18)</f>
        <v>21.06</v>
      </c>
      <c r="AF291" s="42">
        <f t="shared" si="63"/>
        <v>22307.273024399998</v>
      </c>
      <c r="AG291" s="42">
        <f t="shared" si="64"/>
        <v>10973.523599999999</v>
      </c>
      <c r="AH291" s="42">
        <f t="shared" si="65"/>
        <v>11333.749424399999</v>
      </c>
      <c r="AI291" s="44">
        <f t="shared" si="66"/>
        <v>0.50807417885650974</v>
      </c>
      <c r="AJ291" s="42">
        <f t="shared" si="67"/>
        <v>3241.2277044000002</v>
      </c>
      <c r="AK291" s="42">
        <f t="shared" si="68"/>
        <v>9686.9653199999993</v>
      </c>
      <c r="AL291" s="9">
        <f t="shared" si="69"/>
        <v>0</v>
      </c>
      <c r="AM291" s="42"/>
    </row>
    <row r="292" spans="1:39" x14ac:dyDescent="0.25">
      <c r="A292" t="s">
        <v>305</v>
      </c>
      <c r="B292" s="20">
        <v>45746</v>
      </c>
      <c r="C292" s="4">
        <v>45754</v>
      </c>
      <c r="D292" s="4" t="s">
        <v>1437</v>
      </c>
      <c r="E292" s="4">
        <v>45754</v>
      </c>
      <c r="F292" s="11">
        <f t="shared" si="56"/>
        <v>8</v>
      </c>
      <c r="G292" s="11" t="str">
        <f t="shared" si="59"/>
        <v>Does not Meet Target</v>
      </c>
      <c r="H292" t="s">
        <v>648</v>
      </c>
      <c r="I292" t="s">
        <v>655</v>
      </c>
      <c r="J292" t="s">
        <v>670</v>
      </c>
      <c r="K292" t="s">
        <v>703</v>
      </c>
      <c r="L292" t="s">
        <v>711</v>
      </c>
      <c r="M292" t="s">
        <v>716</v>
      </c>
      <c r="N292" t="s">
        <v>728</v>
      </c>
      <c r="O292" t="str" cm="1">
        <f t="array" ref="O292">_xlfn.IFS(S292&lt;=_xlfn.PERCENTILE.INC(IF(N292:N922=N292, S292:S922), 0.33), "Low", S292&lt;=_xlfn.PERCENTILE.INC(IF(N292:N922=N292, S292:S922), 0.66), "Medium", S292 &gt; _xlfn.PERCENTILE.INC(IF(N292:N922=N292, S292:S922), 0.66), "High")</f>
        <v>Low</v>
      </c>
      <c r="P292" t="s">
        <v>1025</v>
      </c>
      <c r="Q292" s="6">
        <v>71.62</v>
      </c>
      <c r="R292" s="6">
        <v>118.37</v>
      </c>
      <c r="S292" s="6">
        <v>118.37</v>
      </c>
      <c r="T292" s="9">
        <v>0.156</v>
      </c>
      <c r="U292" s="9">
        <f>IF(T292&gt;0.3, $AO$4, T292)</f>
        <v>0.156</v>
      </c>
      <c r="V292" s="7" t="str">
        <f t="shared" si="60"/>
        <v>Less than 20%</v>
      </c>
      <c r="W292" s="11">
        <v>11</v>
      </c>
      <c r="X292" s="6">
        <f t="shared" si="57"/>
        <v>1098.9470800000001</v>
      </c>
      <c r="Y292" s="6">
        <f t="shared" si="58"/>
        <v>787.82</v>
      </c>
      <c r="Z292" s="6">
        <f t="shared" si="61"/>
        <v>311.12708000000009</v>
      </c>
      <c r="AA292" s="9">
        <f t="shared" si="62"/>
        <v>0.28311379652603474</v>
      </c>
      <c r="AB292" s="9">
        <f>IF(U292&gt;'What-If Analysis'!$F$16, 'What-If Analysis'!$F$16,T292)</f>
        <v>0.156</v>
      </c>
      <c r="AC292" s="42">
        <f>S292*(1-AB292)</f>
        <v>99.90428</v>
      </c>
      <c r="AD292" s="42">
        <f>Q292*(1+'What-If Analysis'!F307)</f>
        <v>71.62</v>
      </c>
      <c r="AE292" s="41">
        <f>W292*(1+'What-If Analysis'!$F$18)</f>
        <v>12.87</v>
      </c>
      <c r="AF292" s="42">
        <f t="shared" si="63"/>
        <v>1285.7680836</v>
      </c>
      <c r="AG292" s="42">
        <f t="shared" si="64"/>
        <v>921.74940000000004</v>
      </c>
      <c r="AH292" s="42">
        <f t="shared" si="65"/>
        <v>364.01868359999992</v>
      </c>
      <c r="AI292" s="44">
        <f t="shared" si="66"/>
        <v>0.28311379652603469</v>
      </c>
      <c r="AJ292" s="42">
        <f t="shared" si="67"/>
        <v>186.82100359999981</v>
      </c>
      <c r="AK292" s="42">
        <f t="shared" si="68"/>
        <v>311.12708000000009</v>
      </c>
      <c r="AL292" s="9">
        <f t="shared" si="69"/>
        <v>0</v>
      </c>
      <c r="AM292" s="42"/>
    </row>
    <row r="293" spans="1:39" x14ac:dyDescent="0.25">
      <c r="A293" t="s">
        <v>306</v>
      </c>
      <c r="B293" s="20">
        <v>45220</v>
      </c>
      <c r="C293" s="4">
        <v>45239</v>
      </c>
      <c r="D293" s="4" t="s">
        <v>1438</v>
      </c>
      <c r="E293" s="4">
        <v>45239</v>
      </c>
      <c r="F293" s="11">
        <f t="shared" si="56"/>
        <v>19</v>
      </c>
      <c r="G293" s="11" t="str">
        <f t="shared" si="59"/>
        <v>Does not Meet Target</v>
      </c>
      <c r="H293" t="s">
        <v>649</v>
      </c>
      <c r="I293" t="s">
        <v>658</v>
      </c>
      <c r="J293" t="s">
        <v>683</v>
      </c>
      <c r="K293" t="s">
        <v>703</v>
      </c>
      <c r="L293" t="s">
        <v>711</v>
      </c>
      <c r="M293" t="s">
        <v>720</v>
      </c>
      <c r="N293" t="s">
        <v>733</v>
      </c>
      <c r="O293" t="str" cm="1">
        <f t="array" ref="O293">_xlfn.IFS(S293&lt;=_xlfn.PERCENTILE.INC(IF(N293:N923=N293, S293:S923), 0.33), "Low", S293&lt;=_xlfn.PERCENTILE.INC(IF(N293:N923=N293, S293:S923), 0.66), "Medium", S293 &gt; _xlfn.PERCENTILE.INC(IF(N293:N923=N293, S293:S923), 0.66), "High")</f>
        <v>High</v>
      </c>
      <c r="P293" t="s">
        <v>1026</v>
      </c>
      <c r="Q293" s="6">
        <v>1142.48</v>
      </c>
      <c r="R293" s="6">
        <v>2105.5300000000002</v>
      </c>
      <c r="S293" s="6">
        <v>2105.5300000000002</v>
      </c>
      <c r="T293" s="9">
        <v>0.20699999999999999</v>
      </c>
      <c r="U293" s="9">
        <f>IF(T293&gt;0.3, $AO$4, T293)</f>
        <v>0.20699999999999999</v>
      </c>
      <c r="V293" s="7" t="str">
        <f t="shared" si="60"/>
        <v>Greater than 20%</v>
      </c>
      <c r="W293" s="11">
        <v>14</v>
      </c>
      <c r="X293" s="6">
        <f t="shared" si="57"/>
        <v>23375.594060000003</v>
      </c>
      <c r="Y293" s="6">
        <f t="shared" si="58"/>
        <v>15994.720000000001</v>
      </c>
      <c r="Z293" s="6">
        <f t="shared" si="61"/>
        <v>7380.8740600000019</v>
      </c>
      <c r="AA293" s="9">
        <f t="shared" si="62"/>
        <v>0.31575129346680658</v>
      </c>
      <c r="AB293" s="9">
        <f>IF(U293&gt;'What-If Analysis'!$F$16, 'What-If Analysis'!$F$16,T293)</f>
        <v>0.17</v>
      </c>
      <c r="AC293" s="42">
        <f>S293*(1-AB293)</f>
        <v>1747.5899000000002</v>
      </c>
      <c r="AD293" s="42">
        <f>Q293*(1+'What-If Analysis'!F308)</f>
        <v>1142.48</v>
      </c>
      <c r="AE293" s="41">
        <f>W293*(1+'What-If Analysis'!$F$18)</f>
        <v>16.38</v>
      </c>
      <c r="AF293" s="42">
        <f t="shared" si="63"/>
        <v>28625.522562000002</v>
      </c>
      <c r="AG293" s="42">
        <f t="shared" si="64"/>
        <v>18713.822400000001</v>
      </c>
      <c r="AH293" s="42">
        <f t="shared" si="65"/>
        <v>9911.700162000001</v>
      </c>
      <c r="AI293" s="44">
        <f t="shared" si="66"/>
        <v>0.34625394664961157</v>
      </c>
      <c r="AJ293" s="42">
        <f t="shared" si="67"/>
        <v>5249.9285019999988</v>
      </c>
      <c r="AK293" s="42">
        <f t="shared" si="68"/>
        <v>7380.8740600000019</v>
      </c>
      <c r="AL293" s="9">
        <f t="shared" si="69"/>
        <v>3.0502653182804984E-2</v>
      </c>
      <c r="AM293" s="42"/>
    </row>
    <row r="294" spans="1:39" x14ac:dyDescent="0.25">
      <c r="A294" t="s">
        <v>307</v>
      </c>
      <c r="B294" s="20">
        <v>45161</v>
      </c>
      <c r="C294" s="4">
        <v>45191</v>
      </c>
      <c r="D294" s="4" t="s">
        <v>1444</v>
      </c>
      <c r="E294" s="4">
        <v>45191</v>
      </c>
      <c r="F294" s="11">
        <f t="shared" si="56"/>
        <v>30</v>
      </c>
      <c r="G294" s="11" t="str">
        <f t="shared" si="59"/>
        <v>Does not Meet Target</v>
      </c>
      <c r="H294" t="s">
        <v>649</v>
      </c>
      <c r="I294" t="s">
        <v>658</v>
      </c>
      <c r="J294" t="s">
        <v>683</v>
      </c>
      <c r="K294" t="s">
        <v>704</v>
      </c>
      <c r="L294" t="s">
        <v>710</v>
      </c>
      <c r="M294" t="s">
        <v>719</v>
      </c>
      <c r="N294" t="s">
        <v>733</v>
      </c>
      <c r="O294" t="str" cm="1">
        <f t="array" ref="O294">_xlfn.IFS(S294&lt;=_xlfn.PERCENTILE.INC(IF(N294:N924=N294, S294:S924), 0.33), "Low", S294&lt;=_xlfn.PERCENTILE.INC(IF(N294:N924=N294, S294:S924), 0.66), "Medium", S294 &gt; _xlfn.PERCENTILE.INC(IF(N294:N924=N294, S294:S924), 0.66), "High")</f>
        <v>Low</v>
      </c>
      <c r="P294" t="s">
        <v>1027</v>
      </c>
      <c r="Q294" s="6">
        <v>209.81</v>
      </c>
      <c r="R294" s="6">
        <v>523</v>
      </c>
      <c r="S294" s="6">
        <v>523</v>
      </c>
      <c r="T294" s="9">
        <v>5.8999999999999997E-2</v>
      </c>
      <c r="U294" s="9">
        <f>IF(T294&gt;0.3, $AO$4, T294)</f>
        <v>5.8999999999999997E-2</v>
      </c>
      <c r="V294" s="7" t="str">
        <f t="shared" si="60"/>
        <v>Less than 20%</v>
      </c>
      <c r="W294" s="11">
        <v>15</v>
      </c>
      <c r="X294" s="6">
        <f t="shared" si="57"/>
        <v>7382.1450000000004</v>
      </c>
      <c r="Y294" s="6">
        <f t="shared" si="58"/>
        <v>3147.15</v>
      </c>
      <c r="Z294" s="6">
        <f t="shared" si="61"/>
        <v>4234.9950000000008</v>
      </c>
      <c r="AA294" s="9">
        <f t="shared" si="62"/>
        <v>0.57368082041195356</v>
      </c>
      <c r="AB294" s="9">
        <f>IF(U294&gt;'What-If Analysis'!$F$16, 'What-If Analysis'!$F$16,T294)</f>
        <v>5.8999999999999997E-2</v>
      </c>
      <c r="AC294" s="42">
        <f>S294*(1-AB294)</f>
        <v>492.14300000000003</v>
      </c>
      <c r="AD294" s="42">
        <f>Q294*(1+'What-If Analysis'!F309)</f>
        <v>209.81</v>
      </c>
      <c r="AE294" s="41">
        <f>W294*(1+'What-If Analysis'!$F$18)</f>
        <v>17.549999999999997</v>
      </c>
      <c r="AF294" s="42">
        <f t="shared" si="63"/>
        <v>8637.1096499999985</v>
      </c>
      <c r="AG294" s="42">
        <f t="shared" si="64"/>
        <v>3682.1654999999996</v>
      </c>
      <c r="AH294" s="42">
        <f t="shared" si="65"/>
        <v>4954.9441499999994</v>
      </c>
      <c r="AI294" s="44">
        <f t="shared" si="66"/>
        <v>0.57368082041195345</v>
      </c>
      <c r="AJ294" s="42">
        <f t="shared" si="67"/>
        <v>1254.9646499999981</v>
      </c>
      <c r="AK294" s="42">
        <f t="shared" si="68"/>
        <v>4234.9950000000008</v>
      </c>
      <c r="AL294" s="9">
        <f t="shared" si="69"/>
        <v>0</v>
      </c>
      <c r="AM294" s="42"/>
    </row>
    <row r="295" spans="1:39" x14ac:dyDescent="0.25">
      <c r="A295" t="s">
        <v>308</v>
      </c>
      <c r="B295" s="20">
        <v>45758</v>
      </c>
      <c r="C295" s="4">
        <v>45781</v>
      </c>
      <c r="D295" s="4" t="s">
        <v>1440</v>
      </c>
      <c r="E295" s="4">
        <v>45781</v>
      </c>
      <c r="F295" s="11">
        <f t="shared" si="56"/>
        <v>23</v>
      </c>
      <c r="G295" s="11" t="str">
        <f t="shared" si="59"/>
        <v>Does not Meet Target</v>
      </c>
      <c r="H295" t="s">
        <v>647</v>
      </c>
      <c r="I295" t="s">
        <v>652</v>
      </c>
      <c r="J295" t="s">
        <v>666</v>
      </c>
      <c r="K295" t="s">
        <v>705</v>
      </c>
      <c r="L295" t="s">
        <v>708</v>
      </c>
      <c r="M295" t="s">
        <v>724</v>
      </c>
      <c r="N295" t="s">
        <v>727</v>
      </c>
      <c r="O295" t="str" cm="1">
        <f t="array" ref="O295">_xlfn.IFS(S295&lt;=_xlfn.PERCENTILE.INC(IF(N295:N925=N295, S295:S925), 0.33), "Low", S295&lt;=_xlfn.PERCENTILE.INC(IF(N295:N925=N295, S295:S925), 0.66), "Medium", S295 &gt; _xlfn.PERCENTILE.INC(IF(N295:N925=N295, S295:S925), 0.66), "High")</f>
        <v>Medium</v>
      </c>
      <c r="P295" t="s">
        <v>1028</v>
      </c>
      <c r="Q295" s="6">
        <v>786.2</v>
      </c>
      <c r="R295" s="6">
        <v>1075.3</v>
      </c>
      <c r="S295" s="6">
        <v>1075.3</v>
      </c>
      <c r="T295" s="9">
        <v>0.08</v>
      </c>
      <c r="U295" s="9">
        <f>IF(T295&gt;0.3, $AO$4, T295)</f>
        <v>0.08</v>
      </c>
      <c r="V295" s="7" t="str">
        <f t="shared" si="60"/>
        <v>Less than 20%</v>
      </c>
      <c r="W295" s="11">
        <v>9</v>
      </c>
      <c r="X295" s="6">
        <f t="shared" si="57"/>
        <v>8903.4839999999986</v>
      </c>
      <c r="Y295" s="6">
        <f t="shared" si="58"/>
        <v>7075.8</v>
      </c>
      <c r="Z295" s="6">
        <f t="shared" si="61"/>
        <v>1827.6839999999984</v>
      </c>
      <c r="AA295" s="9">
        <f t="shared" si="62"/>
        <v>0.20527739478163815</v>
      </c>
      <c r="AB295" s="9">
        <f>IF(U295&gt;'What-If Analysis'!$F$16, 'What-If Analysis'!$F$16,T295)</f>
        <v>0.08</v>
      </c>
      <c r="AC295" s="42">
        <f>S295*(1-AB295)</f>
        <v>989.27599999999995</v>
      </c>
      <c r="AD295" s="42">
        <f>Q295*(1+'What-If Analysis'!F310)</f>
        <v>786.2</v>
      </c>
      <c r="AE295" s="41">
        <f>W295*(1+'What-If Analysis'!$F$18)</f>
        <v>10.53</v>
      </c>
      <c r="AF295" s="42">
        <f t="shared" si="63"/>
        <v>10417.076279999999</v>
      </c>
      <c r="AG295" s="42">
        <f t="shared" si="64"/>
        <v>8278.6859999999997</v>
      </c>
      <c r="AH295" s="42">
        <f t="shared" si="65"/>
        <v>2138.3902799999996</v>
      </c>
      <c r="AI295" s="44">
        <f t="shared" si="66"/>
        <v>0.20527739478163826</v>
      </c>
      <c r="AJ295" s="42">
        <f t="shared" si="67"/>
        <v>1513.5922800000008</v>
      </c>
      <c r="AK295" s="42">
        <f t="shared" si="68"/>
        <v>1827.6839999999984</v>
      </c>
      <c r="AL295" s="9">
        <f t="shared" si="69"/>
        <v>0</v>
      </c>
      <c r="AM295" s="42"/>
    </row>
    <row r="296" spans="1:39" x14ac:dyDescent="0.25">
      <c r="A296" t="s">
        <v>309</v>
      </c>
      <c r="B296" s="20">
        <v>45809</v>
      </c>
      <c r="C296" s="4">
        <v>45835</v>
      </c>
      <c r="D296" s="4" t="s">
        <v>1440</v>
      </c>
      <c r="E296" s="4">
        <v>45835</v>
      </c>
      <c r="F296" s="11">
        <f t="shared" si="56"/>
        <v>26</v>
      </c>
      <c r="G296" s="11" t="str">
        <f t="shared" si="59"/>
        <v>Does not Meet Target</v>
      </c>
      <c r="H296" t="s">
        <v>649</v>
      </c>
      <c r="I296" t="s">
        <v>656</v>
      </c>
      <c r="J296" t="s">
        <v>684</v>
      </c>
      <c r="K296" t="s">
        <v>704</v>
      </c>
      <c r="L296" t="s">
        <v>710</v>
      </c>
      <c r="M296" t="s">
        <v>718</v>
      </c>
      <c r="N296" t="s">
        <v>731</v>
      </c>
      <c r="O296" t="str" cm="1">
        <f t="array" ref="O296">_xlfn.IFS(S296&lt;=_xlfn.PERCENTILE.INC(IF(N296:N926=N296, S296:S926), 0.33), "Low", S296&lt;=_xlfn.PERCENTILE.INC(IF(N296:N926=N296, S296:S926), 0.66), "Medium", S296 &gt; _xlfn.PERCENTILE.INC(IF(N296:N926=N296, S296:S926), 0.66), "High")</f>
        <v>High</v>
      </c>
      <c r="P296" t="s">
        <v>1029</v>
      </c>
      <c r="Q296" s="6">
        <v>1362.31</v>
      </c>
      <c r="R296" s="6">
        <v>3294.57</v>
      </c>
      <c r="S296" s="6">
        <v>3294.57</v>
      </c>
      <c r="T296" s="9">
        <v>0.113</v>
      </c>
      <c r="U296" s="9">
        <f>IF(T296&gt;0.3, $AO$4, T296)</f>
        <v>0.113</v>
      </c>
      <c r="V296" s="7" t="str">
        <f t="shared" si="60"/>
        <v>Less than 20%</v>
      </c>
      <c r="W296" s="11">
        <v>7</v>
      </c>
      <c r="X296" s="6">
        <f t="shared" si="57"/>
        <v>20455.985130000001</v>
      </c>
      <c r="Y296" s="6">
        <f t="shared" si="58"/>
        <v>9536.17</v>
      </c>
      <c r="Z296" s="6">
        <f t="shared" si="61"/>
        <v>10919.815130000001</v>
      </c>
      <c r="AA296" s="9">
        <f t="shared" si="62"/>
        <v>0.5338200561157721</v>
      </c>
      <c r="AB296" s="9">
        <f>IF(U296&gt;'What-If Analysis'!$F$16, 'What-If Analysis'!$F$16,T296)</f>
        <v>0.113</v>
      </c>
      <c r="AC296" s="42">
        <f>S296*(1-AB296)</f>
        <v>2922.28359</v>
      </c>
      <c r="AD296" s="42">
        <f>Q296*(1+'What-If Analysis'!F311)</f>
        <v>1362.31</v>
      </c>
      <c r="AE296" s="41">
        <f>W296*(1+'What-If Analysis'!$F$18)</f>
        <v>8.19</v>
      </c>
      <c r="AF296" s="42">
        <f t="shared" si="63"/>
        <v>23933.502602099998</v>
      </c>
      <c r="AG296" s="42">
        <f t="shared" si="64"/>
        <v>11157.318899999998</v>
      </c>
      <c r="AH296" s="42">
        <f t="shared" si="65"/>
        <v>12776.183702099999</v>
      </c>
      <c r="AI296" s="44">
        <f t="shared" si="66"/>
        <v>0.5338200561157721</v>
      </c>
      <c r="AJ296" s="42">
        <f t="shared" si="67"/>
        <v>3477.5174720999967</v>
      </c>
      <c r="AK296" s="42">
        <f t="shared" si="68"/>
        <v>10919.815130000001</v>
      </c>
      <c r="AL296" s="9">
        <f t="shared" si="69"/>
        <v>0</v>
      </c>
      <c r="AM296" s="42"/>
    </row>
    <row r="297" spans="1:39" x14ac:dyDescent="0.25">
      <c r="A297" t="s">
        <v>310</v>
      </c>
      <c r="B297" s="20">
        <v>45353</v>
      </c>
      <c r="C297" s="4">
        <v>45367</v>
      </c>
      <c r="D297" s="4" t="s">
        <v>1434</v>
      </c>
      <c r="E297" s="4">
        <v>45367</v>
      </c>
      <c r="F297" s="11">
        <f t="shared" si="56"/>
        <v>14</v>
      </c>
      <c r="G297" s="11" t="str">
        <f t="shared" si="59"/>
        <v>Does not Meet Target</v>
      </c>
      <c r="H297" t="s">
        <v>648</v>
      </c>
      <c r="I297" t="s">
        <v>653</v>
      </c>
      <c r="J297" t="s">
        <v>688</v>
      </c>
      <c r="K297" t="s">
        <v>703</v>
      </c>
      <c r="L297" t="s">
        <v>711</v>
      </c>
      <c r="M297" t="s">
        <v>719</v>
      </c>
      <c r="N297" t="s">
        <v>728</v>
      </c>
      <c r="O297" t="str" cm="1">
        <f t="array" ref="O297">_xlfn.IFS(S297&lt;=_xlfn.PERCENTILE.INC(IF(N297:N927=N297, S297:S927), 0.33), "Low", S297&lt;=_xlfn.PERCENTILE.INC(IF(N297:N927=N297, S297:S927), 0.66), "Medium", S297 &gt; _xlfn.PERCENTILE.INC(IF(N297:N927=N297, S297:S927), 0.66), "High")</f>
        <v>Low</v>
      </c>
      <c r="P297" t="s">
        <v>1030</v>
      </c>
      <c r="Q297" s="6">
        <v>248.24</v>
      </c>
      <c r="R297" s="6">
        <v>464.05</v>
      </c>
      <c r="S297" s="6">
        <v>464.05</v>
      </c>
      <c r="T297" s="9">
        <v>0.16900000000000001</v>
      </c>
      <c r="U297" s="9">
        <f>IF(T297&gt;0.3, $AO$4, T297)</f>
        <v>0.16900000000000001</v>
      </c>
      <c r="V297" s="7" t="str">
        <f t="shared" si="60"/>
        <v>Less than 20%</v>
      </c>
      <c r="W297" s="11">
        <v>11</v>
      </c>
      <c r="X297" s="6">
        <f t="shared" si="57"/>
        <v>4241.88105</v>
      </c>
      <c r="Y297" s="6">
        <f t="shared" si="58"/>
        <v>2730.6400000000003</v>
      </c>
      <c r="Z297" s="6">
        <f t="shared" si="61"/>
        <v>1511.2410499999996</v>
      </c>
      <c r="AA297" s="9">
        <f t="shared" si="62"/>
        <v>0.3562667203975462</v>
      </c>
      <c r="AB297" s="9">
        <f>IF(U297&gt;'What-If Analysis'!$F$16, 'What-If Analysis'!$F$16,T297)</f>
        <v>0.16900000000000001</v>
      </c>
      <c r="AC297" s="42">
        <f>S297*(1-AB297)</f>
        <v>385.62554999999998</v>
      </c>
      <c r="AD297" s="42">
        <f>Q297*(1+'What-If Analysis'!F312)</f>
        <v>248.24</v>
      </c>
      <c r="AE297" s="41">
        <f>W297*(1+'What-If Analysis'!$F$18)</f>
        <v>12.87</v>
      </c>
      <c r="AF297" s="42">
        <f t="shared" si="63"/>
        <v>4963.0008284999994</v>
      </c>
      <c r="AG297" s="42">
        <f t="shared" si="64"/>
        <v>3194.8487999999998</v>
      </c>
      <c r="AH297" s="42">
        <f t="shared" si="65"/>
        <v>1768.1520284999997</v>
      </c>
      <c r="AI297" s="44">
        <f t="shared" si="66"/>
        <v>0.35626672039754625</v>
      </c>
      <c r="AJ297" s="42">
        <f t="shared" si="67"/>
        <v>721.11977849999948</v>
      </c>
      <c r="AK297" s="42">
        <f t="shared" si="68"/>
        <v>1511.2410499999996</v>
      </c>
      <c r="AL297" s="9">
        <f t="shared" si="69"/>
        <v>0</v>
      </c>
      <c r="AM297" s="42"/>
    </row>
    <row r="298" spans="1:39" x14ac:dyDescent="0.25">
      <c r="A298" t="s">
        <v>311</v>
      </c>
      <c r="B298" s="20">
        <v>45097</v>
      </c>
      <c r="C298" s="4">
        <v>45115</v>
      </c>
      <c r="D298" s="4" t="s">
        <v>1442</v>
      </c>
      <c r="E298" s="4">
        <v>45115</v>
      </c>
      <c r="F298" s="11">
        <f t="shared" si="56"/>
        <v>18</v>
      </c>
      <c r="G298" s="11" t="str">
        <f t="shared" si="59"/>
        <v>Does not Meet Target</v>
      </c>
      <c r="H298" t="s">
        <v>648</v>
      </c>
      <c r="I298" t="s">
        <v>660</v>
      </c>
      <c r="J298" t="s">
        <v>697</v>
      </c>
      <c r="K298" t="s">
        <v>703</v>
      </c>
      <c r="L298" t="s">
        <v>711</v>
      </c>
      <c r="M298" t="s">
        <v>721</v>
      </c>
      <c r="N298" t="s">
        <v>732</v>
      </c>
      <c r="O298" t="str" cm="1">
        <f t="array" ref="O298">_xlfn.IFS(S298&lt;=_xlfn.PERCENTILE.INC(IF(N298:N928=N298, S298:S928), 0.33), "Low", S298&lt;=_xlfn.PERCENTILE.INC(IF(N298:N928=N298, S298:S928), 0.66), "Medium", S298 &gt; _xlfn.PERCENTILE.INC(IF(N298:N928=N298, S298:S928), 0.66), "High")</f>
        <v>Low</v>
      </c>
      <c r="P298" t="s">
        <v>1031</v>
      </c>
      <c r="Q298" s="6">
        <v>337</v>
      </c>
      <c r="R298" s="6">
        <v>511.03</v>
      </c>
      <c r="S298" s="6">
        <v>511.03</v>
      </c>
      <c r="T298" s="9">
        <v>0.108</v>
      </c>
      <c r="U298" s="9">
        <f>IF(T298&gt;0.3, $AO$4, T298)</f>
        <v>0.108</v>
      </c>
      <c r="V298" s="7" t="str">
        <f t="shared" si="60"/>
        <v>Less than 20%</v>
      </c>
      <c r="W298" s="11">
        <v>7</v>
      </c>
      <c r="X298" s="6">
        <f t="shared" si="57"/>
        <v>3190.8713200000002</v>
      </c>
      <c r="Y298" s="6">
        <f t="shared" si="58"/>
        <v>2359</v>
      </c>
      <c r="Z298" s="6">
        <f t="shared" si="61"/>
        <v>831.8713200000002</v>
      </c>
      <c r="AA298" s="9">
        <f t="shared" si="62"/>
        <v>0.26070349963219458</v>
      </c>
      <c r="AB298" s="9">
        <f>IF(U298&gt;'What-If Analysis'!$F$16, 'What-If Analysis'!$F$16,T298)</f>
        <v>0.108</v>
      </c>
      <c r="AC298" s="42">
        <f>S298*(1-AB298)</f>
        <v>455.83875999999998</v>
      </c>
      <c r="AD298" s="42">
        <f>Q298*(1+'What-If Analysis'!F313)</f>
        <v>337</v>
      </c>
      <c r="AE298" s="41">
        <f>W298*(1+'What-If Analysis'!$F$18)</f>
        <v>8.19</v>
      </c>
      <c r="AF298" s="42">
        <f t="shared" si="63"/>
        <v>3733.3194443999996</v>
      </c>
      <c r="AG298" s="42">
        <f t="shared" si="64"/>
        <v>2760.0299999999997</v>
      </c>
      <c r="AH298" s="42">
        <f t="shared" si="65"/>
        <v>973.28944439999987</v>
      </c>
      <c r="AI298" s="44">
        <f t="shared" si="66"/>
        <v>0.26070349963219452</v>
      </c>
      <c r="AJ298" s="42">
        <f t="shared" si="67"/>
        <v>542.44812439999941</v>
      </c>
      <c r="AK298" s="42">
        <f t="shared" si="68"/>
        <v>831.8713200000002</v>
      </c>
      <c r="AL298" s="9">
        <f t="shared" si="69"/>
        <v>0</v>
      </c>
      <c r="AM298" s="42"/>
    </row>
    <row r="299" spans="1:39" x14ac:dyDescent="0.25">
      <c r="A299" t="s">
        <v>312</v>
      </c>
      <c r="B299" s="20">
        <v>45377</v>
      </c>
      <c r="C299" s="4">
        <v>45387</v>
      </c>
      <c r="D299" s="4" t="s">
        <v>1434</v>
      </c>
      <c r="E299" s="4">
        <v>45387</v>
      </c>
      <c r="F299" s="11">
        <f t="shared" si="56"/>
        <v>10</v>
      </c>
      <c r="G299" s="11" t="str">
        <f t="shared" si="59"/>
        <v>Does not Meet Target</v>
      </c>
      <c r="H299" t="s">
        <v>648</v>
      </c>
      <c r="I299" t="s">
        <v>660</v>
      </c>
      <c r="J299" t="s">
        <v>697</v>
      </c>
      <c r="K299" t="s">
        <v>704</v>
      </c>
      <c r="L299" t="s">
        <v>711</v>
      </c>
      <c r="M299" t="s">
        <v>713</v>
      </c>
      <c r="N299" t="s">
        <v>732</v>
      </c>
      <c r="O299" t="str" cm="1">
        <f t="array" ref="O299">_xlfn.IFS(S299&lt;=_xlfn.PERCENTILE.INC(IF(N299:N929=N299, S299:S929), 0.33), "Low", S299&lt;=_xlfn.PERCENTILE.INC(IF(N299:N929=N299, S299:S929), 0.66), "Medium", S299 &gt; _xlfn.PERCENTILE.INC(IF(N299:N929=N299, S299:S929), 0.66), "High")</f>
        <v>Low</v>
      </c>
      <c r="P299" t="s">
        <v>1032</v>
      </c>
      <c r="Q299" s="6">
        <v>5.66</v>
      </c>
      <c r="R299" s="6">
        <v>4.22</v>
      </c>
      <c r="S299" s="6">
        <v>4.22</v>
      </c>
      <c r="T299" s="9">
        <v>0.11899999999999999</v>
      </c>
      <c r="U299" s="9">
        <f>IF(T299&gt;0.3, $AO$4, T299)</f>
        <v>0.11899999999999999</v>
      </c>
      <c r="V299" s="7" t="str">
        <f t="shared" si="60"/>
        <v>Less than 20%</v>
      </c>
      <c r="W299" s="11">
        <v>18</v>
      </c>
      <c r="X299" s="6">
        <f t="shared" si="57"/>
        <v>66.920760000000001</v>
      </c>
      <c r="Y299" s="6">
        <f t="shared" si="58"/>
        <v>101.88</v>
      </c>
      <c r="Z299" s="6">
        <f t="shared" si="61"/>
        <v>-34.959239999999994</v>
      </c>
      <c r="AA299" s="9">
        <f t="shared" si="62"/>
        <v>-0.52239753403876454</v>
      </c>
      <c r="AB299" s="9">
        <f>IF(U299&gt;'What-If Analysis'!$F$16, 'What-If Analysis'!$F$16,T299)</f>
        <v>0.11899999999999999</v>
      </c>
      <c r="AC299" s="42">
        <f>S299*(1-AB299)</f>
        <v>3.7178199999999997</v>
      </c>
      <c r="AD299" s="42">
        <f>Q299*(1+'What-If Analysis'!F314)</f>
        <v>5.66</v>
      </c>
      <c r="AE299" s="41">
        <f>W299*(1+'What-If Analysis'!$F$18)</f>
        <v>21.06</v>
      </c>
      <c r="AF299" s="42">
        <f t="shared" si="63"/>
        <v>78.297289199999994</v>
      </c>
      <c r="AG299" s="42">
        <f t="shared" si="64"/>
        <v>119.19959999999999</v>
      </c>
      <c r="AH299" s="42">
        <f t="shared" si="65"/>
        <v>-40.902310799999995</v>
      </c>
      <c r="AI299" s="44">
        <f t="shared" si="66"/>
        <v>-0.52239753403876465</v>
      </c>
      <c r="AJ299" s="42">
        <f t="shared" si="67"/>
        <v>11.376529199999993</v>
      </c>
      <c r="AK299" s="42">
        <f t="shared" si="68"/>
        <v>-34.959239999999994</v>
      </c>
      <c r="AL299" s="9">
        <f t="shared" si="69"/>
        <v>0</v>
      </c>
      <c r="AM299" s="42"/>
    </row>
    <row r="300" spans="1:39" x14ac:dyDescent="0.25">
      <c r="A300" t="s">
        <v>313</v>
      </c>
      <c r="B300" s="20">
        <v>45679</v>
      </c>
      <c r="C300" s="4">
        <v>45679</v>
      </c>
      <c r="D300" s="4" t="s">
        <v>1437</v>
      </c>
      <c r="E300" s="4">
        <v>45679</v>
      </c>
      <c r="F300" s="11">
        <f t="shared" si="56"/>
        <v>0</v>
      </c>
      <c r="G300" s="11" t="str">
        <f t="shared" si="59"/>
        <v>Meets Target</v>
      </c>
      <c r="H300" t="s">
        <v>649</v>
      </c>
      <c r="I300" t="s">
        <v>657</v>
      </c>
      <c r="J300" t="s">
        <v>679</v>
      </c>
      <c r="K300" t="s">
        <v>705</v>
      </c>
      <c r="L300" t="s">
        <v>708</v>
      </c>
      <c r="M300" t="s">
        <v>717</v>
      </c>
      <c r="N300" t="s">
        <v>733</v>
      </c>
      <c r="O300" t="str" cm="1">
        <f t="array" ref="O300">_xlfn.IFS(S300&lt;=_xlfn.PERCENTILE.INC(IF(N300:N930=N300, S300:S930), 0.33), "Low", S300&lt;=_xlfn.PERCENTILE.INC(IF(N300:N930=N300, S300:S930), 0.66), "Medium", S300 &gt; _xlfn.PERCENTILE.INC(IF(N300:N930=N300, S300:S930), 0.66), "High")</f>
        <v>Low</v>
      </c>
      <c r="P300" t="s">
        <v>1033</v>
      </c>
      <c r="Q300" s="6">
        <v>591.72</v>
      </c>
      <c r="R300" s="6">
        <v>577.24</v>
      </c>
      <c r="S300" s="6">
        <v>577.24</v>
      </c>
      <c r="T300" s="9">
        <v>0</v>
      </c>
      <c r="U300" s="9">
        <f>IF(T300&gt;0.3, $AO$4, T300)</f>
        <v>0</v>
      </c>
      <c r="V300" s="7" t="str">
        <f t="shared" si="60"/>
        <v>Less than 20%</v>
      </c>
      <c r="W300" s="11">
        <v>22</v>
      </c>
      <c r="X300" s="6">
        <f t="shared" si="57"/>
        <v>12699.28</v>
      </c>
      <c r="Y300" s="6">
        <f t="shared" si="58"/>
        <v>13017.84</v>
      </c>
      <c r="Z300" s="6">
        <f t="shared" si="61"/>
        <v>-318.55999999999949</v>
      </c>
      <c r="AA300" s="9">
        <f t="shared" si="62"/>
        <v>-2.5084886702238195E-2</v>
      </c>
      <c r="AB300" s="9">
        <f>IF(U300&gt;'What-If Analysis'!$F$16, 'What-If Analysis'!$F$16,T300)</f>
        <v>0</v>
      </c>
      <c r="AC300" s="42">
        <f>S300*(1-AB300)</f>
        <v>577.24</v>
      </c>
      <c r="AD300" s="42">
        <f>Q300*(1+'What-If Analysis'!F315)</f>
        <v>591.72</v>
      </c>
      <c r="AE300" s="41">
        <f>W300*(1+'What-If Analysis'!$F$18)</f>
        <v>25.74</v>
      </c>
      <c r="AF300" s="42">
        <f t="shared" si="63"/>
        <v>14858.157599999999</v>
      </c>
      <c r="AG300" s="42">
        <f t="shared" si="64"/>
        <v>15230.872799999999</v>
      </c>
      <c r="AH300" s="42">
        <f t="shared" si="65"/>
        <v>-372.71520000000055</v>
      </c>
      <c r="AI300" s="44">
        <f t="shared" si="66"/>
        <v>-2.5084886702238275E-2</v>
      </c>
      <c r="AJ300" s="42">
        <f t="shared" si="67"/>
        <v>2158.877599999998</v>
      </c>
      <c r="AK300" s="42">
        <f t="shared" si="68"/>
        <v>-318.55999999999949</v>
      </c>
      <c r="AL300" s="9">
        <f t="shared" si="69"/>
        <v>-7.9797279894933126E-17</v>
      </c>
      <c r="AM300" s="42"/>
    </row>
    <row r="301" spans="1:39" x14ac:dyDescent="0.25">
      <c r="A301" t="s">
        <v>314</v>
      </c>
      <c r="B301" s="20">
        <v>45787</v>
      </c>
      <c r="C301" s="4">
        <v>45804</v>
      </c>
      <c r="D301" s="4" t="s">
        <v>1440</v>
      </c>
      <c r="E301" s="4">
        <v>45804</v>
      </c>
      <c r="F301" s="11">
        <f t="shared" si="56"/>
        <v>17</v>
      </c>
      <c r="G301" s="11" t="str">
        <f t="shared" si="59"/>
        <v>Does not Meet Target</v>
      </c>
      <c r="H301" t="s">
        <v>648</v>
      </c>
      <c r="I301" t="s">
        <v>653</v>
      </c>
      <c r="J301" t="s">
        <v>688</v>
      </c>
      <c r="K301" t="s">
        <v>702</v>
      </c>
      <c r="L301" t="s">
        <v>711</v>
      </c>
      <c r="M301" t="s">
        <v>712</v>
      </c>
      <c r="N301" t="s">
        <v>727</v>
      </c>
      <c r="O301" t="str" cm="1">
        <f t="array" ref="O301">_xlfn.IFS(S301&lt;=_xlfn.PERCENTILE.INC(IF(N301:N931=N301, S301:S931), 0.33), "Low", S301&lt;=_xlfn.PERCENTILE.INC(IF(N301:N931=N301, S301:S931), 0.66), "Medium", S301 &gt; _xlfn.PERCENTILE.INC(IF(N301:N931=N301, S301:S931), 0.66), "High")</f>
        <v>Medium</v>
      </c>
      <c r="P301" t="s">
        <v>1034</v>
      </c>
      <c r="Q301" s="6">
        <v>862.89</v>
      </c>
      <c r="R301" s="6">
        <v>1426.03</v>
      </c>
      <c r="S301" s="6">
        <v>1426.03</v>
      </c>
      <c r="T301" s="9">
        <v>5.6000000000000001E-2</v>
      </c>
      <c r="U301" s="9">
        <f>IF(T301&gt;0.3, $AO$4, T301)</f>
        <v>5.6000000000000001E-2</v>
      </c>
      <c r="V301" s="7" t="str">
        <f t="shared" si="60"/>
        <v>Less than 20%</v>
      </c>
      <c r="W301" s="11">
        <v>19</v>
      </c>
      <c r="X301" s="6">
        <f t="shared" si="57"/>
        <v>25577.274079999999</v>
      </c>
      <c r="Y301" s="6">
        <f t="shared" si="58"/>
        <v>16394.91</v>
      </c>
      <c r="Z301" s="6">
        <f t="shared" si="61"/>
        <v>9182.3640799999994</v>
      </c>
      <c r="AA301" s="9">
        <f t="shared" si="62"/>
        <v>0.35900479665188778</v>
      </c>
      <c r="AB301" s="9">
        <f>IF(U301&gt;'What-If Analysis'!$F$16, 'What-If Analysis'!$F$16,T301)</f>
        <v>5.6000000000000001E-2</v>
      </c>
      <c r="AC301" s="42">
        <f>S301*(1-AB301)</f>
        <v>1346.1723199999999</v>
      </c>
      <c r="AD301" s="42">
        <f>Q301*(1+'What-If Analysis'!F316)</f>
        <v>862.89</v>
      </c>
      <c r="AE301" s="41">
        <f>W301*(1+'What-If Analysis'!$F$18)</f>
        <v>22.229999999999997</v>
      </c>
      <c r="AF301" s="42">
        <f t="shared" si="63"/>
        <v>29925.410673599992</v>
      </c>
      <c r="AG301" s="42">
        <f t="shared" si="64"/>
        <v>19182.044699999999</v>
      </c>
      <c r="AH301" s="42">
        <f t="shared" si="65"/>
        <v>10743.365973599994</v>
      </c>
      <c r="AI301" s="44">
        <f t="shared" si="66"/>
        <v>0.35900479665188767</v>
      </c>
      <c r="AJ301" s="42">
        <f t="shared" si="67"/>
        <v>4348.1365935999929</v>
      </c>
      <c r="AK301" s="42">
        <f t="shared" si="68"/>
        <v>9182.3640799999994</v>
      </c>
      <c r="AL301" s="9">
        <f t="shared" si="69"/>
        <v>0</v>
      </c>
      <c r="AM301" s="42"/>
    </row>
    <row r="302" spans="1:39" x14ac:dyDescent="0.25">
      <c r="A302" t="s">
        <v>315</v>
      </c>
      <c r="B302" s="20">
        <v>45204</v>
      </c>
      <c r="C302" s="4">
        <v>45230</v>
      </c>
      <c r="D302" s="4" t="s">
        <v>1438</v>
      </c>
      <c r="E302" s="4">
        <v>45230</v>
      </c>
      <c r="F302" s="11">
        <f t="shared" si="56"/>
        <v>26</v>
      </c>
      <c r="G302" s="11" t="str">
        <f t="shared" si="59"/>
        <v>Does not Meet Target</v>
      </c>
      <c r="H302" t="s">
        <v>647</v>
      </c>
      <c r="I302" t="s">
        <v>659</v>
      </c>
      <c r="J302" t="s">
        <v>685</v>
      </c>
      <c r="K302" t="s">
        <v>704</v>
      </c>
      <c r="L302" t="s">
        <v>1422</v>
      </c>
      <c r="M302" t="s">
        <v>713</v>
      </c>
      <c r="N302" t="s">
        <v>728</v>
      </c>
      <c r="O302" t="str" cm="1">
        <f t="array" ref="O302">_xlfn.IFS(S302&lt;=_xlfn.PERCENTILE.INC(IF(N302:N932=N302, S302:S932), 0.33), "Low", S302&lt;=_xlfn.PERCENTILE.INC(IF(N302:N932=N302, S302:S932), 0.66), "Medium", S302 &gt; _xlfn.PERCENTILE.INC(IF(N302:N932=N302, S302:S932), 0.66), "High")</f>
        <v>Medium</v>
      </c>
      <c r="P302" t="s">
        <v>1035</v>
      </c>
      <c r="Q302" s="6">
        <v>649.91</v>
      </c>
      <c r="R302" s="6">
        <v>1360.12</v>
      </c>
      <c r="S302" s="6">
        <v>1360.12</v>
      </c>
      <c r="T302" s="9">
        <v>0.19400000000000001</v>
      </c>
      <c r="U302" s="9">
        <f>IF(T302&gt;0.3, $AO$4, T302)</f>
        <v>0.19400000000000001</v>
      </c>
      <c r="V302" s="7" t="str">
        <f t="shared" si="60"/>
        <v>Less than 20%</v>
      </c>
      <c r="W302" s="11">
        <v>9</v>
      </c>
      <c r="X302" s="6">
        <f t="shared" si="57"/>
        <v>9866.3104799999983</v>
      </c>
      <c r="Y302" s="6">
        <f t="shared" si="58"/>
        <v>5849.19</v>
      </c>
      <c r="Z302" s="6">
        <f t="shared" si="61"/>
        <v>4017.1204799999987</v>
      </c>
      <c r="AA302" s="9">
        <f t="shared" si="62"/>
        <v>0.40715528749506769</v>
      </c>
      <c r="AB302" s="9">
        <f>IF(U302&gt;'What-If Analysis'!$F$16, 'What-If Analysis'!$F$16,T302)</f>
        <v>0.17</v>
      </c>
      <c r="AC302" s="42">
        <f>S302*(1-AB302)</f>
        <v>1128.8996</v>
      </c>
      <c r="AD302" s="42">
        <f>Q302*(1+'What-If Analysis'!F317)</f>
        <v>649.91</v>
      </c>
      <c r="AE302" s="41">
        <f>W302*(1+'What-If Analysis'!$F$18)</f>
        <v>10.53</v>
      </c>
      <c r="AF302" s="42">
        <f t="shared" si="63"/>
        <v>11887.312787999999</v>
      </c>
      <c r="AG302" s="42">
        <f t="shared" si="64"/>
        <v>6843.5522999999994</v>
      </c>
      <c r="AH302" s="42">
        <f t="shared" si="65"/>
        <v>5043.7604879999999</v>
      </c>
      <c r="AI302" s="44">
        <f t="shared" si="66"/>
        <v>0.42429778520605377</v>
      </c>
      <c r="AJ302" s="42">
        <f t="shared" si="67"/>
        <v>2021.002308000001</v>
      </c>
      <c r="AK302" s="42">
        <f t="shared" si="68"/>
        <v>4017.1204799999987</v>
      </c>
      <c r="AL302" s="9">
        <f t="shared" si="69"/>
        <v>1.7142497710986082E-2</v>
      </c>
      <c r="AM302" s="42"/>
    </row>
    <row r="303" spans="1:39" x14ac:dyDescent="0.25">
      <c r="A303" t="s">
        <v>316</v>
      </c>
      <c r="B303" s="20">
        <v>45125</v>
      </c>
      <c r="C303" s="4">
        <v>45129</v>
      </c>
      <c r="D303" s="4" t="s">
        <v>1444</v>
      </c>
      <c r="E303" s="4">
        <v>45129</v>
      </c>
      <c r="F303" s="11">
        <f t="shared" si="56"/>
        <v>4</v>
      </c>
      <c r="G303" s="11" t="str">
        <f t="shared" si="59"/>
        <v>Meets Target</v>
      </c>
      <c r="H303" t="s">
        <v>648</v>
      </c>
      <c r="I303" t="s">
        <v>655</v>
      </c>
      <c r="J303" t="s">
        <v>670</v>
      </c>
      <c r="K303" t="s">
        <v>704</v>
      </c>
      <c r="L303" t="s">
        <v>711</v>
      </c>
      <c r="M303" t="s">
        <v>721</v>
      </c>
      <c r="N303" t="s">
        <v>729</v>
      </c>
      <c r="O303" t="str" cm="1">
        <f t="array" ref="O303">_xlfn.IFS(S303&lt;=_xlfn.PERCENTILE.INC(IF(N303:N933=N303, S303:S933), 0.33), "Low", S303&lt;=_xlfn.PERCENTILE.INC(IF(N303:N933=N303, S303:S933), 0.66), "Medium", S303 &gt; _xlfn.PERCENTILE.INC(IF(N303:N933=N303, S303:S933), 0.66), "High")</f>
        <v>High</v>
      </c>
      <c r="P303" t="s">
        <v>1036</v>
      </c>
      <c r="Q303" s="6">
        <v>1269.55</v>
      </c>
      <c r="R303" s="6">
        <v>2071.1</v>
      </c>
      <c r="S303" s="6">
        <v>2071.1</v>
      </c>
      <c r="T303" s="9">
        <v>0.129</v>
      </c>
      <c r="U303" s="9">
        <f>IF(T303&gt;0.3, $AO$4, T303)</f>
        <v>0.129</v>
      </c>
      <c r="V303" s="7" t="str">
        <f t="shared" si="60"/>
        <v>Less than 20%</v>
      </c>
      <c r="W303" s="11">
        <v>22</v>
      </c>
      <c r="X303" s="6">
        <f t="shared" si="57"/>
        <v>39686.4182</v>
      </c>
      <c r="Y303" s="6">
        <f t="shared" si="58"/>
        <v>27930.1</v>
      </c>
      <c r="Z303" s="6">
        <f t="shared" si="61"/>
        <v>11756.318200000002</v>
      </c>
      <c r="AA303" s="9">
        <f t="shared" si="62"/>
        <v>0.29623026549672354</v>
      </c>
      <c r="AB303" s="9">
        <f>IF(U303&gt;'What-If Analysis'!$F$16, 'What-If Analysis'!$F$16,T303)</f>
        <v>0.129</v>
      </c>
      <c r="AC303" s="42">
        <f>S303*(1-AB303)</f>
        <v>1803.9280999999999</v>
      </c>
      <c r="AD303" s="42">
        <f>Q303*(1+'What-If Analysis'!F318)</f>
        <v>1269.55</v>
      </c>
      <c r="AE303" s="41">
        <f>W303*(1+'What-If Analysis'!$F$18)</f>
        <v>25.74</v>
      </c>
      <c r="AF303" s="42">
        <f t="shared" si="63"/>
        <v>46433.109293999994</v>
      </c>
      <c r="AG303" s="42">
        <f t="shared" si="64"/>
        <v>32678.216999999997</v>
      </c>
      <c r="AH303" s="42">
        <f t="shared" si="65"/>
        <v>13754.892293999997</v>
      </c>
      <c r="AI303" s="44">
        <f t="shared" si="66"/>
        <v>0.29623026549672349</v>
      </c>
      <c r="AJ303" s="42">
        <f t="shared" si="67"/>
        <v>6746.6910939999943</v>
      </c>
      <c r="AK303" s="42">
        <f t="shared" si="68"/>
        <v>11756.318200000002</v>
      </c>
      <c r="AL303" s="9">
        <f t="shared" si="69"/>
        <v>0</v>
      </c>
      <c r="AM303" s="42"/>
    </row>
    <row r="304" spans="1:39" x14ac:dyDescent="0.25">
      <c r="A304" t="s">
        <v>317</v>
      </c>
      <c r="B304" s="20">
        <v>45830</v>
      </c>
      <c r="C304" s="4">
        <v>45846</v>
      </c>
      <c r="D304" s="4" t="s">
        <v>1440</v>
      </c>
      <c r="E304" s="4">
        <v>45846</v>
      </c>
      <c r="F304" s="11">
        <f t="shared" si="56"/>
        <v>16</v>
      </c>
      <c r="G304" s="11" t="str">
        <f t="shared" si="59"/>
        <v>Does not Meet Target</v>
      </c>
      <c r="H304" t="s">
        <v>649</v>
      </c>
      <c r="I304" t="s">
        <v>658</v>
      </c>
      <c r="J304" t="s">
        <v>683</v>
      </c>
      <c r="K304" t="s">
        <v>702</v>
      </c>
      <c r="L304" t="s">
        <v>711</v>
      </c>
      <c r="M304" t="s">
        <v>720</v>
      </c>
      <c r="N304" t="s">
        <v>730</v>
      </c>
      <c r="O304" t="str" cm="1">
        <f t="array" ref="O304">_xlfn.IFS(S304&lt;=_xlfn.PERCENTILE.INC(IF(N304:N934=N304, S304:S934), 0.33), "Low", S304&lt;=_xlfn.PERCENTILE.INC(IF(N304:N934=N304, S304:S934), 0.66), "Medium", S304 &gt; _xlfn.PERCENTILE.INC(IF(N304:N934=N304, S304:S934), 0.66), "High")</f>
        <v>Medium</v>
      </c>
      <c r="P304" t="s">
        <v>1037</v>
      </c>
      <c r="Q304" s="6">
        <v>892.73</v>
      </c>
      <c r="R304" s="6">
        <v>979.84</v>
      </c>
      <c r="S304" s="6">
        <v>979.84</v>
      </c>
      <c r="T304" s="9">
        <v>0.17399999999999999</v>
      </c>
      <c r="U304" s="9">
        <f>IF(T304&gt;0.3, $AO$4, T304)</f>
        <v>0.17399999999999999</v>
      </c>
      <c r="V304" s="7" t="str">
        <f t="shared" si="60"/>
        <v>Less than 20%</v>
      </c>
      <c r="W304" s="11">
        <v>10</v>
      </c>
      <c r="X304" s="6">
        <f t="shared" si="57"/>
        <v>8093.4784</v>
      </c>
      <c r="Y304" s="6">
        <f t="shared" si="58"/>
        <v>8927.2999999999993</v>
      </c>
      <c r="Z304" s="6">
        <f t="shared" si="61"/>
        <v>-833.82159999999931</v>
      </c>
      <c r="AA304" s="9">
        <f t="shared" si="62"/>
        <v>-0.10302388649112838</v>
      </c>
      <c r="AB304" s="9">
        <f>IF(U304&gt;'What-If Analysis'!$F$16, 'What-If Analysis'!$F$16,T304)</f>
        <v>0.17</v>
      </c>
      <c r="AC304" s="42">
        <f>S304*(1-AB304)</f>
        <v>813.2672</v>
      </c>
      <c r="AD304" s="42">
        <f>Q304*(1+'What-If Analysis'!F319)</f>
        <v>892.73</v>
      </c>
      <c r="AE304" s="41">
        <f>W304*(1+'What-If Analysis'!$F$18)</f>
        <v>11.7</v>
      </c>
      <c r="AF304" s="42">
        <f t="shared" si="63"/>
        <v>9515.22624</v>
      </c>
      <c r="AG304" s="42">
        <f t="shared" si="64"/>
        <v>10444.940999999999</v>
      </c>
      <c r="AH304" s="42">
        <f t="shared" si="65"/>
        <v>-929.71475999999893</v>
      </c>
      <c r="AI304" s="44">
        <f t="shared" si="66"/>
        <v>-9.770810872490604E-2</v>
      </c>
      <c r="AJ304" s="42">
        <f t="shared" si="67"/>
        <v>1421.74784</v>
      </c>
      <c r="AK304" s="42">
        <f t="shared" si="68"/>
        <v>-833.82159999999931</v>
      </c>
      <c r="AL304" s="9">
        <f t="shared" si="69"/>
        <v>5.3157777662223432E-3</v>
      </c>
      <c r="AM304" s="42"/>
    </row>
    <row r="305" spans="1:39" x14ac:dyDescent="0.25">
      <c r="A305" t="s">
        <v>318</v>
      </c>
      <c r="B305" s="20">
        <v>45462</v>
      </c>
      <c r="C305" s="4">
        <v>45463</v>
      </c>
      <c r="D305" s="4" t="s">
        <v>1439</v>
      </c>
      <c r="E305" s="4">
        <v>45463</v>
      </c>
      <c r="F305" s="11">
        <f t="shared" si="56"/>
        <v>1</v>
      </c>
      <c r="G305" s="11" t="str">
        <f t="shared" si="59"/>
        <v>Meets Target</v>
      </c>
      <c r="H305" t="s">
        <v>646</v>
      </c>
      <c r="I305" t="s">
        <v>650</v>
      </c>
      <c r="J305" t="s">
        <v>662</v>
      </c>
      <c r="K305" t="s">
        <v>705</v>
      </c>
      <c r="L305" t="s">
        <v>711</v>
      </c>
      <c r="M305" t="s">
        <v>713</v>
      </c>
      <c r="N305" t="s">
        <v>731</v>
      </c>
      <c r="O305" t="str" cm="1">
        <f t="array" ref="O305">_xlfn.IFS(S305&lt;=_xlfn.PERCENTILE.INC(IF(N305:N935=N305, S305:S935), 0.33), "Low", S305&lt;=_xlfn.PERCENTILE.INC(IF(N305:N935=N305, S305:S935), 0.66), "Medium", S305 &gt; _xlfn.PERCENTILE.INC(IF(N305:N935=N305, S305:S935), 0.66), "High")</f>
        <v>Low</v>
      </c>
      <c r="P305" t="s">
        <v>1038</v>
      </c>
      <c r="Q305" s="6">
        <v>231.63</v>
      </c>
      <c r="R305" s="6">
        <v>537.39</v>
      </c>
      <c r="S305" s="6">
        <v>537.39</v>
      </c>
      <c r="T305" s="9">
        <v>0.08</v>
      </c>
      <c r="U305" s="9">
        <f>IF(T305&gt;0.3, $AO$4, T305)</f>
        <v>0.08</v>
      </c>
      <c r="V305" s="7" t="str">
        <f t="shared" si="60"/>
        <v>Less than 20%</v>
      </c>
      <c r="W305" s="11">
        <v>12</v>
      </c>
      <c r="X305" s="6">
        <f t="shared" si="57"/>
        <v>5932.7856000000002</v>
      </c>
      <c r="Y305" s="6">
        <f t="shared" si="58"/>
        <v>2779.56</v>
      </c>
      <c r="Z305" s="6">
        <f t="shared" si="61"/>
        <v>3153.2256000000002</v>
      </c>
      <c r="AA305" s="9">
        <f t="shared" si="62"/>
        <v>0.53149158129024587</v>
      </c>
      <c r="AB305" s="9">
        <f>IF(U305&gt;'What-If Analysis'!$F$16, 'What-If Analysis'!$F$16,T305)</f>
        <v>0.08</v>
      </c>
      <c r="AC305" s="42">
        <f>S305*(1-AB305)</f>
        <v>494.39879999999999</v>
      </c>
      <c r="AD305" s="42">
        <f>Q305*(1+'What-If Analysis'!F320)</f>
        <v>231.63</v>
      </c>
      <c r="AE305" s="41">
        <f>W305*(1+'What-If Analysis'!$F$18)</f>
        <v>14.04</v>
      </c>
      <c r="AF305" s="42">
        <f t="shared" si="63"/>
        <v>6941.3591519999991</v>
      </c>
      <c r="AG305" s="42">
        <f t="shared" si="64"/>
        <v>3252.0851999999995</v>
      </c>
      <c r="AH305" s="42">
        <f t="shared" si="65"/>
        <v>3689.2739519999996</v>
      </c>
      <c r="AI305" s="44">
        <f t="shared" si="66"/>
        <v>0.53149158129024587</v>
      </c>
      <c r="AJ305" s="42">
        <f t="shared" si="67"/>
        <v>1008.5735519999989</v>
      </c>
      <c r="AK305" s="42">
        <f t="shared" si="68"/>
        <v>3153.2256000000002</v>
      </c>
      <c r="AL305" s="9">
        <f t="shared" si="69"/>
        <v>0</v>
      </c>
      <c r="AM305" s="42"/>
    </row>
    <row r="306" spans="1:39" x14ac:dyDescent="0.25">
      <c r="A306" t="s">
        <v>319</v>
      </c>
      <c r="B306" s="20">
        <v>45756</v>
      </c>
      <c r="C306" s="4">
        <v>45759</v>
      </c>
      <c r="D306" s="4" t="s">
        <v>1440</v>
      </c>
      <c r="E306" s="4">
        <v>45759</v>
      </c>
      <c r="F306" s="11">
        <f t="shared" si="56"/>
        <v>3</v>
      </c>
      <c r="G306" s="11" t="str">
        <f t="shared" si="59"/>
        <v>Meets Target</v>
      </c>
      <c r="H306" t="s">
        <v>649</v>
      </c>
      <c r="I306" t="s">
        <v>657</v>
      </c>
      <c r="J306" t="s">
        <v>679</v>
      </c>
      <c r="K306" t="s">
        <v>705</v>
      </c>
      <c r="L306" t="s">
        <v>710</v>
      </c>
      <c r="M306" t="s">
        <v>722</v>
      </c>
      <c r="N306" t="s">
        <v>732</v>
      </c>
      <c r="O306" t="str" cm="1">
        <f t="array" ref="O306">_xlfn.IFS(S306&lt;=_xlfn.PERCENTILE.INC(IF(N306:N936=N306, S306:S936), 0.33), "Low", S306&lt;=_xlfn.PERCENTILE.INC(IF(N306:N936=N306, S306:S936), 0.66), "Medium", S306 &gt; _xlfn.PERCENTILE.INC(IF(N306:N936=N306, S306:S936), 0.66), "High")</f>
        <v>Low</v>
      </c>
      <c r="P306" t="s">
        <v>1039</v>
      </c>
      <c r="Q306" s="6">
        <v>86.68</v>
      </c>
      <c r="R306" s="6">
        <v>213.32</v>
      </c>
      <c r="S306" s="6">
        <v>213.32</v>
      </c>
      <c r="T306" s="9">
        <v>3.7999999999999999E-2</v>
      </c>
      <c r="U306" s="9">
        <f>IF(T306&gt;0.3, $AO$4, T306)</f>
        <v>3.7999999999999999E-2</v>
      </c>
      <c r="V306" s="7" t="str">
        <f t="shared" si="60"/>
        <v>Less than 20%</v>
      </c>
      <c r="W306" s="11">
        <v>8</v>
      </c>
      <c r="X306" s="6">
        <f t="shared" si="57"/>
        <v>1641.7107199999998</v>
      </c>
      <c r="Y306" s="6">
        <f t="shared" si="58"/>
        <v>693.44</v>
      </c>
      <c r="Z306" s="6">
        <f t="shared" si="61"/>
        <v>948.27071999999976</v>
      </c>
      <c r="AA306" s="9">
        <f t="shared" si="62"/>
        <v>0.57761133459614611</v>
      </c>
      <c r="AB306" s="9">
        <f>IF(U306&gt;'What-If Analysis'!$F$16, 'What-If Analysis'!$F$16,T306)</f>
        <v>3.7999999999999999E-2</v>
      </c>
      <c r="AC306" s="42">
        <f>S306*(1-AB306)</f>
        <v>205.21383999999998</v>
      </c>
      <c r="AD306" s="42">
        <f>Q306*(1+'What-If Analysis'!F321)</f>
        <v>86.68</v>
      </c>
      <c r="AE306" s="41">
        <f>W306*(1+'What-If Analysis'!$F$18)</f>
        <v>9.36</v>
      </c>
      <c r="AF306" s="42">
        <f t="shared" si="63"/>
        <v>1920.8015423999996</v>
      </c>
      <c r="AG306" s="42">
        <f t="shared" si="64"/>
        <v>811.32479999999998</v>
      </c>
      <c r="AH306" s="42">
        <f t="shared" si="65"/>
        <v>1109.4767423999997</v>
      </c>
      <c r="AI306" s="44">
        <f t="shared" si="66"/>
        <v>0.57761133459614611</v>
      </c>
      <c r="AJ306" s="42">
        <f t="shared" si="67"/>
        <v>279.09082239999975</v>
      </c>
      <c r="AK306" s="42">
        <f t="shared" si="68"/>
        <v>948.27071999999976</v>
      </c>
      <c r="AL306" s="9">
        <f t="shared" si="69"/>
        <v>0</v>
      </c>
      <c r="AM306" s="42"/>
    </row>
    <row r="307" spans="1:39" x14ac:dyDescent="0.25">
      <c r="A307" t="s">
        <v>320</v>
      </c>
      <c r="B307" s="20">
        <v>45741</v>
      </c>
      <c r="C307" s="4">
        <v>45742</v>
      </c>
      <c r="D307" s="4" t="s">
        <v>1437</v>
      </c>
      <c r="E307" s="4">
        <v>45742</v>
      </c>
      <c r="F307" s="11">
        <f t="shared" si="56"/>
        <v>1</v>
      </c>
      <c r="G307" s="11" t="str">
        <f t="shared" si="59"/>
        <v>Meets Target</v>
      </c>
      <c r="H307" t="s">
        <v>646</v>
      </c>
      <c r="I307" t="s">
        <v>651</v>
      </c>
      <c r="J307" t="s">
        <v>665</v>
      </c>
      <c r="K307" t="s">
        <v>702</v>
      </c>
      <c r="L307" t="s">
        <v>710</v>
      </c>
      <c r="M307" t="s">
        <v>715</v>
      </c>
      <c r="N307" t="s">
        <v>733</v>
      </c>
      <c r="O307" t="str" cm="1">
        <f t="array" ref="O307">_xlfn.IFS(S307&lt;=_xlfn.PERCENTILE.INC(IF(N307:N937=N307, S307:S937), 0.33), "Low", S307&lt;=_xlfn.PERCENTILE.INC(IF(N307:N937=N307, S307:S937), 0.66), "Medium", S307 &gt; _xlfn.PERCENTILE.INC(IF(N307:N937=N307, S307:S937), 0.66), "High")</f>
        <v>High</v>
      </c>
      <c r="P307" t="s">
        <v>1040</v>
      </c>
      <c r="Q307" s="6">
        <v>1450.43</v>
      </c>
      <c r="R307" s="6">
        <v>1994.67</v>
      </c>
      <c r="S307" s="6">
        <v>1994.67</v>
      </c>
      <c r="T307" s="9">
        <v>0.1</v>
      </c>
      <c r="U307" s="9">
        <f>IF(T307&gt;0.3, $AO$4, T307)</f>
        <v>0.1</v>
      </c>
      <c r="V307" s="7" t="str">
        <f t="shared" si="60"/>
        <v>Less than 20%</v>
      </c>
      <c r="W307" s="11">
        <v>24</v>
      </c>
      <c r="X307" s="6">
        <f t="shared" si="57"/>
        <v>43084.872000000003</v>
      </c>
      <c r="Y307" s="6">
        <f t="shared" si="58"/>
        <v>34810.32</v>
      </c>
      <c r="Z307" s="6">
        <f t="shared" si="61"/>
        <v>8274.5520000000033</v>
      </c>
      <c r="AA307" s="9">
        <f t="shared" si="62"/>
        <v>0.19205237513529116</v>
      </c>
      <c r="AB307" s="9">
        <f>IF(U307&gt;'What-If Analysis'!$F$16, 'What-If Analysis'!$F$16,T307)</f>
        <v>0.1</v>
      </c>
      <c r="AC307" s="42">
        <f>S307*(1-AB307)</f>
        <v>1795.2030000000002</v>
      </c>
      <c r="AD307" s="42">
        <f>Q307*(1+'What-If Analysis'!F322)</f>
        <v>1450.43</v>
      </c>
      <c r="AE307" s="41">
        <f>W307*(1+'What-If Analysis'!$F$18)</f>
        <v>28.08</v>
      </c>
      <c r="AF307" s="42">
        <f t="shared" si="63"/>
        <v>50409.300240000004</v>
      </c>
      <c r="AG307" s="42">
        <f t="shared" si="64"/>
        <v>40728.074399999998</v>
      </c>
      <c r="AH307" s="42">
        <f t="shared" si="65"/>
        <v>9681.2258400000064</v>
      </c>
      <c r="AI307" s="44">
        <f t="shared" si="66"/>
        <v>0.19205237513529122</v>
      </c>
      <c r="AJ307" s="42">
        <f t="shared" si="67"/>
        <v>7324.4282400000011</v>
      </c>
      <c r="AK307" s="42">
        <f t="shared" si="68"/>
        <v>8274.5520000000033</v>
      </c>
      <c r="AL307" s="9">
        <f t="shared" si="69"/>
        <v>0</v>
      </c>
      <c r="AM307" s="42"/>
    </row>
    <row r="308" spans="1:39" x14ac:dyDescent="0.25">
      <c r="A308" t="s">
        <v>321</v>
      </c>
      <c r="B308" s="20">
        <v>45795</v>
      </c>
      <c r="C308" s="4">
        <v>45817</v>
      </c>
      <c r="D308" s="4" t="s">
        <v>1440</v>
      </c>
      <c r="E308" s="4">
        <v>45817</v>
      </c>
      <c r="F308" s="11">
        <f t="shared" si="56"/>
        <v>22</v>
      </c>
      <c r="G308" s="11" t="str">
        <f t="shared" si="59"/>
        <v>Does not Meet Target</v>
      </c>
      <c r="H308" t="s">
        <v>648</v>
      </c>
      <c r="I308" t="s">
        <v>660</v>
      </c>
      <c r="J308" t="s">
        <v>700</v>
      </c>
      <c r="K308" t="s">
        <v>704</v>
      </c>
      <c r="L308" t="s">
        <v>707</v>
      </c>
      <c r="M308" t="s">
        <v>722</v>
      </c>
      <c r="N308" t="s">
        <v>729</v>
      </c>
      <c r="O308" t="str" cm="1">
        <f t="array" ref="O308">_xlfn.IFS(S308&lt;=_xlfn.PERCENTILE.INC(IF(N308:N938=N308, S308:S938), 0.33), "Low", S308&lt;=_xlfn.PERCENTILE.INC(IF(N308:N938=N308, S308:S938), 0.66), "Medium", S308 &gt; _xlfn.PERCENTILE.INC(IF(N308:N938=N308, S308:S938), 0.66), "High")</f>
        <v>Low</v>
      </c>
      <c r="P308" t="s">
        <v>1041</v>
      </c>
      <c r="Q308" s="6">
        <v>382.96</v>
      </c>
      <c r="R308" s="6">
        <v>552.84</v>
      </c>
      <c r="S308" s="6">
        <v>552.84</v>
      </c>
      <c r="T308" s="9">
        <v>0.17599999999999999</v>
      </c>
      <c r="U308" s="9">
        <f>IF(T308&gt;0.3, $AO$4, T308)</f>
        <v>0.17599999999999999</v>
      </c>
      <c r="V308" s="7" t="str">
        <f t="shared" si="60"/>
        <v>Less than 20%</v>
      </c>
      <c r="W308" s="11">
        <v>8</v>
      </c>
      <c r="X308" s="6">
        <f t="shared" si="57"/>
        <v>3644.3212800000006</v>
      </c>
      <c r="Y308" s="6">
        <f t="shared" si="58"/>
        <v>3063.68</v>
      </c>
      <c r="Z308" s="6">
        <f t="shared" si="61"/>
        <v>580.64128000000073</v>
      </c>
      <c r="AA308" s="9">
        <f t="shared" si="62"/>
        <v>0.15932768693763483</v>
      </c>
      <c r="AB308" s="9">
        <f>IF(U308&gt;'What-If Analysis'!$F$16, 'What-If Analysis'!$F$16,T308)</f>
        <v>0.17</v>
      </c>
      <c r="AC308" s="42">
        <f>S308*(1-AB308)</f>
        <v>458.85719999999998</v>
      </c>
      <c r="AD308" s="42">
        <f>Q308*(1+'What-If Analysis'!F323)</f>
        <v>382.96</v>
      </c>
      <c r="AE308" s="41">
        <f>W308*(1+'What-If Analysis'!$F$18)</f>
        <v>9.36</v>
      </c>
      <c r="AF308" s="42">
        <f t="shared" si="63"/>
        <v>4294.9033919999993</v>
      </c>
      <c r="AG308" s="42">
        <f t="shared" si="64"/>
        <v>3584.5055999999995</v>
      </c>
      <c r="AH308" s="42">
        <f t="shared" si="65"/>
        <v>710.39779199999975</v>
      </c>
      <c r="AI308" s="44">
        <f t="shared" si="66"/>
        <v>0.16540483618868787</v>
      </c>
      <c r="AJ308" s="42">
        <f t="shared" si="67"/>
        <v>650.58211199999869</v>
      </c>
      <c r="AK308" s="42">
        <f t="shared" si="68"/>
        <v>580.64128000000073</v>
      </c>
      <c r="AL308" s="9">
        <f t="shared" si="69"/>
        <v>6.0771492510530434E-3</v>
      </c>
      <c r="AM308" s="42"/>
    </row>
    <row r="309" spans="1:39" x14ac:dyDescent="0.25">
      <c r="A309" t="s">
        <v>322</v>
      </c>
      <c r="B309" s="20">
        <v>45679</v>
      </c>
      <c r="C309" s="4">
        <v>45692</v>
      </c>
      <c r="D309" s="4" t="s">
        <v>1437</v>
      </c>
      <c r="E309" s="4">
        <v>45692</v>
      </c>
      <c r="F309" s="11">
        <f t="shared" si="56"/>
        <v>13</v>
      </c>
      <c r="G309" s="11" t="str">
        <f t="shared" si="59"/>
        <v>Does not Meet Target</v>
      </c>
      <c r="H309" t="s">
        <v>647</v>
      </c>
      <c r="I309" t="s">
        <v>652</v>
      </c>
      <c r="J309" t="s">
        <v>689</v>
      </c>
      <c r="K309" t="s">
        <v>705</v>
      </c>
      <c r="L309" t="s">
        <v>710</v>
      </c>
      <c r="M309" t="s">
        <v>716</v>
      </c>
      <c r="N309" t="s">
        <v>728</v>
      </c>
      <c r="O309" t="str" cm="1">
        <f t="array" ref="O309">_xlfn.IFS(S309&lt;=_xlfn.PERCENTILE.INC(IF(N309:N939=N309, S309:S939), 0.33), "Low", S309&lt;=_xlfn.PERCENTILE.INC(IF(N309:N939=N309, S309:S939), 0.66), "Medium", S309 &gt; _xlfn.PERCENTILE.INC(IF(N309:N939=N309, S309:S939), 0.66), "High")</f>
        <v>Low</v>
      </c>
      <c r="P309" t="s">
        <v>1042</v>
      </c>
      <c r="Q309" s="6">
        <v>122.29</v>
      </c>
      <c r="R309" s="6">
        <v>224.95</v>
      </c>
      <c r="S309" s="6">
        <v>224.95</v>
      </c>
      <c r="T309" s="9">
        <v>0.153</v>
      </c>
      <c r="U309" s="9">
        <f>IF(T309&gt;0.3, $AO$4, T309)</f>
        <v>0.153</v>
      </c>
      <c r="V309" s="7" t="str">
        <f t="shared" si="60"/>
        <v>Less than 20%</v>
      </c>
      <c r="W309" s="11">
        <v>28</v>
      </c>
      <c r="X309" s="6">
        <f t="shared" si="57"/>
        <v>5334.9141999999993</v>
      </c>
      <c r="Y309" s="6">
        <f t="shared" si="58"/>
        <v>3424.1200000000003</v>
      </c>
      <c r="Z309" s="6">
        <f t="shared" si="61"/>
        <v>1910.7941999999989</v>
      </c>
      <c r="AA309" s="9">
        <f t="shared" si="62"/>
        <v>0.3581677471026618</v>
      </c>
      <c r="AB309" s="9">
        <f>IF(U309&gt;'What-If Analysis'!$F$16, 'What-If Analysis'!$F$16,T309)</f>
        <v>0.153</v>
      </c>
      <c r="AC309" s="42">
        <f>S309*(1-AB309)</f>
        <v>190.53264999999999</v>
      </c>
      <c r="AD309" s="42">
        <f>Q309*(1+'What-If Analysis'!F324)</f>
        <v>122.29</v>
      </c>
      <c r="AE309" s="41">
        <f>W309*(1+'What-If Analysis'!$F$18)</f>
        <v>32.76</v>
      </c>
      <c r="AF309" s="42">
        <f t="shared" si="63"/>
        <v>6241.8496139999988</v>
      </c>
      <c r="AG309" s="42">
        <f t="shared" si="64"/>
        <v>4006.2204000000002</v>
      </c>
      <c r="AH309" s="42">
        <f t="shared" si="65"/>
        <v>2235.6292139999987</v>
      </c>
      <c r="AI309" s="44">
        <f t="shared" si="66"/>
        <v>0.3581677471026618</v>
      </c>
      <c r="AJ309" s="42">
        <f t="shared" si="67"/>
        <v>906.93541399999958</v>
      </c>
      <c r="AK309" s="42">
        <f t="shared" si="68"/>
        <v>1910.7941999999989</v>
      </c>
      <c r="AL309" s="9">
        <f t="shared" si="69"/>
        <v>0</v>
      </c>
      <c r="AM309" s="42"/>
    </row>
    <row r="310" spans="1:39" x14ac:dyDescent="0.25">
      <c r="A310" t="s">
        <v>323</v>
      </c>
      <c r="B310" s="20">
        <v>44936</v>
      </c>
      <c r="C310" s="4">
        <v>44955</v>
      </c>
      <c r="D310" s="4" t="s">
        <v>1436</v>
      </c>
      <c r="E310" s="4">
        <v>44955</v>
      </c>
      <c r="F310" s="11">
        <f t="shared" si="56"/>
        <v>19</v>
      </c>
      <c r="G310" s="11" t="str">
        <f t="shared" si="59"/>
        <v>Does not Meet Target</v>
      </c>
      <c r="H310" t="s">
        <v>649</v>
      </c>
      <c r="I310" t="s">
        <v>657</v>
      </c>
      <c r="J310" t="s">
        <v>679</v>
      </c>
      <c r="K310" t="s">
        <v>703</v>
      </c>
      <c r="L310" t="s">
        <v>711</v>
      </c>
      <c r="M310" t="s">
        <v>726</v>
      </c>
      <c r="N310" t="s">
        <v>731</v>
      </c>
      <c r="O310" t="str" cm="1">
        <f t="array" ref="O310">_xlfn.IFS(S310&lt;=_xlfn.PERCENTILE.INC(IF(N310:N940=N310, S310:S940), 0.33), "Low", S310&lt;=_xlfn.PERCENTILE.INC(IF(N310:N940=N310, S310:S940), 0.66), "Medium", S310 &gt; _xlfn.PERCENTILE.INC(IF(N310:N940=N310, S310:S940), 0.66), "High")</f>
        <v>Low</v>
      </c>
      <c r="P310" t="s">
        <v>1043</v>
      </c>
      <c r="Q310" s="6">
        <v>401.66</v>
      </c>
      <c r="R310" s="6">
        <v>772.09</v>
      </c>
      <c r="S310" s="6">
        <v>772.09</v>
      </c>
      <c r="T310" s="9">
        <v>8.8999999999999996E-2</v>
      </c>
      <c r="U310" s="9">
        <f>IF(T310&gt;0.3, $AO$4, T310)</f>
        <v>8.8999999999999996E-2</v>
      </c>
      <c r="V310" s="7" t="str">
        <f t="shared" si="60"/>
        <v>Less than 20%</v>
      </c>
      <c r="W310" s="11">
        <v>14</v>
      </c>
      <c r="X310" s="6">
        <f t="shared" si="57"/>
        <v>9847.2358600000007</v>
      </c>
      <c r="Y310" s="6">
        <f t="shared" si="58"/>
        <v>5623.2400000000007</v>
      </c>
      <c r="Z310" s="6">
        <f t="shared" si="61"/>
        <v>4223.99586</v>
      </c>
      <c r="AA310" s="9">
        <f t="shared" si="62"/>
        <v>0.42895244107619046</v>
      </c>
      <c r="AB310" s="9">
        <f>IF(U310&gt;'What-If Analysis'!$F$16, 'What-If Analysis'!$F$16,T310)</f>
        <v>8.8999999999999996E-2</v>
      </c>
      <c r="AC310" s="42">
        <f>S310*(1-AB310)</f>
        <v>703.37399000000005</v>
      </c>
      <c r="AD310" s="42">
        <f>Q310*(1+'What-If Analysis'!F325)</f>
        <v>401.66</v>
      </c>
      <c r="AE310" s="41">
        <f>W310*(1+'What-If Analysis'!$F$18)</f>
        <v>16.38</v>
      </c>
      <c r="AF310" s="42">
        <f t="shared" si="63"/>
        <v>11521.265956200001</v>
      </c>
      <c r="AG310" s="42">
        <f t="shared" si="64"/>
        <v>6579.1908000000003</v>
      </c>
      <c r="AH310" s="42">
        <f t="shared" si="65"/>
        <v>4942.0751562000005</v>
      </c>
      <c r="AI310" s="44">
        <f t="shared" si="66"/>
        <v>0.42895244107619052</v>
      </c>
      <c r="AJ310" s="42">
        <f t="shared" si="67"/>
        <v>1674.0300962000001</v>
      </c>
      <c r="AK310" s="42">
        <f t="shared" si="68"/>
        <v>4223.99586</v>
      </c>
      <c r="AL310" s="9">
        <f t="shared" si="69"/>
        <v>0</v>
      </c>
      <c r="AM310" s="42"/>
    </row>
    <row r="311" spans="1:39" x14ac:dyDescent="0.25">
      <c r="A311" t="s">
        <v>324</v>
      </c>
      <c r="B311" s="20">
        <v>45655</v>
      </c>
      <c r="C311" s="4">
        <v>45669</v>
      </c>
      <c r="D311" s="4" t="s">
        <v>1435</v>
      </c>
      <c r="E311" s="4">
        <v>45669</v>
      </c>
      <c r="F311" s="11">
        <f t="shared" si="56"/>
        <v>14</v>
      </c>
      <c r="G311" s="11" t="str">
        <f t="shared" si="59"/>
        <v>Does not Meet Target</v>
      </c>
      <c r="H311" t="s">
        <v>649</v>
      </c>
      <c r="I311" t="s">
        <v>658</v>
      </c>
      <c r="J311" t="s">
        <v>693</v>
      </c>
      <c r="K311" t="s">
        <v>701</v>
      </c>
      <c r="L311" t="s">
        <v>711</v>
      </c>
      <c r="M311" t="s">
        <v>717</v>
      </c>
      <c r="N311" t="s">
        <v>732</v>
      </c>
      <c r="O311" t="str" cm="1">
        <f t="array" ref="O311">_xlfn.IFS(S311&lt;=_xlfn.PERCENTILE.INC(IF(N311:N941=N311, S311:S941), 0.33), "Low", S311&lt;=_xlfn.PERCENTILE.INC(IF(N311:N941=N311, S311:S941), 0.66), "Medium", S311 &gt; _xlfn.PERCENTILE.INC(IF(N311:N941=N311, S311:S941), 0.66), "High")</f>
        <v>High</v>
      </c>
      <c r="P311" t="s">
        <v>1044</v>
      </c>
      <c r="Q311" s="6">
        <v>1399.72</v>
      </c>
      <c r="R311" s="6">
        <v>3149.21</v>
      </c>
      <c r="S311" s="6">
        <v>3149.21</v>
      </c>
      <c r="T311" s="9">
        <v>0.185</v>
      </c>
      <c r="U311" s="9">
        <f>IF(T311&gt;0.3, $AO$4, T311)</f>
        <v>0.185</v>
      </c>
      <c r="V311" s="7" t="str">
        <f t="shared" si="60"/>
        <v>Less than 20%</v>
      </c>
      <c r="W311" s="11">
        <v>12</v>
      </c>
      <c r="X311" s="6">
        <f t="shared" si="57"/>
        <v>30799.273800000003</v>
      </c>
      <c r="Y311" s="6">
        <f t="shared" si="58"/>
        <v>16796.64</v>
      </c>
      <c r="Z311" s="6">
        <f t="shared" si="61"/>
        <v>14002.633800000003</v>
      </c>
      <c r="AA311" s="9">
        <f t="shared" si="62"/>
        <v>0.45464168703873797</v>
      </c>
      <c r="AB311" s="9">
        <f>IF(U311&gt;'What-If Analysis'!$F$16, 'What-If Analysis'!$F$16,T311)</f>
        <v>0.17</v>
      </c>
      <c r="AC311" s="42">
        <f>S311*(1-AB311)</f>
        <v>2613.8442999999997</v>
      </c>
      <c r="AD311" s="42">
        <f>Q311*(1+'What-If Analysis'!F326)</f>
        <v>1399.72</v>
      </c>
      <c r="AE311" s="41">
        <f>W311*(1+'What-If Analysis'!$F$18)</f>
        <v>14.04</v>
      </c>
      <c r="AF311" s="42">
        <f t="shared" si="63"/>
        <v>36698.373971999994</v>
      </c>
      <c r="AG311" s="42">
        <f t="shared" si="64"/>
        <v>19652.068800000001</v>
      </c>
      <c r="AH311" s="42">
        <f t="shared" si="65"/>
        <v>17046.305171999993</v>
      </c>
      <c r="AI311" s="44">
        <f t="shared" si="66"/>
        <v>0.46449756016454374</v>
      </c>
      <c r="AJ311" s="42">
        <f t="shared" si="67"/>
        <v>5899.1001719999913</v>
      </c>
      <c r="AK311" s="42">
        <f t="shared" si="68"/>
        <v>14002.633800000003</v>
      </c>
      <c r="AL311" s="9">
        <f t="shared" si="69"/>
        <v>9.8558731258057697E-3</v>
      </c>
      <c r="AM311" s="42"/>
    </row>
    <row r="312" spans="1:39" x14ac:dyDescent="0.25">
      <c r="A312" t="s">
        <v>325</v>
      </c>
      <c r="B312" s="20">
        <v>45435</v>
      </c>
      <c r="C312" s="4">
        <v>45449</v>
      </c>
      <c r="D312" s="4" t="s">
        <v>1439</v>
      </c>
      <c r="E312" s="4">
        <v>45449</v>
      </c>
      <c r="F312" s="11">
        <f t="shared" si="56"/>
        <v>14</v>
      </c>
      <c r="G312" s="11" t="str">
        <f t="shared" si="59"/>
        <v>Does not Meet Target</v>
      </c>
      <c r="H312" t="s">
        <v>648</v>
      </c>
      <c r="I312" t="s">
        <v>655</v>
      </c>
      <c r="J312" t="s">
        <v>692</v>
      </c>
      <c r="K312" t="s">
        <v>703</v>
      </c>
      <c r="L312" t="s">
        <v>708</v>
      </c>
      <c r="M312" t="s">
        <v>714</v>
      </c>
      <c r="N312" t="s">
        <v>729</v>
      </c>
      <c r="O312" t="str" cm="1">
        <f t="array" ref="O312">_xlfn.IFS(S312&lt;=_xlfn.PERCENTILE.INC(IF(N312:N942=N312, S312:S942), 0.33), "Low", S312&lt;=_xlfn.PERCENTILE.INC(IF(N312:N942=N312, S312:S942), 0.66), "Medium", S312 &gt; _xlfn.PERCENTILE.INC(IF(N312:N942=N312, S312:S942), 0.66), "High")</f>
        <v>Low</v>
      </c>
      <c r="P312" t="s">
        <v>1045</v>
      </c>
      <c r="Q312" s="6">
        <v>51.13</v>
      </c>
      <c r="R312" s="6">
        <v>57.53</v>
      </c>
      <c r="S312" s="6">
        <v>57.53</v>
      </c>
      <c r="T312" s="9">
        <v>4.4999999999999998E-2</v>
      </c>
      <c r="U312" s="9">
        <f>IF(T312&gt;0.3, $AO$4, T312)</f>
        <v>4.4999999999999998E-2</v>
      </c>
      <c r="V312" s="7" t="str">
        <f t="shared" si="60"/>
        <v>Less than 20%</v>
      </c>
      <c r="W312" s="11">
        <v>16</v>
      </c>
      <c r="X312" s="6">
        <f t="shared" si="57"/>
        <v>879.05840000000001</v>
      </c>
      <c r="Y312" s="6">
        <f t="shared" si="58"/>
        <v>818.08</v>
      </c>
      <c r="Z312" s="6">
        <f t="shared" si="61"/>
        <v>60.978399999999965</v>
      </c>
      <c r="AA312" s="9">
        <f t="shared" si="62"/>
        <v>6.9367859973808302E-2</v>
      </c>
      <c r="AB312" s="9">
        <f>IF(U312&gt;'What-If Analysis'!$F$16, 'What-If Analysis'!$F$16,T312)</f>
        <v>4.4999999999999998E-2</v>
      </c>
      <c r="AC312" s="42">
        <f>S312*(1-AB312)</f>
        <v>54.94115</v>
      </c>
      <c r="AD312" s="42">
        <f>Q312*(1+'What-If Analysis'!F327)</f>
        <v>51.13</v>
      </c>
      <c r="AE312" s="41">
        <f>W312*(1+'What-If Analysis'!$F$18)</f>
        <v>18.72</v>
      </c>
      <c r="AF312" s="42">
        <f t="shared" si="63"/>
        <v>1028.4983279999999</v>
      </c>
      <c r="AG312" s="42">
        <f t="shared" si="64"/>
        <v>957.15359999999998</v>
      </c>
      <c r="AH312" s="42">
        <f t="shared" si="65"/>
        <v>71.344727999999918</v>
      </c>
      <c r="AI312" s="44">
        <f t="shared" si="66"/>
        <v>6.936785997380826E-2</v>
      </c>
      <c r="AJ312" s="42">
        <f t="shared" si="67"/>
        <v>149.4399279999999</v>
      </c>
      <c r="AK312" s="42">
        <f t="shared" si="68"/>
        <v>60.978399999999965</v>
      </c>
      <c r="AL312" s="9">
        <f t="shared" si="69"/>
        <v>0</v>
      </c>
      <c r="AM312" s="42"/>
    </row>
    <row r="313" spans="1:39" x14ac:dyDescent="0.25">
      <c r="A313" t="s">
        <v>326</v>
      </c>
      <c r="B313" s="20">
        <v>45101</v>
      </c>
      <c r="C313" s="4">
        <v>45099</v>
      </c>
      <c r="D313" s="4" t="s">
        <v>1442</v>
      </c>
      <c r="E313" s="4">
        <v>45119</v>
      </c>
      <c r="F313" s="11">
        <f t="shared" si="56"/>
        <v>18</v>
      </c>
      <c r="G313" s="11" t="str">
        <f t="shared" si="59"/>
        <v>Does not Meet Target</v>
      </c>
      <c r="H313" t="s">
        <v>648</v>
      </c>
      <c r="I313" t="s">
        <v>653</v>
      </c>
      <c r="J313" t="s">
        <v>667</v>
      </c>
      <c r="K313" t="s">
        <v>703</v>
      </c>
      <c r="L313" t="s">
        <v>707</v>
      </c>
      <c r="M313" t="s">
        <v>724</v>
      </c>
      <c r="N313" t="s">
        <v>733</v>
      </c>
      <c r="O313" t="str" cm="1">
        <f t="array" ref="O313">_xlfn.IFS(S313&lt;=_xlfn.PERCENTILE.INC(IF(N313:N943=N313, S313:S943), 0.33), "Low", S313&lt;=_xlfn.PERCENTILE.INC(IF(N313:N943=N313, S313:S943), 0.66), "Medium", S313 &gt; _xlfn.PERCENTILE.INC(IF(N313:N943=N313, S313:S943), 0.66), "High")</f>
        <v>Low</v>
      </c>
      <c r="P313" t="s">
        <v>1046</v>
      </c>
      <c r="Q313" s="6">
        <v>471.42</v>
      </c>
      <c r="R313" s="6">
        <v>824.81</v>
      </c>
      <c r="S313" s="6">
        <v>824.81</v>
      </c>
      <c r="T313" s="9">
        <v>8.7999999999999995E-2</v>
      </c>
      <c r="U313" s="9">
        <f>IF(T313&gt;0.3, $AO$4, T313)</f>
        <v>8.7999999999999995E-2</v>
      </c>
      <c r="V313" s="7" t="str">
        <f t="shared" si="60"/>
        <v>Less than 20%</v>
      </c>
      <c r="W313" s="11">
        <v>15</v>
      </c>
      <c r="X313" s="6">
        <f t="shared" si="57"/>
        <v>11283.400799999999</v>
      </c>
      <c r="Y313" s="6">
        <f t="shared" si="58"/>
        <v>7071.3</v>
      </c>
      <c r="Z313" s="6">
        <f t="shared" si="61"/>
        <v>4212.1007999999993</v>
      </c>
      <c r="AA313" s="9">
        <f t="shared" si="62"/>
        <v>0.37330064531608231</v>
      </c>
      <c r="AB313" s="9">
        <f>IF(U313&gt;'What-If Analysis'!$F$16, 'What-If Analysis'!$F$16,T313)</f>
        <v>8.7999999999999995E-2</v>
      </c>
      <c r="AC313" s="42">
        <f>S313*(1-AB313)</f>
        <v>752.22672</v>
      </c>
      <c r="AD313" s="42">
        <f>Q313*(1+'What-If Analysis'!F328)</f>
        <v>471.42</v>
      </c>
      <c r="AE313" s="41">
        <f>W313*(1+'What-If Analysis'!$F$18)</f>
        <v>17.549999999999997</v>
      </c>
      <c r="AF313" s="42">
        <f t="shared" si="63"/>
        <v>13201.578935999998</v>
      </c>
      <c r="AG313" s="42">
        <f t="shared" si="64"/>
        <v>8273.4209999999985</v>
      </c>
      <c r="AH313" s="42">
        <f t="shared" si="65"/>
        <v>4928.1579359999996</v>
      </c>
      <c r="AI313" s="44">
        <f t="shared" si="66"/>
        <v>0.37330064531608237</v>
      </c>
      <c r="AJ313" s="42">
        <f t="shared" si="67"/>
        <v>1918.1781359999986</v>
      </c>
      <c r="AK313" s="42">
        <f t="shared" si="68"/>
        <v>4212.1007999999993</v>
      </c>
      <c r="AL313" s="9">
        <f t="shared" si="69"/>
        <v>0</v>
      </c>
      <c r="AM313" s="42"/>
    </row>
    <row r="314" spans="1:39" x14ac:dyDescent="0.25">
      <c r="A314" t="s">
        <v>327</v>
      </c>
      <c r="B314" s="20">
        <v>45600</v>
      </c>
      <c r="C314" s="4">
        <v>45601</v>
      </c>
      <c r="D314" s="4" t="s">
        <v>1435</v>
      </c>
      <c r="E314" s="4">
        <v>45601</v>
      </c>
      <c r="F314" s="11">
        <f t="shared" si="56"/>
        <v>1</v>
      </c>
      <c r="G314" s="11" t="str">
        <f t="shared" si="59"/>
        <v>Meets Target</v>
      </c>
      <c r="H314" t="s">
        <v>649</v>
      </c>
      <c r="I314" t="s">
        <v>658</v>
      </c>
      <c r="J314" t="s">
        <v>683</v>
      </c>
      <c r="K314" t="s">
        <v>701</v>
      </c>
      <c r="L314" t="s">
        <v>707</v>
      </c>
      <c r="M314" t="s">
        <v>724</v>
      </c>
      <c r="N314" t="s">
        <v>728</v>
      </c>
      <c r="O314" t="str" cm="1">
        <f t="array" ref="O314">_xlfn.IFS(S314&lt;=_xlfn.PERCENTILE.INC(IF(N314:N944=N314, S314:S944), 0.33), "Low", S314&lt;=_xlfn.PERCENTILE.INC(IF(N314:N944=N314, S314:S944), 0.66), "Medium", S314 &gt; _xlfn.PERCENTILE.INC(IF(N314:N944=N314, S314:S944), 0.66), "High")</f>
        <v>High</v>
      </c>
      <c r="P314" t="s">
        <v>1047</v>
      </c>
      <c r="Q314" s="6">
        <v>840.68</v>
      </c>
      <c r="R314" s="6">
        <v>1493.53</v>
      </c>
      <c r="S314" s="6">
        <v>1493.53</v>
      </c>
      <c r="T314" s="9">
        <v>0</v>
      </c>
      <c r="U314" s="9">
        <f>IF(T314&gt;0.3, $AO$4, T314)</f>
        <v>0</v>
      </c>
      <c r="V314" s="7" t="str">
        <f t="shared" si="60"/>
        <v>Less than 20%</v>
      </c>
      <c r="W314" s="11">
        <v>27</v>
      </c>
      <c r="X314" s="6">
        <f t="shared" si="57"/>
        <v>40325.31</v>
      </c>
      <c r="Y314" s="6">
        <f t="shared" si="58"/>
        <v>22698.359999999997</v>
      </c>
      <c r="Z314" s="6">
        <f t="shared" si="61"/>
        <v>17626.95</v>
      </c>
      <c r="AA314" s="9">
        <f t="shared" si="62"/>
        <v>0.43711877230454027</v>
      </c>
      <c r="AB314" s="9">
        <f>IF(U314&gt;'What-If Analysis'!$F$16, 'What-If Analysis'!$F$16,T314)</f>
        <v>0</v>
      </c>
      <c r="AC314" s="42">
        <f>S314*(1-AB314)</f>
        <v>1493.53</v>
      </c>
      <c r="AD314" s="42">
        <f>Q314*(1+'What-If Analysis'!F329)</f>
        <v>840.68</v>
      </c>
      <c r="AE314" s="41">
        <f>W314*(1+'What-If Analysis'!$F$18)</f>
        <v>31.589999999999996</v>
      </c>
      <c r="AF314" s="42">
        <f t="shared" si="63"/>
        <v>47180.612699999991</v>
      </c>
      <c r="AG314" s="42">
        <f t="shared" si="64"/>
        <v>26557.081199999997</v>
      </c>
      <c r="AH314" s="42">
        <f t="shared" si="65"/>
        <v>20623.531499999994</v>
      </c>
      <c r="AI314" s="44">
        <f t="shared" si="66"/>
        <v>0.43711877230454022</v>
      </c>
      <c r="AJ314" s="42">
        <f t="shared" si="67"/>
        <v>6855.3026999999929</v>
      </c>
      <c r="AK314" s="42">
        <f t="shared" si="68"/>
        <v>17626.95</v>
      </c>
      <c r="AL314" s="9">
        <f t="shared" si="69"/>
        <v>0</v>
      </c>
      <c r="AM314" s="42"/>
    </row>
    <row r="315" spans="1:39" x14ac:dyDescent="0.25">
      <c r="A315" t="s">
        <v>328</v>
      </c>
      <c r="B315" s="20">
        <v>45451</v>
      </c>
      <c r="C315" s="4">
        <v>45467</v>
      </c>
      <c r="D315" s="4" t="s">
        <v>1439</v>
      </c>
      <c r="E315" s="4">
        <v>45467</v>
      </c>
      <c r="F315" s="11">
        <f t="shared" si="56"/>
        <v>16</v>
      </c>
      <c r="G315" s="11" t="str">
        <f t="shared" si="59"/>
        <v>Does not Meet Target</v>
      </c>
      <c r="H315" t="s">
        <v>646</v>
      </c>
      <c r="I315" t="s">
        <v>661</v>
      </c>
      <c r="J315" t="s">
        <v>687</v>
      </c>
      <c r="K315" t="s">
        <v>702</v>
      </c>
      <c r="L315" t="s">
        <v>710</v>
      </c>
      <c r="M315" t="s">
        <v>722</v>
      </c>
      <c r="N315" t="s">
        <v>732</v>
      </c>
      <c r="O315" t="str" cm="1">
        <f t="array" ref="O315">_xlfn.IFS(S315&lt;=_xlfn.PERCENTILE.INC(IF(N315:N945=N315, S315:S945), 0.33), "Low", S315&lt;=_xlfn.PERCENTILE.INC(IF(N315:N945=N315, S315:S945), 0.66), "Medium", S315 &gt; _xlfn.PERCENTILE.INC(IF(N315:N945=N315, S315:S945), 0.66), "High")</f>
        <v>Low</v>
      </c>
      <c r="P315" t="s">
        <v>1048</v>
      </c>
      <c r="Q315" s="6">
        <v>597.85</v>
      </c>
      <c r="R315" s="6">
        <v>741.92</v>
      </c>
      <c r="S315" s="6">
        <v>741.92</v>
      </c>
      <c r="T315" s="9">
        <v>3.1E-2</v>
      </c>
      <c r="U315" s="9">
        <f>IF(T315&gt;0.3, $AO$4, T315)</f>
        <v>3.1E-2</v>
      </c>
      <c r="V315" s="7" t="str">
        <f t="shared" si="60"/>
        <v>Less than 20%</v>
      </c>
      <c r="W315" s="11">
        <v>7</v>
      </c>
      <c r="X315" s="6">
        <f t="shared" si="57"/>
        <v>5032.4433599999993</v>
      </c>
      <c r="Y315" s="6">
        <f t="shared" si="58"/>
        <v>4184.95</v>
      </c>
      <c r="Z315" s="6">
        <f t="shared" si="61"/>
        <v>847.49335999999948</v>
      </c>
      <c r="AA315" s="9">
        <f t="shared" si="62"/>
        <v>0.16840594108544515</v>
      </c>
      <c r="AB315" s="9">
        <f>IF(U315&gt;'What-If Analysis'!$F$16, 'What-If Analysis'!$F$16,T315)</f>
        <v>3.1E-2</v>
      </c>
      <c r="AC315" s="42">
        <f>S315*(1-AB315)</f>
        <v>718.92047999999988</v>
      </c>
      <c r="AD315" s="42">
        <f>Q315*(1+'What-If Analysis'!F330)</f>
        <v>597.85</v>
      </c>
      <c r="AE315" s="41">
        <f>W315*(1+'What-If Analysis'!$F$18)</f>
        <v>8.19</v>
      </c>
      <c r="AF315" s="42">
        <f t="shared" si="63"/>
        <v>5887.9587311999985</v>
      </c>
      <c r="AG315" s="42">
        <f t="shared" si="64"/>
        <v>4896.3914999999997</v>
      </c>
      <c r="AH315" s="42">
        <f t="shared" si="65"/>
        <v>991.56723119999879</v>
      </c>
      <c r="AI315" s="44">
        <f t="shared" si="66"/>
        <v>0.16840594108544507</v>
      </c>
      <c r="AJ315" s="42">
        <f t="shared" si="67"/>
        <v>855.51537119999921</v>
      </c>
      <c r="AK315" s="42">
        <f t="shared" si="68"/>
        <v>847.49335999999948</v>
      </c>
      <c r="AL315" s="9">
        <f t="shared" si="69"/>
        <v>0</v>
      </c>
      <c r="AM315" s="42"/>
    </row>
    <row r="316" spans="1:39" x14ac:dyDescent="0.25">
      <c r="A316" t="s">
        <v>329</v>
      </c>
      <c r="B316" s="20">
        <v>45809</v>
      </c>
      <c r="C316" s="4">
        <v>45814</v>
      </c>
      <c r="D316" s="4" t="s">
        <v>1440</v>
      </c>
      <c r="E316" s="4">
        <v>45814</v>
      </c>
      <c r="F316" s="11">
        <f t="shared" si="56"/>
        <v>5</v>
      </c>
      <c r="G316" s="11" t="str">
        <f t="shared" si="59"/>
        <v>Meets Target</v>
      </c>
      <c r="H316" t="s">
        <v>649</v>
      </c>
      <c r="I316" t="s">
        <v>657</v>
      </c>
      <c r="J316" t="s">
        <v>690</v>
      </c>
      <c r="K316" t="s">
        <v>704</v>
      </c>
      <c r="L316" t="s">
        <v>710</v>
      </c>
      <c r="M316" t="s">
        <v>715</v>
      </c>
      <c r="N316" t="s">
        <v>727</v>
      </c>
      <c r="O316" t="str" cm="1">
        <f t="array" ref="O316">_xlfn.IFS(S316&lt;=_xlfn.PERCENTILE.INC(IF(N316:N946=N316, S316:S946), 0.33), "Low", S316&lt;=_xlfn.PERCENTILE.INC(IF(N316:N946=N316, S316:S946), 0.66), "Medium", S316 &gt; _xlfn.PERCENTILE.INC(IF(N316:N946=N316, S316:S946), 0.66), "High")</f>
        <v>Low</v>
      </c>
      <c r="P316" t="s">
        <v>1049</v>
      </c>
      <c r="Q316" s="6">
        <v>379.45</v>
      </c>
      <c r="R316" s="6">
        <v>742.23</v>
      </c>
      <c r="S316" s="6">
        <v>742.23</v>
      </c>
      <c r="T316" s="9">
        <v>0.09</v>
      </c>
      <c r="U316" s="9">
        <f>IF(T316&gt;0.3, $AO$4, T316)</f>
        <v>0.09</v>
      </c>
      <c r="V316" s="7" t="str">
        <f t="shared" si="60"/>
        <v>Less than 20%</v>
      </c>
      <c r="W316" s="11">
        <v>13</v>
      </c>
      <c r="X316" s="6">
        <f t="shared" si="57"/>
        <v>8780.5809000000008</v>
      </c>
      <c r="Y316" s="6">
        <f t="shared" si="58"/>
        <v>4932.8499999999995</v>
      </c>
      <c r="Z316" s="6">
        <f t="shared" si="61"/>
        <v>3847.7309000000014</v>
      </c>
      <c r="AA316" s="9">
        <f t="shared" si="62"/>
        <v>0.43820915083192286</v>
      </c>
      <c r="AB316" s="9">
        <f>IF(U316&gt;'What-If Analysis'!$F$16, 'What-If Analysis'!$F$16,T316)</f>
        <v>0.09</v>
      </c>
      <c r="AC316" s="42">
        <f>S316*(1-AB316)</f>
        <v>675.42930000000001</v>
      </c>
      <c r="AD316" s="42">
        <f>Q316*(1+'What-If Analysis'!F331)</f>
        <v>379.45</v>
      </c>
      <c r="AE316" s="41">
        <f>W316*(1+'What-If Analysis'!$F$18)</f>
        <v>15.209999999999999</v>
      </c>
      <c r="AF316" s="42">
        <f t="shared" si="63"/>
        <v>10273.279653</v>
      </c>
      <c r="AG316" s="42">
        <f t="shared" si="64"/>
        <v>5771.4344999999994</v>
      </c>
      <c r="AH316" s="42">
        <f t="shared" si="65"/>
        <v>4501.8451530000002</v>
      </c>
      <c r="AI316" s="44">
        <f t="shared" si="66"/>
        <v>0.4382091508319228</v>
      </c>
      <c r="AJ316" s="42">
        <f t="shared" si="67"/>
        <v>1492.6987529999988</v>
      </c>
      <c r="AK316" s="42">
        <f t="shared" si="68"/>
        <v>3847.7309000000014</v>
      </c>
      <c r="AL316" s="9">
        <f t="shared" si="69"/>
        <v>0</v>
      </c>
      <c r="AM316" s="42"/>
    </row>
    <row r="317" spans="1:39" x14ac:dyDescent="0.25">
      <c r="A317" t="s">
        <v>330</v>
      </c>
      <c r="B317" s="20">
        <v>45052</v>
      </c>
      <c r="C317" s="4">
        <v>45060</v>
      </c>
      <c r="D317" s="4" t="s">
        <v>1442</v>
      </c>
      <c r="E317" s="4">
        <v>45060</v>
      </c>
      <c r="F317" s="11">
        <f t="shared" si="56"/>
        <v>8</v>
      </c>
      <c r="G317" s="11" t="str">
        <f t="shared" si="59"/>
        <v>Does not Meet Target</v>
      </c>
      <c r="H317" t="s">
        <v>647</v>
      </c>
      <c r="I317" t="s">
        <v>652</v>
      </c>
      <c r="J317" t="s">
        <v>666</v>
      </c>
      <c r="K317" t="s">
        <v>706</v>
      </c>
      <c r="L317" t="s">
        <v>709</v>
      </c>
      <c r="M317" t="s">
        <v>717</v>
      </c>
      <c r="N317" t="s">
        <v>730</v>
      </c>
      <c r="O317" t="str" cm="1">
        <f t="array" ref="O317">_xlfn.IFS(S317&lt;=_xlfn.PERCENTILE.INC(IF(N317:N947=N317, S317:S947), 0.33), "Low", S317&lt;=_xlfn.PERCENTILE.INC(IF(N317:N947=N317, S317:S947), 0.66), "Medium", S317 &gt; _xlfn.PERCENTILE.INC(IF(N317:N947=N317, S317:S947), 0.66), "High")</f>
        <v>Low</v>
      </c>
      <c r="P317" t="s">
        <v>1050</v>
      </c>
      <c r="Q317" s="6">
        <v>291.18</v>
      </c>
      <c r="R317" s="6">
        <v>479.54</v>
      </c>
      <c r="S317" s="6">
        <v>479.54</v>
      </c>
      <c r="T317" s="9">
        <v>0.14099999999999999</v>
      </c>
      <c r="U317" s="9">
        <f>IF(T317&gt;0.3, $AO$4, T317)</f>
        <v>0.14099999999999999</v>
      </c>
      <c r="V317" s="7" t="str">
        <f t="shared" si="60"/>
        <v>Less than 20%</v>
      </c>
      <c r="W317" s="11">
        <v>22</v>
      </c>
      <c r="X317" s="6">
        <f t="shared" si="57"/>
        <v>9062.34692</v>
      </c>
      <c r="Y317" s="6">
        <f t="shared" si="58"/>
        <v>6405.96</v>
      </c>
      <c r="Z317" s="6">
        <f t="shared" si="61"/>
        <v>2656.3869199999999</v>
      </c>
      <c r="AA317" s="9">
        <f t="shared" si="62"/>
        <v>0.29312350801066001</v>
      </c>
      <c r="AB317" s="9">
        <f>IF(U317&gt;'What-If Analysis'!$F$16, 'What-If Analysis'!$F$16,T317)</f>
        <v>0.14099999999999999</v>
      </c>
      <c r="AC317" s="42">
        <f>S317*(1-AB317)</f>
        <v>411.92486000000002</v>
      </c>
      <c r="AD317" s="42">
        <f>Q317*(1+'What-If Analysis'!F332)</f>
        <v>291.18</v>
      </c>
      <c r="AE317" s="41">
        <f>W317*(1+'What-If Analysis'!$F$18)</f>
        <v>25.74</v>
      </c>
      <c r="AF317" s="42">
        <f t="shared" si="63"/>
        <v>10602.9458964</v>
      </c>
      <c r="AG317" s="42">
        <f t="shared" si="64"/>
        <v>7494.9731999999995</v>
      </c>
      <c r="AH317" s="42">
        <f t="shared" si="65"/>
        <v>3107.972696400001</v>
      </c>
      <c r="AI317" s="44">
        <f t="shared" si="66"/>
        <v>0.29312350801066006</v>
      </c>
      <c r="AJ317" s="42">
        <f t="shared" si="67"/>
        <v>1540.5989764000005</v>
      </c>
      <c r="AK317" s="42">
        <f t="shared" si="68"/>
        <v>2656.3869199999999</v>
      </c>
      <c r="AL317" s="9">
        <f t="shared" si="69"/>
        <v>0</v>
      </c>
      <c r="AM317" s="42"/>
    </row>
    <row r="318" spans="1:39" x14ac:dyDescent="0.25">
      <c r="A318" t="s">
        <v>331</v>
      </c>
      <c r="B318" s="20">
        <v>45244</v>
      </c>
      <c r="C318" s="4">
        <v>45260</v>
      </c>
      <c r="D318" s="4" t="s">
        <v>1438</v>
      </c>
      <c r="E318" s="4">
        <v>45260</v>
      </c>
      <c r="F318" s="11">
        <f t="shared" si="56"/>
        <v>16</v>
      </c>
      <c r="G318" s="11" t="str">
        <f t="shared" si="59"/>
        <v>Does not Meet Target</v>
      </c>
      <c r="H318" t="s">
        <v>648</v>
      </c>
      <c r="I318" t="s">
        <v>655</v>
      </c>
      <c r="J318" t="s">
        <v>670</v>
      </c>
      <c r="K318" t="s">
        <v>706</v>
      </c>
      <c r="L318" t="s">
        <v>711</v>
      </c>
      <c r="M318" t="s">
        <v>723</v>
      </c>
      <c r="N318" t="s">
        <v>729</v>
      </c>
      <c r="O318" t="str" cm="1">
        <f t="array" ref="O318">_xlfn.IFS(S318&lt;=_xlfn.PERCENTILE.INC(IF(N318:N948=N318, S318:S948), 0.33), "Low", S318&lt;=_xlfn.PERCENTILE.INC(IF(N318:N948=N318, S318:S948), 0.66), "Medium", S318 &gt; _xlfn.PERCENTILE.INC(IF(N318:N948=N318, S318:S948), 0.66), "High")</f>
        <v>Medium</v>
      </c>
      <c r="P318" t="s">
        <v>1051</v>
      </c>
      <c r="Q318" s="6">
        <v>1017.92</v>
      </c>
      <c r="R318" s="6">
        <v>1175.25</v>
      </c>
      <c r="S318" s="6">
        <v>1175.25</v>
      </c>
      <c r="T318" s="9">
        <v>7.4999999999999997E-2</v>
      </c>
      <c r="U318" s="9">
        <f>IF(T318&gt;0.3, $AO$4, T318)</f>
        <v>7.4999999999999997E-2</v>
      </c>
      <c r="V318" s="7" t="str">
        <f t="shared" si="60"/>
        <v>Less than 20%</v>
      </c>
      <c r="W318" s="11">
        <v>15</v>
      </c>
      <c r="X318" s="6">
        <f t="shared" si="57"/>
        <v>16306.59375</v>
      </c>
      <c r="Y318" s="6">
        <f t="shared" si="58"/>
        <v>15268.8</v>
      </c>
      <c r="Z318" s="6">
        <f t="shared" si="61"/>
        <v>1037.7937500000007</v>
      </c>
      <c r="AA318" s="9">
        <f t="shared" si="62"/>
        <v>6.3642583234159542E-2</v>
      </c>
      <c r="AB318" s="9">
        <f>IF(U318&gt;'What-If Analysis'!$F$16, 'What-If Analysis'!$F$16,T318)</f>
        <v>7.4999999999999997E-2</v>
      </c>
      <c r="AC318" s="42">
        <f>S318*(1-AB318)</f>
        <v>1087.10625</v>
      </c>
      <c r="AD318" s="42">
        <f>Q318*(1+'What-If Analysis'!F333)</f>
        <v>1017.92</v>
      </c>
      <c r="AE318" s="41">
        <f>W318*(1+'What-If Analysis'!$F$18)</f>
        <v>17.549999999999997</v>
      </c>
      <c r="AF318" s="42">
        <f t="shared" si="63"/>
        <v>19078.714687499996</v>
      </c>
      <c r="AG318" s="42">
        <f t="shared" si="64"/>
        <v>17864.495999999996</v>
      </c>
      <c r="AH318" s="42">
        <f t="shared" si="65"/>
        <v>1214.2186875000007</v>
      </c>
      <c r="AI318" s="44">
        <f t="shared" si="66"/>
        <v>6.3642583234159542E-2</v>
      </c>
      <c r="AJ318" s="42">
        <f t="shared" si="67"/>
        <v>2772.1209374999962</v>
      </c>
      <c r="AK318" s="42">
        <f t="shared" si="68"/>
        <v>1037.7937500000007</v>
      </c>
      <c r="AL318" s="9">
        <f t="shared" si="69"/>
        <v>0</v>
      </c>
      <c r="AM318" s="42"/>
    </row>
    <row r="319" spans="1:39" x14ac:dyDescent="0.25">
      <c r="A319" t="s">
        <v>332</v>
      </c>
      <c r="B319" s="20">
        <v>45748</v>
      </c>
      <c r="C319" s="4">
        <v>45774</v>
      </c>
      <c r="D319" s="4" t="s">
        <v>1440</v>
      </c>
      <c r="E319" s="4">
        <v>45774</v>
      </c>
      <c r="F319" s="11">
        <f t="shared" si="56"/>
        <v>26</v>
      </c>
      <c r="G319" s="11" t="str">
        <f t="shared" si="59"/>
        <v>Does not Meet Target</v>
      </c>
      <c r="H319" t="s">
        <v>648</v>
      </c>
      <c r="I319" t="s">
        <v>660</v>
      </c>
      <c r="J319" t="s">
        <v>686</v>
      </c>
      <c r="K319" t="s">
        <v>701</v>
      </c>
      <c r="L319" t="s">
        <v>711</v>
      </c>
      <c r="M319" t="s">
        <v>714</v>
      </c>
      <c r="N319" t="s">
        <v>732</v>
      </c>
      <c r="O319" t="str" cm="1">
        <f t="array" ref="O319">_xlfn.IFS(S319&lt;=_xlfn.PERCENTILE.INC(IF(N319:N949=N319, S319:S949), 0.33), "Low", S319&lt;=_xlfn.PERCENTILE.INC(IF(N319:N949=N319, S319:S949), 0.66), "Medium", S319 &gt; _xlfn.PERCENTILE.INC(IF(N319:N949=N319, S319:S949), 0.66), "High")</f>
        <v>Low</v>
      </c>
      <c r="P319" t="s">
        <v>1052</v>
      </c>
      <c r="Q319" s="6">
        <v>156.55000000000001</v>
      </c>
      <c r="R319" s="6">
        <v>227.45</v>
      </c>
      <c r="S319" s="6">
        <v>227.45</v>
      </c>
      <c r="T319" s="9">
        <v>1.4E-2</v>
      </c>
      <c r="U319" s="9">
        <f>IF(T319&gt;0.3, $AO$4, T319)</f>
        <v>1.4E-2</v>
      </c>
      <c r="V319" s="7" t="str">
        <f t="shared" si="60"/>
        <v>Less than 20%</v>
      </c>
      <c r="W319" s="11">
        <v>13</v>
      </c>
      <c r="X319" s="6">
        <f t="shared" si="57"/>
        <v>2915.4540999999999</v>
      </c>
      <c r="Y319" s="6">
        <f t="shared" si="58"/>
        <v>2035.15</v>
      </c>
      <c r="Z319" s="6">
        <f t="shared" si="61"/>
        <v>880.30409999999983</v>
      </c>
      <c r="AA319" s="9">
        <f t="shared" si="62"/>
        <v>0.3019440779396938</v>
      </c>
      <c r="AB319" s="9">
        <f>IF(U319&gt;'What-If Analysis'!$F$16, 'What-If Analysis'!$F$16,T319)</f>
        <v>1.4E-2</v>
      </c>
      <c r="AC319" s="42">
        <f>S319*(1-AB319)</f>
        <v>224.26569999999998</v>
      </c>
      <c r="AD319" s="42">
        <f>Q319*(1+'What-If Analysis'!F334)</f>
        <v>156.55000000000001</v>
      </c>
      <c r="AE319" s="41">
        <f>W319*(1+'What-If Analysis'!$F$18)</f>
        <v>15.209999999999999</v>
      </c>
      <c r="AF319" s="42">
        <f t="shared" si="63"/>
        <v>3411.0812969999997</v>
      </c>
      <c r="AG319" s="42">
        <f t="shared" si="64"/>
        <v>2381.1255000000001</v>
      </c>
      <c r="AH319" s="42">
        <f t="shared" si="65"/>
        <v>1029.9557969999996</v>
      </c>
      <c r="AI319" s="44">
        <f t="shared" si="66"/>
        <v>0.30194407793969374</v>
      </c>
      <c r="AJ319" s="42">
        <f t="shared" si="67"/>
        <v>495.6271969999998</v>
      </c>
      <c r="AK319" s="42">
        <f t="shared" si="68"/>
        <v>880.30409999999983</v>
      </c>
      <c r="AL319" s="9">
        <f t="shared" si="69"/>
        <v>0</v>
      </c>
      <c r="AM319" s="42"/>
    </row>
    <row r="320" spans="1:39" x14ac:dyDescent="0.25">
      <c r="A320" t="s">
        <v>333</v>
      </c>
      <c r="B320" s="20">
        <v>45008</v>
      </c>
      <c r="C320" s="4">
        <v>45031</v>
      </c>
      <c r="D320" s="4" t="s">
        <v>1436</v>
      </c>
      <c r="E320" s="4">
        <v>45031</v>
      </c>
      <c r="F320" s="11">
        <f t="shared" si="56"/>
        <v>23</v>
      </c>
      <c r="G320" s="11" t="str">
        <f t="shared" si="59"/>
        <v>Does not Meet Target</v>
      </c>
      <c r="H320" t="s">
        <v>646</v>
      </c>
      <c r="I320" t="s">
        <v>650</v>
      </c>
      <c r="J320" t="s">
        <v>675</v>
      </c>
      <c r="K320" t="s">
        <v>705</v>
      </c>
      <c r="L320" t="s">
        <v>707</v>
      </c>
      <c r="M320" t="s">
        <v>712</v>
      </c>
      <c r="N320" t="s">
        <v>733</v>
      </c>
      <c r="O320" t="str" cm="1">
        <f t="array" ref="O320">_xlfn.IFS(S320&lt;=_xlfn.PERCENTILE.INC(IF(N320:N950=N320, S320:S950), 0.33), "Low", S320&lt;=_xlfn.PERCENTILE.INC(IF(N320:N950=N320, S320:S950), 0.66), "Medium", S320 &gt; _xlfn.PERCENTILE.INC(IF(N320:N950=N320, S320:S950), 0.66), "High")</f>
        <v>Medium</v>
      </c>
      <c r="P320" t="s">
        <v>1053</v>
      </c>
      <c r="Q320" s="6">
        <v>875.36</v>
      </c>
      <c r="R320" s="6">
        <v>1178.6199999999999</v>
      </c>
      <c r="S320" s="6">
        <v>1178.6199999999999</v>
      </c>
      <c r="T320" s="9">
        <v>0.151</v>
      </c>
      <c r="U320" s="9">
        <f>IF(T320&gt;0.3, $AO$4, T320)</f>
        <v>0.151</v>
      </c>
      <c r="V320" s="7" t="str">
        <f t="shared" si="60"/>
        <v>Less than 20%</v>
      </c>
      <c r="W320" s="11">
        <v>53</v>
      </c>
      <c r="X320" s="6">
        <f t="shared" si="57"/>
        <v>53034.364139999991</v>
      </c>
      <c r="Y320" s="6">
        <f t="shared" si="58"/>
        <v>46394.080000000002</v>
      </c>
      <c r="Z320" s="6">
        <f t="shared" si="61"/>
        <v>6640.2841399999888</v>
      </c>
      <c r="AA320" s="9">
        <f t="shared" si="62"/>
        <v>0.12520719815685888</v>
      </c>
      <c r="AB320" s="9">
        <f>IF(U320&gt;'What-If Analysis'!$F$16, 'What-If Analysis'!$F$16,T320)</f>
        <v>0.151</v>
      </c>
      <c r="AC320" s="42">
        <f>S320*(1-AB320)</f>
        <v>1000.6483799999999</v>
      </c>
      <c r="AD320" s="42">
        <f>Q320*(1+'What-If Analysis'!F335)</f>
        <v>875.36</v>
      </c>
      <c r="AE320" s="41">
        <f>W320*(1+'What-If Analysis'!$F$18)</f>
        <v>62.01</v>
      </c>
      <c r="AF320" s="42">
        <f t="shared" si="63"/>
        <v>62050.20604379999</v>
      </c>
      <c r="AG320" s="42">
        <f t="shared" si="64"/>
        <v>54281.073599999996</v>
      </c>
      <c r="AH320" s="42">
        <f t="shared" si="65"/>
        <v>7769.1324437999938</v>
      </c>
      <c r="AI320" s="44">
        <f t="shared" si="66"/>
        <v>0.12520719815685899</v>
      </c>
      <c r="AJ320" s="42">
        <f t="shared" si="67"/>
        <v>9015.8419037999993</v>
      </c>
      <c r="AK320" s="42">
        <f t="shared" si="68"/>
        <v>6640.2841399999888</v>
      </c>
      <c r="AL320" s="9">
        <f t="shared" si="69"/>
        <v>0</v>
      </c>
      <c r="AM320" s="42"/>
    </row>
    <row r="321" spans="1:39" x14ac:dyDescent="0.25">
      <c r="A321" t="s">
        <v>334</v>
      </c>
      <c r="B321" s="20">
        <v>45440</v>
      </c>
      <c r="C321" s="4">
        <v>45461</v>
      </c>
      <c r="D321" s="4" t="s">
        <v>1439</v>
      </c>
      <c r="E321" s="4">
        <v>45461</v>
      </c>
      <c r="F321" s="11">
        <f t="shared" si="56"/>
        <v>21</v>
      </c>
      <c r="G321" s="11" t="str">
        <f t="shared" si="59"/>
        <v>Does not Meet Target</v>
      </c>
      <c r="H321" t="s">
        <v>649</v>
      </c>
      <c r="I321" t="s">
        <v>656</v>
      </c>
      <c r="J321" t="s">
        <v>698</v>
      </c>
      <c r="K321" t="s">
        <v>705</v>
      </c>
      <c r="L321" t="s">
        <v>708</v>
      </c>
      <c r="M321" t="s">
        <v>718</v>
      </c>
      <c r="N321" t="s">
        <v>730</v>
      </c>
      <c r="O321" t="str" cm="1">
        <f t="array" ref="O321">_xlfn.IFS(S321&lt;=_xlfn.PERCENTILE.INC(IF(N321:N951=N321, S321:S951), 0.33), "Low", S321&lt;=_xlfn.PERCENTILE.INC(IF(N321:N951=N321, S321:S951), 0.66), "Medium", S321 &gt; _xlfn.PERCENTILE.INC(IF(N321:N951=N321, S321:S951), 0.66), "High")</f>
        <v>High</v>
      </c>
      <c r="P321" t="s">
        <v>1054</v>
      </c>
      <c r="Q321" s="6">
        <v>986.85</v>
      </c>
      <c r="R321" s="6">
        <v>2422.1</v>
      </c>
      <c r="S321" s="6">
        <v>2422.1</v>
      </c>
      <c r="T321" s="9">
        <v>7.5999999999999998E-2</v>
      </c>
      <c r="U321" s="9">
        <f>IF(T321&gt;0.3, $AO$4, T321)</f>
        <v>7.5999999999999998E-2</v>
      </c>
      <c r="V321" s="7" t="str">
        <f t="shared" si="60"/>
        <v>Less than 20%</v>
      </c>
      <c r="W321" s="11">
        <v>10</v>
      </c>
      <c r="X321" s="6">
        <f t="shared" si="57"/>
        <v>22380.204000000002</v>
      </c>
      <c r="Y321" s="6">
        <f t="shared" si="58"/>
        <v>9868.5</v>
      </c>
      <c r="Z321" s="6">
        <f t="shared" si="61"/>
        <v>12511.704000000002</v>
      </c>
      <c r="AA321" s="9">
        <f t="shared" si="62"/>
        <v>0.55905227673527913</v>
      </c>
      <c r="AB321" s="9">
        <f>IF(U321&gt;'What-If Analysis'!$F$16, 'What-If Analysis'!$F$16,T321)</f>
        <v>7.5999999999999998E-2</v>
      </c>
      <c r="AC321" s="42">
        <f>S321*(1-AB321)</f>
        <v>2238.0203999999999</v>
      </c>
      <c r="AD321" s="42">
        <f>Q321*(1+'What-If Analysis'!F336)</f>
        <v>986.85</v>
      </c>
      <c r="AE321" s="41">
        <f>W321*(1+'What-If Analysis'!$F$18)</f>
        <v>11.7</v>
      </c>
      <c r="AF321" s="42">
        <f t="shared" si="63"/>
        <v>26184.838679999997</v>
      </c>
      <c r="AG321" s="42">
        <f t="shared" si="64"/>
        <v>11546.145</v>
      </c>
      <c r="AH321" s="42">
        <f t="shared" si="65"/>
        <v>14638.693679999997</v>
      </c>
      <c r="AI321" s="44">
        <f t="shared" si="66"/>
        <v>0.55905227673527902</v>
      </c>
      <c r="AJ321" s="42">
        <f t="shared" si="67"/>
        <v>3804.6346799999956</v>
      </c>
      <c r="AK321" s="42">
        <f t="shared" si="68"/>
        <v>12511.704000000002</v>
      </c>
      <c r="AL321" s="9">
        <f t="shared" si="69"/>
        <v>0</v>
      </c>
      <c r="AM321" s="42"/>
    </row>
    <row r="322" spans="1:39" x14ac:dyDescent="0.25">
      <c r="A322" t="s">
        <v>335</v>
      </c>
      <c r="B322" s="20">
        <v>45293</v>
      </c>
      <c r="C322" s="4">
        <v>45292</v>
      </c>
      <c r="D322" s="4" t="s">
        <v>1434</v>
      </c>
      <c r="E322" s="4">
        <v>45312</v>
      </c>
      <c r="F322" s="11">
        <f t="shared" ref="F322:F385" si="70">E322-B322</f>
        <v>19</v>
      </c>
      <c r="G322" s="11" t="str">
        <f t="shared" si="59"/>
        <v>Does not Meet Target</v>
      </c>
      <c r="H322" t="s">
        <v>648</v>
      </c>
      <c r="I322" t="s">
        <v>660</v>
      </c>
      <c r="J322" t="s">
        <v>677</v>
      </c>
      <c r="K322" t="s">
        <v>702</v>
      </c>
      <c r="L322" t="s">
        <v>709</v>
      </c>
      <c r="M322" t="s">
        <v>717</v>
      </c>
      <c r="N322" t="s">
        <v>729</v>
      </c>
      <c r="O322" t="str" cm="1">
        <f t="array" ref="O322">_xlfn.IFS(S322&lt;=_xlfn.PERCENTILE.INC(IF(N322:N952=N322, S322:S952), 0.33), "Low", S322&lt;=_xlfn.PERCENTILE.INC(IF(N322:N952=N322, S322:S952), 0.66), "Medium", S322 &gt; _xlfn.PERCENTILE.INC(IF(N322:N952=N322, S322:S952), 0.66), "High")</f>
        <v>Low</v>
      </c>
      <c r="P322" t="s">
        <v>1055</v>
      </c>
      <c r="Q322" s="6">
        <v>404.77</v>
      </c>
      <c r="R322" s="6">
        <v>433.88</v>
      </c>
      <c r="S322" s="6">
        <v>433.88</v>
      </c>
      <c r="T322" s="9">
        <v>0.215</v>
      </c>
      <c r="U322" s="9">
        <f>IF(T322&gt;0.3, $AO$4, T322)</f>
        <v>0.215</v>
      </c>
      <c r="V322" s="7" t="str">
        <f t="shared" si="60"/>
        <v>Greater than 20%</v>
      </c>
      <c r="W322" s="11">
        <v>22</v>
      </c>
      <c r="X322" s="6">
        <f t="shared" ref="X322:X385" si="71">S322*W322*(1-U322)</f>
        <v>7493.1076000000012</v>
      </c>
      <c r="Y322" s="6">
        <f t="shared" ref="Y322:Y385" si="72">Q322*W322</f>
        <v>8904.9399999999987</v>
      </c>
      <c r="Z322" s="6">
        <f t="shared" si="61"/>
        <v>-1411.8323999999975</v>
      </c>
      <c r="AA322" s="9">
        <f t="shared" si="62"/>
        <v>-0.18841747314558746</v>
      </c>
      <c r="AB322" s="9">
        <f>IF(U322&gt;'What-If Analysis'!$F$16, 'What-If Analysis'!$F$16,T322)</f>
        <v>0.17</v>
      </c>
      <c r="AC322" s="42">
        <f>S322*(1-AB322)</f>
        <v>360.12039999999996</v>
      </c>
      <c r="AD322" s="42">
        <f>Q322*(1+'What-If Analysis'!F337)</f>
        <v>404.77</v>
      </c>
      <c r="AE322" s="41">
        <f>W322*(1+'What-If Analysis'!$F$18)</f>
        <v>25.74</v>
      </c>
      <c r="AF322" s="42">
        <f t="shared" si="63"/>
        <v>9269.4990959999977</v>
      </c>
      <c r="AG322" s="42">
        <f t="shared" si="64"/>
        <v>10418.779799999998</v>
      </c>
      <c r="AH322" s="42">
        <f t="shared" si="65"/>
        <v>-1149.2807040000007</v>
      </c>
      <c r="AI322" s="44">
        <f t="shared" si="66"/>
        <v>-0.12398520050516448</v>
      </c>
      <c r="AJ322" s="42">
        <f t="shared" si="67"/>
        <v>1776.3914959999966</v>
      </c>
      <c r="AK322" s="42">
        <f t="shared" si="68"/>
        <v>-1411.8323999999975</v>
      </c>
      <c r="AL322" s="9">
        <f t="shared" si="69"/>
        <v>6.4432272640422977E-2</v>
      </c>
      <c r="AM322" s="42"/>
    </row>
    <row r="323" spans="1:39" x14ac:dyDescent="0.25">
      <c r="A323" t="s">
        <v>336</v>
      </c>
      <c r="B323" s="20">
        <v>44985</v>
      </c>
      <c r="C323" s="4">
        <v>44984</v>
      </c>
      <c r="D323" s="4" t="s">
        <v>1436</v>
      </c>
      <c r="E323" s="4">
        <v>45004</v>
      </c>
      <c r="F323" s="11">
        <f t="shared" si="70"/>
        <v>19</v>
      </c>
      <c r="G323" s="11" t="str">
        <f t="shared" ref="G323:G386" si="73">IF(F323&lt;=7, "Meets Target", "Does not Meet Target")</f>
        <v>Does not Meet Target</v>
      </c>
      <c r="H323" t="s">
        <v>649</v>
      </c>
      <c r="I323" t="s">
        <v>657</v>
      </c>
      <c r="J323" t="s">
        <v>673</v>
      </c>
      <c r="K323" t="s">
        <v>701</v>
      </c>
      <c r="L323" t="s">
        <v>707</v>
      </c>
      <c r="M323" t="s">
        <v>723</v>
      </c>
      <c r="N323" t="s">
        <v>729</v>
      </c>
      <c r="O323" t="str" cm="1">
        <f t="array" ref="O323">_xlfn.IFS(S323&lt;=_xlfn.PERCENTILE.INC(IF(N323:N953=N323, S323:S953), 0.33), "Low", S323&lt;=_xlfn.PERCENTILE.INC(IF(N323:N953=N323, S323:S953), 0.66), "Medium", S323 &gt; _xlfn.PERCENTILE.INC(IF(N323:N953=N323, S323:S953), 0.66), "High")</f>
        <v>High</v>
      </c>
      <c r="P323" t="s">
        <v>1056</v>
      </c>
      <c r="Q323" s="6">
        <v>1299.81</v>
      </c>
      <c r="R323" s="6">
        <v>3149.13</v>
      </c>
      <c r="S323" s="6">
        <v>3149.13</v>
      </c>
      <c r="T323" s="9">
        <v>0.10299999999999999</v>
      </c>
      <c r="U323" s="9">
        <f>IF(T323&gt;0.3, $AO$4, T323)</f>
        <v>0.10299999999999999</v>
      </c>
      <c r="V323" s="7" t="str">
        <f t="shared" ref="V323:V386" si="74">IF(U323&gt;20%, "Greater than 20%", "Less than 20%")</f>
        <v>Less than 20%</v>
      </c>
      <c r="W323" s="11">
        <v>14</v>
      </c>
      <c r="X323" s="6">
        <f t="shared" si="71"/>
        <v>39546.774539999999</v>
      </c>
      <c r="Y323" s="6">
        <f t="shared" si="72"/>
        <v>18197.34</v>
      </c>
      <c r="Z323" s="6">
        <f t="shared" ref="Z323:Z386" si="75">X323-Y323</f>
        <v>21349.434539999998</v>
      </c>
      <c r="AA323" s="9">
        <f t="shared" ref="AA323:AA386" si="76">IF(X323=0, 0, Z323/X323)</f>
        <v>0.53985273864511729</v>
      </c>
      <c r="AB323" s="9">
        <f>IF(U323&gt;'What-If Analysis'!$F$16, 'What-If Analysis'!$F$16,T323)</f>
        <v>0.10299999999999999</v>
      </c>
      <c r="AC323" s="42">
        <f>S323*(1-AB323)</f>
        <v>2824.7696100000003</v>
      </c>
      <c r="AD323" s="42">
        <f>Q323*(1+'What-If Analysis'!F338)</f>
        <v>1299.81</v>
      </c>
      <c r="AE323" s="41">
        <f>W323*(1+'What-If Analysis'!$F$18)</f>
        <v>16.38</v>
      </c>
      <c r="AF323" s="42">
        <f t="shared" ref="AF323:AF386" si="77">AC323*AE323</f>
        <v>46269.7262118</v>
      </c>
      <c r="AG323" s="42">
        <f t="shared" ref="AG323:AG386" si="78">AD323*AE323</f>
        <v>21290.887799999997</v>
      </c>
      <c r="AH323" s="42">
        <f t="shared" ref="AH323:AH386" si="79">AF323-AG323</f>
        <v>24978.838411800003</v>
      </c>
      <c r="AI323" s="44">
        <f t="shared" ref="AI323:AI386" si="80">IF(AF323=0, 0, AH323/AF323)</f>
        <v>0.5398527386451174</v>
      </c>
      <c r="AJ323" s="42">
        <f t="shared" ref="AJ323:AJ386" si="81">AF323-X323</f>
        <v>6722.9516718000013</v>
      </c>
      <c r="AK323" s="42">
        <f t="shared" ref="AK323:AK386" si="82">Z323</f>
        <v>21349.434539999998</v>
      </c>
      <c r="AL323" s="9">
        <f t="shared" ref="AL323:AL386" si="83">AI323-AA323</f>
        <v>0</v>
      </c>
      <c r="AM323" s="42"/>
    </row>
    <row r="324" spans="1:39" x14ac:dyDescent="0.25">
      <c r="A324" t="s">
        <v>337</v>
      </c>
      <c r="B324" s="20">
        <v>45340</v>
      </c>
      <c r="C324" s="4">
        <v>45362</v>
      </c>
      <c r="D324" s="4" t="s">
        <v>1434</v>
      </c>
      <c r="E324" s="4">
        <v>45362</v>
      </c>
      <c r="F324" s="11">
        <f t="shared" si="70"/>
        <v>22</v>
      </c>
      <c r="G324" s="11" t="str">
        <f t="shared" si="73"/>
        <v>Does not Meet Target</v>
      </c>
      <c r="H324" t="s">
        <v>648</v>
      </c>
      <c r="I324" t="s">
        <v>655</v>
      </c>
      <c r="J324" t="s">
        <v>670</v>
      </c>
      <c r="K324" t="s">
        <v>704</v>
      </c>
      <c r="L324" t="s">
        <v>708</v>
      </c>
      <c r="M324" t="s">
        <v>720</v>
      </c>
      <c r="N324" t="s">
        <v>727</v>
      </c>
      <c r="O324" t="str" cm="1">
        <f t="array" ref="O324">_xlfn.IFS(S324&lt;=_xlfn.PERCENTILE.INC(IF(N324:N954=N324, S324:S954), 0.33), "Low", S324&lt;=_xlfn.PERCENTILE.INC(IF(N324:N954=N324, S324:S954), 0.66), "Medium", S324 &gt; _xlfn.PERCENTILE.INC(IF(N324:N954=N324, S324:S954), 0.66), "High")</f>
        <v>Low</v>
      </c>
      <c r="P324" t="s">
        <v>1057</v>
      </c>
      <c r="Q324" s="6">
        <v>80.48</v>
      </c>
      <c r="R324" s="6">
        <v>65.650000000000006</v>
      </c>
      <c r="S324" s="6">
        <v>65.650000000000006</v>
      </c>
      <c r="T324" s="9">
        <v>0.17599999999999999</v>
      </c>
      <c r="U324" s="9">
        <f>IF(T324&gt;0.3, $AO$4, T324)</f>
        <v>0.17599999999999999</v>
      </c>
      <c r="V324" s="7" t="str">
        <f t="shared" si="74"/>
        <v>Less than 20%</v>
      </c>
      <c r="W324" s="11">
        <v>13</v>
      </c>
      <c r="X324" s="6">
        <f t="shared" si="71"/>
        <v>703.2428000000001</v>
      </c>
      <c r="Y324" s="6">
        <f t="shared" si="72"/>
        <v>1046.24</v>
      </c>
      <c r="Z324" s="6">
        <f t="shared" si="75"/>
        <v>-342.99719999999991</v>
      </c>
      <c r="AA324" s="9">
        <f t="shared" si="76"/>
        <v>-0.48773652570634191</v>
      </c>
      <c r="AB324" s="9">
        <f>IF(U324&gt;'What-If Analysis'!$F$16, 'What-If Analysis'!$F$16,T324)</f>
        <v>0.17</v>
      </c>
      <c r="AC324" s="42">
        <f>S324*(1-AB324)</f>
        <v>54.4895</v>
      </c>
      <c r="AD324" s="42">
        <f>Q324*(1+'What-If Analysis'!F339)</f>
        <v>80.48</v>
      </c>
      <c r="AE324" s="41">
        <f>W324*(1+'What-If Analysis'!$F$18)</f>
        <v>15.209999999999999</v>
      </c>
      <c r="AF324" s="42">
        <f t="shared" si="77"/>
        <v>828.78529499999991</v>
      </c>
      <c r="AG324" s="42">
        <f t="shared" si="78"/>
        <v>1224.1007999999999</v>
      </c>
      <c r="AH324" s="42">
        <f t="shared" si="79"/>
        <v>-395.31550500000003</v>
      </c>
      <c r="AI324" s="44">
        <f t="shared" si="80"/>
        <v>-0.4769818038337662</v>
      </c>
      <c r="AJ324" s="42">
        <f t="shared" si="81"/>
        <v>125.5424949999998</v>
      </c>
      <c r="AK324" s="42">
        <f t="shared" si="82"/>
        <v>-342.99719999999991</v>
      </c>
      <c r="AL324" s="9">
        <f t="shared" si="83"/>
        <v>1.0754721872575701E-2</v>
      </c>
      <c r="AM324" s="42"/>
    </row>
    <row r="325" spans="1:39" x14ac:dyDescent="0.25">
      <c r="A325" t="s">
        <v>338</v>
      </c>
      <c r="B325" s="20">
        <v>45544</v>
      </c>
      <c r="C325" s="4">
        <v>45573</v>
      </c>
      <c r="D325" s="4" t="s">
        <v>1443</v>
      </c>
      <c r="E325" s="4">
        <v>45573</v>
      </c>
      <c r="F325" s="11">
        <f t="shared" si="70"/>
        <v>29</v>
      </c>
      <c r="G325" s="11" t="str">
        <f t="shared" si="73"/>
        <v>Does not Meet Target</v>
      </c>
      <c r="H325" t="s">
        <v>648</v>
      </c>
      <c r="I325" t="s">
        <v>655</v>
      </c>
      <c r="J325" t="s">
        <v>670</v>
      </c>
      <c r="K325" t="s">
        <v>702</v>
      </c>
      <c r="L325" t="s">
        <v>711</v>
      </c>
      <c r="M325" t="s">
        <v>713</v>
      </c>
      <c r="N325" t="s">
        <v>727</v>
      </c>
      <c r="O325" t="str" cm="1">
        <f t="array" ref="O325">_xlfn.IFS(S325&lt;=_xlfn.PERCENTILE.INC(IF(N325:N955=N325, S325:S955), 0.33), "Low", S325&lt;=_xlfn.PERCENTILE.INC(IF(N325:N955=N325, S325:S955), 0.66), "Medium", S325 &gt; _xlfn.PERCENTILE.INC(IF(N325:N955=N325, S325:S955), 0.66), "High")</f>
        <v>High</v>
      </c>
      <c r="P325" t="s">
        <v>1058</v>
      </c>
      <c r="Q325" s="6">
        <v>1010.33</v>
      </c>
      <c r="R325" s="6">
        <v>2492.14</v>
      </c>
      <c r="S325" s="6">
        <v>2492.14</v>
      </c>
      <c r="T325" s="9">
        <v>5.0999999999999997E-2</v>
      </c>
      <c r="U325" s="9">
        <f>IF(T325&gt;0.3, $AO$4, T325)</f>
        <v>5.0999999999999997E-2</v>
      </c>
      <c r="V325" s="7" t="str">
        <f t="shared" si="74"/>
        <v>Less than 20%</v>
      </c>
      <c r="W325" s="11">
        <v>11</v>
      </c>
      <c r="X325" s="6">
        <f t="shared" si="71"/>
        <v>26015.449459999996</v>
      </c>
      <c r="Y325" s="6">
        <f t="shared" si="72"/>
        <v>11113.630000000001</v>
      </c>
      <c r="Z325" s="6">
        <f t="shared" si="75"/>
        <v>14901.819459999995</v>
      </c>
      <c r="AA325" s="9">
        <f t="shared" si="76"/>
        <v>0.57280653493656752</v>
      </c>
      <c r="AB325" s="9">
        <f>IF(U325&gt;'What-If Analysis'!$F$16, 'What-If Analysis'!$F$16,T325)</f>
        <v>5.0999999999999997E-2</v>
      </c>
      <c r="AC325" s="42">
        <f>S325*(1-AB325)</f>
        <v>2365.0408599999996</v>
      </c>
      <c r="AD325" s="42">
        <f>Q325*(1+'What-If Analysis'!F340)</f>
        <v>1010.33</v>
      </c>
      <c r="AE325" s="41">
        <f>W325*(1+'What-If Analysis'!$F$18)</f>
        <v>12.87</v>
      </c>
      <c r="AF325" s="42">
        <f t="shared" si="77"/>
        <v>30438.075868199994</v>
      </c>
      <c r="AG325" s="42">
        <f t="shared" si="78"/>
        <v>13002.947099999999</v>
      </c>
      <c r="AH325" s="42">
        <f t="shared" si="79"/>
        <v>17435.128768199997</v>
      </c>
      <c r="AI325" s="44">
        <f t="shared" si="80"/>
        <v>0.57280653493656764</v>
      </c>
      <c r="AJ325" s="42">
        <f t="shared" si="81"/>
        <v>4422.626408199998</v>
      </c>
      <c r="AK325" s="42">
        <f t="shared" si="82"/>
        <v>14901.819459999995</v>
      </c>
      <c r="AL325" s="9">
        <f t="shared" si="83"/>
        <v>0</v>
      </c>
      <c r="AM325" s="42"/>
    </row>
    <row r="326" spans="1:39" x14ac:dyDescent="0.25">
      <c r="A326" t="s">
        <v>339</v>
      </c>
      <c r="B326" s="20">
        <v>45053</v>
      </c>
      <c r="C326" s="4">
        <v>45075</v>
      </c>
      <c r="D326" s="4" t="s">
        <v>1442</v>
      </c>
      <c r="E326" s="4">
        <v>45075</v>
      </c>
      <c r="F326" s="11">
        <f t="shared" si="70"/>
        <v>22</v>
      </c>
      <c r="G326" s="11" t="str">
        <f t="shared" si="73"/>
        <v>Does not Meet Target</v>
      </c>
      <c r="H326" t="s">
        <v>646</v>
      </c>
      <c r="I326" t="s">
        <v>661</v>
      </c>
      <c r="J326" t="s">
        <v>687</v>
      </c>
      <c r="K326" t="s">
        <v>702</v>
      </c>
      <c r="L326" t="s">
        <v>710</v>
      </c>
      <c r="M326" t="s">
        <v>723</v>
      </c>
      <c r="N326" t="s">
        <v>733</v>
      </c>
      <c r="O326" t="str" cm="1">
        <f t="array" ref="O326">_xlfn.IFS(S326&lt;=_xlfn.PERCENTILE.INC(IF(N326:N956=N326, S326:S956), 0.33), "Low", S326&lt;=_xlfn.PERCENTILE.INC(IF(N326:N956=N326, S326:S956), 0.66), "Medium", S326 &gt; _xlfn.PERCENTILE.INC(IF(N326:N956=N326, S326:S956), 0.66), "High")</f>
        <v>Medium</v>
      </c>
      <c r="P326" t="s">
        <v>1059</v>
      </c>
      <c r="Q326" s="6">
        <v>653.86</v>
      </c>
      <c r="R326" s="6">
        <v>931.84</v>
      </c>
      <c r="S326" s="6">
        <v>931.84</v>
      </c>
      <c r="T326" s="9">
        <v>0.121</v>
      </c>
      <c r="U326" s="9">
        <f>IF(T326&gt;0.3, $AO$4, T326)</f>
        <v>0.121</v>
      </c>
      <c r="V326" s="7" t="str">
        <f t="shared" si="74"/>
        <v>Less than 20%</v>
      </c>
      <c r="W326" s="11">
        <v>12</v>
      </c>
      <c r="X326" s="6">
        <f t="shared" si="71"/>
        <v>9829.0483199999999</v>
      </c>
      <c r="Y326" s="6">
        <f t="shared" si="72"/>
        <v>7846.32</v>
      </c>
      <c r="Z326" s="6">
        <f t="shared" si="75"/>
        <v>1982.7283200000002</v>
      </c>
      <c r="AA326" s="9">
        <f t="shared" si="76"/>
        <v>0.20172129136506273</v>
      </c>
      <c r="AB326" s="9">
        <f>IF(U326&gt;'What-If Analysis'!$F$16, 'What-If Analysis'!$F$16,T326)</f>
        <v>0.121</v>
      </c>
      <c r="AC326" s="42">
        <f>S326*(1-AB326)</f>
        <v>819.08735999999999</v>
      </c>
      <c r="AD326" s="42">
        <f>Q326*(1+'What-If Analysis'!F341)</f>
        <v>653.86</v>
      </c>
      <c r="AE326" s="41">
        <f>W326*(1+'What-If Analysis'!$F$18)</f>
        <v>14.04</v>
      </c>
      <c r="AF326" s="42">
        <f t="shared" si="77"/>
        <v>11499.986534399999</v>
      </c>
      <c r="AG326" s="42">
        <f t="shared" si="78"/>
        <v>9180.1944000000003</v>
      </c>
      <c r="AH326" s="42">
        <f t="shared" si="79"/>
        <v>2319.7921343999988</v>
      </c>
      <c r="AI326" s="44">
        <f t="shared" si="80"/>
        <v>0.20172129136506262</v>
      </c>
      <c r="AJ326" s="42">
        <f t="shared" si="81"/>
        <v>1670.9382143999992</v>
      </c>
      <c r="AK326" s="42">
        <f t="shared" si="82"/>
        <v>1982.7283200000002</v>
      </c>
      <c r="AL326" s="9">
        <f t="shared" si="83"/>
        <v>0</v>
      </c>
      <c r="AM326" s="42"/>
    </row>
    <row r="327" spans="1:39" x14ac:dyDescent="0.25">
      <c r="A327" t="s">
        <v>340</v>
      </c>
      <c r="B327" s="20">
        <v>45303</v>
      </c>
      <c r="C327" s="4">
        <v>45320</v>
      </c>
      <c r="D327" s="4" t="s">
        <v>1434</v>
      </c>
      <c r="E327" s="4">
        <v>45320</v>
      </c>
      <c r="F327" s="11">
        <f t="shared" si="70"/>
        <v>17</v>
      </c>
      <c r="G327" s="11" t="str">
        <f t="shared" si="73"/>
        <v>Does not Meet Target</v>
      </c>
      <c r="H327" t="s">
        <v>647</v>
      </c>
      <c r="I327" t="s">
        <v>654</v>
      </c>
      <c r="J327" t="s">
        <v>696</v>
      </c>
      <c r="K327" t="s">
        <v>705</v>
      </c>
      <c r="L327" t="s">
        <v>711</v>
      </c>
      <c r="M327" t="s">
        <v>717</v>
      </c>
      <c r="N327" t="s">
        <v>727</v>
      </c>
      <c r="O327" t="str" cm="1">
        <f t="array" ref="O327">_xlfn.IFS(S327&lt;=_xlfn.PERCENTILE.INC(IF(N327:N957=N327, S327:S957), 0.33), "Low", S327&lt;=_xlfn.PERCENTILE.INC(IF(N327:N957=N327, S327:S957), 0.66), "Medium", S327 &gt; _xlfn.PERCENTILE.INC(IF(N327:N957=N327, S327:S957), 0.66), "High")</f>
        <v>Low</v>
      </c>
      <c r="P327" t="s">
        <v>1060</v>
      </c>
      <c r="Q327" s="6">
        <v>310.02</v>
      </c>
      <c r="R327" s="6">
        <v>619.51</v>
      </c>
      <c r="S327" s="6">
        <v>619.51</v>
      </c>
      <c r="T327" s="9">
        <v>4.2000000000000003E-2</v>
      </c>
      <c r="U327" s="9">
        <f>IF(T327&gt;0.3, $AO$4, T327)</f>
        <v>4.2000000000000003E-2</v>
      </c>
      <c r="V327" s="7" t="str">
        <f t="shared" si="74"/>
        <v>Less than 20%</v>
      </c>
      <c r="W327" s="11">
        <v>4</v>
      </c>
      <c r="X327" s="6">
        <f t="shared" si="71"/>
        <v>2373.9623200000001</v>
      </c>
      <c r="Y327" s="6">
        <f t="shared" si="72"/>
        <v>1240.08</v>
      </c>
      <c r="Z327" s="6">
        <f t="shared" si="75"/>
        <v>1133.8823200000002</v>
      </c>
      <c r="AA327" s="9">
        <f t="shared" si="76"/>
        <v>0.47763282106347843</v>
      </c>
      <c r="AB327" s="9">
        <f>IF(U327&gt;'What-If Analysis'!$F$16, 'What-If Analysis'!$F$16,T327)</f>
        <v>4.2000000000000003E-2</v>
      </c>
      <c r="AC327" s="42">
        <f>S327*(1-AB327)</f>
        <v>593.49058000000002</v>
      </c>
      <c r="AD327" s="42">
        <f>Q327*(1+'What-If Analysis'!F342)</f>
        <v>310.02</v>
      </c>
      <c r="AE327" s="41">
        <f>W327*(1+'What-If Analysis'!$F$18)</f>
        <v>4.68</v>
      </c>
      <c r="AF327" s="42">
        <f t="shared" si="77"/>
        <v>2777.5359143999999</v>
      </c>
      <c r="AG327" s="42">
        <f t="shared" si="78"/>
        <v>1450.8935999999999</v>
      </c>
      <c r="AH327" s="42">
        <f t="shared" si="79"/>
        <v>1326.6423144</v>
      </c>
      <c r="AI327" s="44">
        <f t="shared" si="80"/>
        <v>0.47763282106347843</v>
      </c>
      <c r="AJ327" s="42">
        <f t="shared" si="81"/>
        <v>403.57359439999982</v>
      </c>
      <c r="AK327" s="42">
        <f t="shared" si="82"/>
        <v>1133.8823200000002</v>
      </c>
      <c r="AL327" s="9">
        <f t="shared" si="83"/>
        <v>0</v>
      </c>
      <c r="AM327" s="42"/>
    </row>
    <row r="328" spans="1:39" x14ac:dyDescent="0.25">
      <c r="A328" t="s">
        <v>341</v>
      </c>
      <c r="B328" s="20">
        <v>45087</v>
      </c>
      <c r="C328" s="4">
        <v>45095</v>
      </c>
      <c r="D328" s="4" t="s">
        <v>1442</v>
      </c>
      <c r="E328" s="4">
        <v>45095</v>
      </c>
      <c r="F328" s="11">
        <f t="shared" si="70"/>
        <v>8</v>
      </c>
      <c r="G328" s="11" t="str">
        <f t="shared" si="73"/>
        <v>Does not Meet Target</v>
      </c>
      <c r="H328" t="s">
        <v>646</v>
      </c>
      <c r="I328" t="s">
        <v>650</v>
      </c>
      <c r="J328" t="s">
        <v>678</v>
      </c>
      <c r="K328" t="s">
        <v>706</v>
      </c>
      <c r="L328" t="s">
        <v>711</v>
      </c>
      <c r="M328" t="s">
        <v>722</v>
      </c>
      <c r="N328" t="s">
        <v>730</v>
      </c>
      <c r="O328" t="str" cm="1">
        <f t="array" ref="O328">_xlfn.IFS(S328&lt;=_xlfn.PERCENTILE.INC(IF(N328:N958=N328, S328:S958), 0.33), "Low", S328&lt;=_xlfn.PERCENTILE.INC(IF(N328:N958=N328, S328:S958), 0.66), "Medium", S328 &gt; _xlfn.PERCENTILE.INC(IF(N328:N958=N328, S328:S958), 0.66), "High")</f>
        <v>Medium</v>
      </c>
      <c r="P328" t="s">
        <v>1061</v>
      </c>
      <c r="Q328" s="6">
        <v>894.23</v>
      </c>
      <c r="R328" s="6">
        <v>1421.55</v>
      </c>
      <c r="S328" s="6">
        <v>1421.55</v>
      </c>
      <c r="T328" s="9">
        <v>0.109</v>
      </c>
      <c r="U328" s="9">
        <f>IF(T328&gt;0.3, $AO$4, T328)</f>
        <v>0.109</v>
      </c>
      <c r="V328" s="7" t="str">
        <f t="shared" si="74"/>
        <v>Less than 20%</v>
      </c>
      <c r="W328" s="11">
        <v>3</v>
      </c>
      <c r="X328" s="6">
        <f t="shared" si="71"/>
        <v>3799.8031499999997</v>
      </c>
      <c r="Y328" s="6">
        <f t="shared" si="72"/>
        <v>2682.69</v>
      </c>
      <c r="Z328" s="6">
        <f t="shared" si="75"/>
        <v>1117.1131499999997</v>
      </c>
      <c r="AA328" s="9">
        <f t="shared" si="76"/>
        <v>0.29399237431549574</v>
      </c>
      <c r="AB328" s="9">
        <f>IF(U328&gt;'What-If Analysis'!$F$16, 'What-If Analysis'!$F$16,T328)</f>
        <v>0.109</v>
      </c>
      <c r="AC328" s="42">
        <f>S328*(1-AB328)</f>
        <v>1266.60105</v>
      </c>
      <c r="AD328" s="42">
        <f>Q328*(1+'What-If Analysis'!F343)</f>
        <v>894.23</v>
      </c>
      <c r="AE328" s="41">
        <f>W328*(1+'What-If Analysis'!$F$18)</f>
        <v>3.51</v>
      </c>
      <c r="AF328" s="42">
        <f t="shared" si="77"/>
        <v>4445.7696854999995</v>
      </c>
      <c r="AG328" s="42">
        <f t="shared" si="78"/>
        <v>3138.7473</v>
      </c>
      <c r="AH328" s="42">
        <f t="shared" si="79"/>
        <v>1307.0223854999995</v>
      </c>
      <c r="AI328" s="44">
        <f t="shared" si="80"/>
        <v>0.29399237431549569</v>
      </c>
      <c r="AJ328" s="42">
        <f t="shared" si="81"/>
        <v>645.96653549999974</v>
      </c>
      <c r="AK328" s="42">
        <f t="shared" si="82"/>
        <v>1117.1131499999997</v>
      </c>
      <c r="AL328" s="9">
        <f t="shared" si="83"/>
        <v>0</v>
      </c>
      <c r="AM328" s="42"/>
    </row>
    <row r="329" spans="1:39" x14ac:dyDescent="0.25">
      <c r="A329" t="s">
        <v>342</v>
      </c>
      <c r="B329" s="20">
        <v>45796</v>
      </c>
      <c r="C329" s="4">
        <v>45794</v>
      </c>
      <c r="D329" s="4" t="s">
        <v>1440</v>
      </c>
      <c r="E329" s="4">
        <v>45814</v>
      </c>
      <c r="F329" s="11">
        <f t="shared" si="70"/>
        <v>18</v>
      </c>
      <c r="G329" s="11" t="str">
        <f t="shared" si="73"/>
        <v>Does not Meet Target</v>
      </c>
      <c r="H329" t="s">
        <v>648</v>
      </c>
      <c r="I329" t="s">
        <v>655</v>
      </c>
      <c r="J329" t="s">
        <v>670</v>
      </c>
      <c r="K329" t="s">
        <v>705</v>
      </c>
      <c r="L329" t="s">
        <v>710</v>
      </c>
      <c r="M329" t="s">
        <v>716</v>
      </c>
      <c r="N329" t="s">
        <v>732</v>
      </c>
      <c r="O329" t="str" cm="1">
        <f t="array" ref="O329">_xlfn.IFS(S329&lt;=_xlfn.PERCENTILE.INC(IF(N329:N959=N329, S329:S959), 0.33), "Low", S329&lt;=_xlfn.PERCENTILE.INC(IF(N329:N959=N329, S329:S959), 0.66), "Medium", S329 &gt; _xlfn.PERCENTILE.INC(IF(N329:N959=N329, S329:S959), 0.66), "High")</f>
        <v>Medium</v>
      </c>
      <c r="P329" t="s">
        <v>1062</v>
      </c>
      <c r="Q329" s="6">
        <v>383.77</v>
      </c>
      <c r="R329" s="6">
        <v>952.56</v>
      </c>
      <c r="S329" s="6">
        <v>952.56</v>
      </c>
      <c r="T329" s="9">
        <v>0.34599999999999997</v>
      </c>
      <c r="U329" s="9">
        <f>IF(T329&gt;0.3, $AO$4, T329)</f>
        <v>0.12</v>
      </c>
      <c r="V329" s="7" t="str">
        <f t="shared" si="74"/>
        <v>Less than 20%</v>
      </c>
      <c r="W329" s="11">
        <v>10</v>
      </c>
      <c r="X329" s="6">
        <f t="shared" si="71"/>
        <v>8382.5279999999984</v>
      </c>
      <c r="Y329" s="6">
        <f t="shared" si="72"/>
        <v>3837.7</v>
      </c>
      <c r="Z329" s="6">
        <f t="shared" si="75"/>
        <v>4544.8279999999986</v>
      </c>
      <c r="AA329" s="9">
        <f t="shared" si="76"/>
        <v>0.54217868404376335</v>
      </c>
      <c r="AB329" s="9">
        <f>IF(U329&gt;'What-If Analysis'!$F$16, 'What-If Analysis'!$F$16,T329)</f>
        <v>0.34599999999999997</v>
      </c>
      <c r="AC329" s="42">
        <f>S329*(1-AB329)</f>
        <v>622.97424000000001</v>
      </c>
      <c r="AD329" s="42">
        <f>Q329*(1+'What-If Analysis'!F344)</f>
        <v>383.77</v>
      </c>
      <c r="AE329" s="41">
        <f>W329*(1+'What-If Analysis'!$F$18)</f>
        <v>11.7</v>
      </c>
      <c r="AF329" s="42">
        <f t="shared" si="77"/>
        <v>7288.7986080000001</v>
      </c>
      <c r="AG329" s="42">
        <f t="shared" si="78"/>
        <v>4490.1089999999995</v>
      </c>
      <c r="AH329" s="42">
        <f t="shared" si="79"/>
        <v>2798.6896080000006</v>
      </c>
      <c r="AI329" s="44">
        <f t="shared" si="80"/>
        <v>0.38397131797937589</v>
      </c>
      <c r="AJ329" s="42">
        <f t="shared" si="81"/>
        <v>-1093.7293919999984</v>
      </c>
      <c r="AK329" s="42">
        <f t="shared" si="82"/>
        <v>4544.8279999999986</v>
      </c>
      <c r="AL329" s="9">
        <f t="shared" si="83"/>
        <v>-0.15820736606438746</v>
      </c>
      <c r="AM329" s="42"/>
    </row>
    <row r="330" spans="1:39" x14ac:dyDescent="0.25">
      <c r="A330" t="s">
        <v>343</v>
      </c>
      <c r="B330" s="20">
        <v>45221</v>
      </c>
      <c r="C330" s="4">
        <v>45246</v>
      </c>
      <c r="D330" s="4" t="s">
        <v>1438</v>
      </c>
      <c r="E330" s="4">
        <v>45246</v>
      </c>
      <c r="F330" s="11">
        <f t="shared" si="70"/>
        <v>25</v>
      </c>
      <c r="G330" s="11" t="str">
        <f t="shared" si="73"/>
        <v>Does not Meet Target</v>
      </c>
      <c r="H330" t="s">
        <v>648</v>
      </c>
      <c r="I330" t="s">
        <v>653</v>
      </c>
      <c r="J330" t="s">
        <v>667</v>
      </c>
      <c r="K330" t="s">
        <v>705</v>
      </c>
      <c r="L330" t="s">
        <v>709</v>
      </c>
      <c r="M330" t="s">
        <v>714</v>
      </c>
      <c r="N330" t="s">
        <v>731</v>
      </c>
      <c r="O330" t="str" cm="1">
        <f t="array" ref="O330">_xlfn.IFS(S330&lt;=_xlfn.PERCENTILE.INC(IF(N330:N960=N330, S330:S960), 0.33), "Low", S330&lt;=_xlfn.PERCENTILE.INC(IF(N330:N960=N330, S330:S960), 0.66), "Medium", S330 &gt; _xlfn.PERCENTILE.INC(IF(N330:N960=N330, S330:S960), 0.66), "High")</f>
        <v>High</v>
      </c>
      <c r="P330" t="s">
        <v>1063</v>
      </c>
      <c r="Q330" s="6">
        <v>1373.31</v>
      </c>
      <c r="R330" s="6">
        <v>3154.14</v>
      </c>
      <c r="S330" s="6">
        <v>3154.14</v>
      </c>
      <c r="T330" s="9">
        <v>0.2</v>
      </c>
      <c r="U330" s="9">
        <f>IF(T330&gt;0.3, $AO$4, T330)</f>
        <v>0.2</v>
      </c>
      <c r="V330" s="7" t="str">
        <f t="shared" si="74"/>
        <v>Less than 20%</v>
      </c>
      <c r="W330" s="11">
        <v>11</v>
      </c>
      <c r="X330" s="6">
        <f t="shared" si="71"/>
        <v>27756.432000000001</v>
      </c>
      <c r="Y330" s="6">
        <f t="shared" si="72"/>
        <v>15106.41</v>
      </c>
      <c r="Z330" s="6">
        <f t="shared" si="75"/>
        <v>12650.022000000001</v>
      </c>
      <c r="AA330" s="9">
        <f t="shared" si="76"/>
        <v>0.45575101295440279</v>
      </c>
      <c r="AB330" s="9">
        <f>IF(U330&gt;'What-If Analysis'!$F$16, 'What-If Analysis'!$F$16,T330)</f>
        <v>0.17</v>
      </c>
      <c r="AC330" s="42">
        <f>S330*(1-AB330)</f>
        <v>2617.9361999999996</v>
      </c>
      <c r="AD330" s="42">
        <f>Q330*(1+'What-If Analysis'!F345)</f>
        <v>1373.31</v>
      </c>
      <c r="AE330" s="41">
        <f>W330*(1+'What-If Analysis'!$F$18)</f>
        <v>12.87</v>
      </c>
      <c r="AF330" s="42">
        <f t="shared" si="77"/>
        <v>33692.838893999993</v>
      </c>
      <c r="AG330" s="42">
        <f t="shared" si="78"/>
        <v>17674.499699999997</v>
      </c>
      <c r="AH330" s="42">
        <f t="shared" si="79"/>
        <v>16018.339193999996</v>
      </c>
      <c r="AI330" s="44">
        <f t="shared" si="80"/>
        <v>0.475422663088581</v>
      </c>
      <c r="AJ330" s="42">
        <f t="shared" si="81"/>
        <v>5936.4068939999925</v>
      </c>
      <c r="AK330" s="42">
        <f t="shared" si="82"/>
        <v>12650.022000000001</v>
      </c>
      <c r="AL330" s="9">
        <f t="shared" si="83"/>
        <v>1.9671650134178209E-2</v>
      </c>
      <c r="AM330" s="42"/>
    </row>
    <row r="331" spans="1:39" x14ac:dyDescent="0.25">
      <c r="A331" t="s">
        <v>344</v>
      </c>
      <c r="B331" s="20">
        <v>45668</v>
      </c>
      <c r="C331" s="4">
        <v>45680</v>
      </c>
      <c r="D331" s="4" t="s">
        <v>1437</v>
      </c>
      <c r="E331" s="4">
        <v>45680</v>
      </c>
      <c r="F331" s="11">
        <f t="shared" si="70"/>
        <v>12</v>
      </c>
      <c r="G331" s="11" t="str">
        <f t="shared" si="73"/>
        <v>Does not Meet Target</v>
      </c>
      <c r="H331" t="s">
        <v>648</v>
      </c>
      <c r="I331" t="s">
        <v>660</v>
      </c>
      <c r="J331" t="s">
        <v>697</v>
      </c>
      <c r="K331" t="s">
        <v>704</v>
      </c>
      <c r="L331" t="s">
        <v>710</v>
      </c>
      <c r="M331" t="s">
        <v>722</v>
      </c>
      <c r="N331" t="s">
        <v>730</v>
      </c>
      <c r="O331" t="str" cm="1">
        <f t="array" ref="O331">_xlfn.IFS(S331&lt;=_xlfn.PERCENTILE.INC(IF(N331:N961=N331, S331:S961), 0.33), "Low", S331&lt;=_xlfn.PERCENTILE.INC(IF(N331:N961=N331, S331:S961), 0.66), "Medium", S331 &gt; _xlfn.PERCENTILE.INC(IF(N331:N961=N331, S331:S961), 0.66), "High")</f>
        <v>Low</v>
      </c>
      <c r="P331" t="s">
        <v>1064</v>
      </c>
      <c r="Q331" s="6">
        <v>100.69</v>
      </c>
      <c r="R331" s="6">
        <v>226.14</v>
      </c>
      <c r="S331" s="6">
        <v>226.14</v>
      </c>
      <c r="T331" s="9">
        <v>6.5000000000000002E-2</v>
      </c>
      <c r="U331" s="9">
        <f>IF(T331&gt;0.3, $AO$4, T331)</f>
        <v>6.5000000000000002E-2</v>
      </c>
      <c r="V331" s="7" t="str">
        <f t="shared" si="74"/>
        <v>Less than 20%</v>
      </c>
      <c r="W331" s="11">
        <v>12</v>
      </c>
      <c r="X331" s="6">
        <f t="shared" si="71"/>
        <v>2537.2908000000002</v>
      </c>
      <c r="Y331" s="6">
        <f t="shared" si="72"/>
        <v>1208.28</v>
      </c>
      <c r="Z331" s="6">
        <f t="shared" si="75"/>
        <v>1329.0108000000002</v>
      </c>
      <c r="AA331" s="9">
        <f t="shared" si="76"/>
        <v>0.52379128162999689</v>
      </c>
      <c r="AB331" s="9">
        <f>IF(U331&gt;'What-If Analysis'!$F$16, 'What-If Analysis'!$F$16,T331)</f>
        <v>6.5000000000000002E-2</v>
      </c>
      <c r="AC331" s="42">
        <f>S331*(1-AB331)</f>
        <v>211.4409</v>
      </c>
      <c r="AD331" s="42">
        <f>Q331*(1+'What-If Analysis'!F346)</f>
        <v>100.69</v>
      </c>
      <c r="AE331" s="41">
        <f>W331*(1+'What-If Analysis'!$F$18)</f>
        <v>14.04</v>
      </c>
      <c r="AF331" s="42">
        <f t="shared" si="77"/>
        <v>2968.630236</v>
      </c>
      <c r="AG331" s="42">
        <f t="shared" si="78"/>
        <v>1413.6876</v>
      </c>
      <c r="AH331" s="42">
        <f t="shared" si="79"/>
        <v>1554.942636</v>
      </c>
      <c r="AI331" s="44">
        <f t="shared" si="80"/>
        <v>0.52379128162999689</v>
      </c>
      <c r="AJ331" s="42">
        <f t="shared" si="81"/>
        <v>431.33943599999975</v>
      </c>
      <c r="AK331" s="42">
        <f t="shared" si="82"/>
        <v>1329.0108000000002</v>
      </c>
      <c r="AL331" s="9">
        <f t="shared" si="83"/>
        <v>0</v>
      </c>
      <c r="AM331" s="42"/>
    </row>
    <row r="332" spans="1:39" x14ac:dyDescent="0.25">
      <c r="A332" t="s">
        <v>345</v>
      </c>
      <c r="B332" s="20">
        <v>45914</v>
      </c>
      <c r="C332" s="4">
        <v>45926</v>
      </c>
      <c r="D332" s="4" t="s">
        <v>1441</v>
      </c>
      <c r="E332" s="4">
        <v>45926</v>
      </c>
      <c r="F332" s="11">
        <f t="shared" si="70"/>
        <v>12</v>
      </c>
      <c r="G332" s="11" t="str">
        <f t="shared" si="73"/>
        <v>Does not Meet Target</v>
      </c>
      <c r="H332" t="s">
        <v>649</v>
      </c>
      <c r="I332" t="s">
        <v>658</v>
      </c>
      <c r="J332" t="s">
        <v>683</v>
      </c>
      <c r="K332" t="s">
        <v>705</v>
      </c>
      <c r="L332" t="s">
        <v>711</v>
      </c>
      <c r="M332" t="s">
        <v>725</v>
      </c>
      <c r="N332" t="s">
        <v>729</v>
      </c>
      <c r="O332" t="str" cm="1">
        <f t="array" ref="O332">_xlfn.IFS(S332&lt;=_xlfn.PERCENTILE.INC(IF(N332:N962=N332, S332:S962), 0.33), "Low", S332&lt;=_xlfn.PERCENTILE.INC(IF(N332:N962=N332, S332:S962), 0.66), "Medium", S332 &gt; _xlfn.PERCENTILE.INC(IF(N332:N962=N332, S332:S962), 0.66), "High")</f>
        <v>Low</v>
      </c>
      <c r="P332" t="s">
        <v>1065</v>
      </c>
      <c r="Q332" s="6">
        <v>425.15</v>
      </c>
      <c r="R332" s="6">
        <v>885.92</v>
      </c>
      <c r="S332" s="6">
        <v>885.92</v>
      </c>
      <c r="T332" s="9">
        <v>0.23899999999999999</v>
      </c>
      <c r="U332" s="9">
        <f>IF(T332&gt;0.3, $AO$4, T332)</f>
        <v>0.23899999999999999</v>
      </c>
      <c r="V332" s="7" t="str">
        <f t="shared" si="74"/>
        <v>Greater than 20%</v>
      </c>
      <c r="W332" s="11">
        <v>13</v>
      </c>
      <c r="X332" s="6">
        <f t="shared" si="71"/>
        <v>8764.4065599999994</v>
      </c>
      <c r="Y332" s="6">
        <f t="shared" si="72"/>
        <v>5526.95</v>
      </c>
      <c r="Z332" s="6">
        <f t="shared" si="75"/>
        <v>3237.4565599999996</v>
      </c>
      <c r="AA332" s="9">
        <f t="shared" si="76"/>
        <v>0.3693868532725848</v>
      </c>
      <c r="AB332" s="9">
        <f>IF(U332&gt;'What-If Analysis'!$F$16, 'What-If Analysis'!$F$16,T332)</f>
        <v>0.17</v>
      </c>
      <c r="AC332" s="42">
        <f>S332*(1-AB332)</f>
        <v>735.31359999999995</v>
      </c>
      <c r="AD332" s="42">
        <f>Q332*(1+'What-If Analysis'!F347)</f>
        <v>425.15</v>
      </c>
      <c r="AE332" s="41">
        <f>W332*(1+'What-If Analysis'!$F$18)</f>
        <v>15.209999999999999</v>
      </c>
      <c r="AF332" s="42">
        <f t="shared" si="77"/>
        <v>11184.119855999999</v>
      </c>
      <c r="AG332" s="42">
        <f t="shared" si="78"/>
        <v>6466.5314999999991</v>
      </c>
      <c r="AH332" s="42">
        <f t="shared" si="79"/>
        <v>4717.5883560000002</v>
      </c>
      <c r="AI332" s="44">
        <f t="shared" si="80"/>
        <v>0.42181131968727359</v>
      </c>
      <c r="AJ332" s="42">
        <f t="shared" si="81"/>
        <v>2419.7132959999999</v>
      </c>
      <c r="AK332" s="42">
        <f t="shared" si="82"/>
        <v>3237.4565599999996</v>
      </c>
      <c r="AL332" s="9">
        <f t="shared" si="83"/>
        <v>5.2424466414688786E-2</v>
      </c>
      <c r="AM332" s="42"/>
    </row>
    <row r="333" spans="1:39" x14ac:dyDescent="0.25">
      <c r="A333" t="s">
        <v>346</v>
      </c>
      <c r="B333" s="20">
        <v>45168</v>
      </c>
      <c r="C333" s="4">
        <v>45172</v>
      </c>
      <c r="D333" s="4" t="s">
        <v>1444</v>
      </c>
      <c r="E333" s="4">
        <v>45172</v>
      </c>
      <c r="F333" s="11">
        <f t="shared" si="70"/>
        <v>4</v>
      </c>
      <c r="G333" s="11" t="str">
        <f t="shared" si="73"/>
        <v>Meets Target</v>
      </c>
      <c r="H333" t="s">
        <v>647</v>
      </c>
      <c r="I333" t="s">
        <v>654</v>
      </c>
      <c r="J333" t="s">
        <v>680</v>
      </c>
      <c r="K333" t="s">
        <v>705</v>
      </c>
      <c r="L333" t="s">
        <v>709</v>
      </c>
      <c r="M333" t="s">
        <v>716</v>
      </c>
      <c r="N333" t="s">
        <v>733</v>
      </c>
      <c r="O333" t="str" cm="1">
        <f t="array" ref="O333">_xlfn.IFS(S333&lt;=_xlfn.PERCENTILE.INC(IF(N333:N963=N333, S333:S963), 0.33), "Low", S333&lt;=_xlfn.PERCENTILE.INC(IF(N333:N963=N333, S333:S963), 0.66), "Medium", S333 &gt; _xlfn.PERCENTILE.INC(IF(N333:N963=N333, S333:S963), 0.66), "High")</f>
        <v>High</v>
      </c>
      <c r="P333" t="s">
        <v>1066</v>
      </c>
      <c r="Q333" s="6">
        <v>1082.25</v>
      </c>
      <c r="R333" s="6">
        <v>2433.34</v>
      </c>
      <c r="S333" s="6">
        <v>2433.34</v>
      </c>
      <c r="T333" s="9">
        <v>0.27</v>
      </c>
      <c r="U333" s="9">
        <f>IF(T333&gt;0.3, $AO$4, T333)</f>
        <v>0.27</v>
      </c>
      <c r="V333" s="7" t="str">
        <f t="shared" si="74"/>
        <v>Greater than 20%</v>
      </c>
      <c r="W333" s="11">
        <v>4</v>
      </c>
      <c r="X333" s="6">
        <f t="shared" si="71"/>
        <v>7105.3528000000006</v>
      </c>
      <c r="Y333" s="6">
        <f t="shared" si="72"/>
        <v>4329</v>
      </c>
      <c r="Z333" s="6">
        <f t="shared" si="75"/>
        <v>2776.3528000000006</v>
      </c>
      <c r="AA333" s="9">
        <f t="shared" si="76"/>
        <v>0.3907410199251472</v>
      </c>
      <c r="AB333" s="9">
        <f>IF(U333&gt;'What-If Analysis'!$F$16, 'What-If Analysis'!$F$16,T333)</f>
        <v>0.17</v>
      </c>
      <c r="AC333" s="42">
        <f>S333*(1-AB333)</f>
        <v>2019.6722</v>
      </c>
      <c r="AD333" s="42">
        <f>Q333*(1+'What-If Analysis'!F348)</f>
        <v>1082.25</v>
      </c>
      <c r="AE333" s="41">
        <f>W333*(1+'What-If Analysis'!$F$18)</f>
        <v>4.68</v>
      </c>
      <c r="AF333" s="42">
        <f t="shared" si="77"/>
        <v>9452.0658960000001</v>
      </c>
      <c r="AG333" s="42">
        <f t="shared" si="78"/>
        <v>5064.9299999999994</v>
      </c>
      <c r="AH333" s="42">
        <f t="shared" si="79"/>
        <v>4387.1358960000007</v>
      </c>
      <c r="AI333" s="44">
        <f t="shared" si="80"/>
        <v>0.4641457163197078</v>
      </c>
      <c r="AJ333" s="42">
        <f t="shared" si="81"/>
        <v>2346.7130959999995</v>
      </c>
      <c r="AK333" s="42">
        <f t="shared" si="82"/>
        <v>2776.3528000000006</v>
      </c>
      <c r="AL333" s="9">
        <f t="shared" si="83"/>
        <v>7.3404696394560598E-2</v>
      </c>
      <c r="AM333" s="42"/>
    </row>
    <row r="334" spans="1:39" x14ac:dyDescent="0.25">
      <c r="A334" t="s">
        <v>347</v>
      </c>
      <c r="B334" s="20">
        <v>45245</v>
      </c>
      <c r="C334" s="4">
        <v>45266</v>
      </c>
      <c r="D334" s="4" t="s">
        <v>1438</v>
      </c>
      <c r="E334" s="4">
        <v>45266</v>
      </c>
      <c r="F334" s="11">
        <f t="shared" si="70"/>
        <v>21</v>
      </c>
      <c r="G334" s="11" t="str">
        <f t="shared" si="73"/>
        <v>Does not Meet Target</v>
      </c>
      <c r="H334" t="s">
        <v>649</v>
      </c>
      <c r="I334" t="s">
        <v>658</v>
      </c>
      <c r="J334" t="s">
        <v>693</v>
      </c>
      <c r="K334" t="s">
        <v>702</v>
      </c>
      <c r="L334" t="s">
        <v>711</v>
      </c>
      <c r="M334" t="s">
        <v>722</v>
      </c>
      <c r="N334" t="s">
        <v>733</v>
      </c>
      <c r="O334" t="str" cm="1">
        <f t="array" ref="O334">_xlfn.IFS(S334&lt;=_xlfn.PERCENTILE.INC(IF(N334:N964=N334, S334:S964), 0.33), "Low", S334&lt;=_xlfn.PERCENTILE.INC(IF(N334:N964=N334, S334:S964), 0.66), "Medium", S334 &gt; _xlfn.PERCENTILE.INC(IF(N334:N964=N334, S334:S964), 0.66), "High")</f>
        <v>Medium</v>
      </c>
      <c r="P334" t="s">
        <v>1067</v>
      </c>
      <c r="Q334" s="6">
        <v>1184.99</v>
      </c>
      <c r="R334" s="6">
        <v>1154.3399999999999</v>
      </c>
      <c r="S334" s="6">
        <v>1154.3399999999999</v>
      </c>
      <c r="T334" s="9">
        <v>2.8000000000000001E-2</v>
      </c>
      <c r="U334" s="9">
        <f>IF(T334&gt;0.3, $AO$4, T334)</f>
        <v>2.8000000000000001E-2</v>
      </c>
      <c r="V334" s="7" t="str">
        <f t="shared" si="74"/>
        <v>Less than 20%</v>
      </c>
      <c r="W334" s="11">
        <v>5</v>
      </c>
      <c r="X334" s="6">
        <f t="shared" si="71"/>
        <v>5610.0923999999995</v>
      </c>
      <c r="Y334" s="6">
        <f t="shared" si="72"/>
        <v>5924.95</v>
      </c>
      <c r="Z334" s="6">
        <f t="shared" si="75"/>
        <v>-314.85760000000028</v>
      </c>
      <c r="AA334" s="9">
        <f t="shared" si="76"/>
        <v>-5.6123424990290764E-2</v>
      </c>
      <c r="AB334" s="9">
        <f>IF(U334&gt;'What-If Analysis'!$F$16, 'What-If Analysis'!$F$16,T334)</f>
        <v>2.8000000000000001E-2</v>
      </c>
      <c r="AC334" s="42">
        <f>S334*(1-AB334)</f>
        <v>1122.01848</v>
      </c>
      <c r="AD334" s="42">
        <f>Q334*(1+'What-If Analysis'!F349)</f>
        <v>1184.99</v>
      </c>
      <c r="AE334" s="41">
        <f>W334*(1+'What-If Analysis'!$F$18)</f>
        <v>5.85</v>
      </c>
      <c r="AF334" s="42">
        <f t="shared" si="77"/>
        <v>6563.8081079999993</v>
      </c>
      <c r="AG334" s="42">
        <f t="shared" si="78"/>
        <v>6932.1914999999999</v>
      </c>
      <c r="AH334" s="42">
        <f t="shared" si="79"/>
        <v>-368.38339200000064</v>
      </c>
      <c r="AI334" s="44">
        <f t="shared" si="80"/>
        <v>-5.612342499029082E-2</v>
      </c>
      <c r="AJ334" s="42">
        <f t="shared" si="81"/>
        <v>953.71570799999972</v>
      </c>
      <c r="AK334" s="42">
        <f t="shared" si="82"/>
        <v>-314.85760000000028</v>
      </c>
      <c r="AL334" s="9">
        <f t="shared" si="83"/>
        <v>-5.5511151231257827E-17</v>
      </c>
      <c r="AM334" s="42"/>
    </row>
    <row r="335" spans="1:39" x14ac:dyDescent="0.25">
      <c r="A335" t="s">
        <v>348</v>
      </c>
      <c r="B335" s="20">
        <v>45774</v>
      </c>
      <c r="C335" s="4">
        <v>45804</v>
      </c>
      <c r="D335" s="4" t="s">
        <v>1440</v>
      </c>
      <c r="E335" s="4">
        <v>45804</v>
      </c>
      <c r="F335" s="11">
        <f t="shared" si="70"/>
        <v>30</v>
      </c>
      <c r="G335" s="11" t="str">
        <f t="shared" si="73"/>
        <v>Does not Meet Target</v>
      </c>
      <c r="H335" t="s">
        <v>647</v>
      </c>
      <c r="I335" t="s">
        <v>654</v>
      </c>
      <c r="J335" t="s">
        <v>1422</v>
      </c>
      <c r="K335" t="s">
        <v>706</v>
      </c>
      <c r="L335" t="s">
        <v>709</v>
      </c>
      <c r="M335" t="s">
        <v>722</v>
      </c>
      <c r="N335" t="s">
        <v>730</v>
      </c>
      <c r="O335" t="str" cm="1">
        <f t="array" ref="O335">_xlfn.IFS(S335&lt;=_xlfn.PERCENTILE.INC(IF(N335:N965=N335, S335:S965), 0.33), "Low", S335&lt;=_xlfn.PERCENTILE.INC(IF(N335:N965=N335, S335:S965), 0.66), "Medium", S335 &gt; _xlfn.PERCENTILE.INC(IF(N335:N965=N335, S335:S965), 0.66), "High")</f>
        <v>Medium</v>
      </c>
      <c r="P335" t="s">
        <v>1068</v>
      </c>
      <c r="Q335" s="6">
        <v>481.32</v>
      </c>
      <c r="R335" s="6">
        <v>1135.99</v>
      </c>
      <c r="S335" s="6">
        <v>1135.99</v>
      </c>
      <c r="T335" s="9">
        <v>0.14499999999999999</v>
      </c>
      <c r="U335" s="9">
        <f>IF(T335&gt;0.3, $AO$4, T335)</f>
        <v>0.14499999999999999</v>
      </c>
      <c r="V335" s="7" t="str">
        <f t="shared" si="74"/>
        <v>Less than 20%</v>
      </c>
      <c r="W335" s="11">
        <v>5</v>
      </c>
      <c r="X335" s="6">
        <f t="shared" si="71"/>
        <v>4856.35725</v>
      </c>
      <c r="Y335" s="6">
        <f t="shared" si="72"/>
        <v>2406.6</v>
      </c>
      <c r="Z335" s="6">
        <f t="shared" si="75"/>
        <v>2449.7572500000001</v>
      </c>
      <c r="AA335" s="9">
        <f t="shared" si="76"/>
        <v>0.50444337677175621</v>
      </c>
      <c r="AB335" s="9">
        <f>IF(U335&gt;'What-If Analysis'!$F$16, 'What-If Analysis'!$F$16,T335)</f>
        <v>0.14499999999999999</v>
      </c>
      <c r="AC335" s="42">
        <f>S335*(1-AB335)</f>
        <v>971.27144999999996</v>
      </c>
      <c r="AD335" s="42">
        <f>Q335*(1+'What-If Analysis'!F350)</f>
        <v>481.32</v>
      </c>
      <c r="AE335" s="41">
        <f>W335*(1+'What-If Analysis'!$F$18)</f>
        <v>5.85</v>
      </c>
      <c r="AF335" s="42">
        <f t="shared" si="77"/>
        <v>5681.9379824999996</v>
      </c>
      <c r="AG335" s="42">
        <f t="shared" si="78"/>
        <v>2815.7219999999998</v>
      </c>
      <c r="AH335" s="42">
        <f t="shared" si="79"/>
        <v>2866.2159824999999</v>
      </c>
      <c r="AI335" s="44">
        <f t="shared" si="80"/>
        <v>0.50444337677175621</v>
      </c>
      <c r="AJ335" s="42">
        <f t="shared" si="81"/>
        <v>825.58073249999961</v>
      </c>
      <c r="AK335" s="42">
        <f t="shared" si="82"/>
        <v>2449.7572500000001</v>
      </c>
      <c r="AL335" s="9">
        <f t="shared" si="83"/>
        <v>0</v>
      </c>
      <c r="AM335" s="42"/>
    </row>
    <row r="336" spans="1:39" x14ac:dyDescent="0.25">
      <c r="A336" t="s">
        <v>349</v>
      </c>
      <c r="B336" s="20">
        <v>45391</v>
      </c>
      <c r="C336" s="4">
        <v>45400</v>
      </c>
      <c r="D336" s="4" t="s">
        <v>1439</v>
      </c>
      <c r="E336" s="4">
        <v>45400</v>
      </c>
      <c r="F336" s="11">
        <f t="shared" si="70"/>
        <v>9</v>
      </c>
      <c r="G336" s="11" t="str">
        <f t="shared" si="73"/>
        <v>Does not Meet Target</v>
      </c>
      <c r="H336" t="s">
        <v>649</v>
      </c>
      <c r="I336" t="s">
        <v>657</v>
      </c>
      <c r="J336" t="s">
        <v>679</v>
      </c>
      <c r="K336" t="s">
        <v>704</v>
      </c>
      <c r="L336" t="s">
        <v>708</v>
      </c>
      <c r="M336" t="s">
        <v>718</v>
      </c>
      <c r="N336" t="s">
        <v>728</v>
      </c>
      <c r="O336" t="str" cm="1">
        <f t="array" ref="O336">_xlfn.IFS(S336&lt;=_xlfn.PERCENTILE.INC(IF(N336:N966=N336, S336:S966), 0.33), "Low", S336&lt;=_xlfn.PERCENTILE.INC(IF(N336:N966=N336, S336:S966), 0.66), "Medium", S336 &gt; _xlfn.PERCENTILE.INC(IF(N336:N966=N336, S336:S966), 0.66), "High")</f>
        <v>High</v>
      </c>
      <c r="P336" t="s">
        <v>1069</v>
      </c>
      <c r="Q336" s="6">
        <v>1288.8499999999999</v>
      </c>
      <c r="R336" s="6">
        <v>2751.84</v>
      </c>
      <c r="S336" s="6">
        <v>2751.84</v>
      </c>
      <c r="T336" s="9">
        <v>0.158</v>
      </c>
      <c r="U336" s="9">
        <f>IF(T336&gt;0.3, $AO$4, T336)</f>
        <v>0.158</v>
      </c>
      <c r="V336" s="7" t="str">
        <f t="shared" si="74"/>
        <v>Less than 20%</v>
      </c>
      <c r="W336" s="11">
        <v>7</v>
      </c>
      <c r="X336" s="6">
        <f t="shared" si="71"/>
        <v>16219.34496</v>
      </c>
      <c r="Y336" s="6">
        <f t="shared" si="72"/>
        <v>9021.9499999999989</v>
      </c>
      <c r="Z336" s="6">
        <f t="shared" si="75"/>
        <v>7197.3949600000014</v>
      </c>
      <c r="AA336" s="9">
        <f t="shared" si="76"/>
        <v>0.44375373837538756</v>
      </c>
      <c r="AB336" s="9">
        <f>IF(U336&gt;'What-If Analysis'!$F$16, 'What-If Analysis'!$F$16,T336)</f>
        <v>0.158</v>
      </c>
      <c r="AC336" s="42">
        <f>S336*(1-AB336)</f>
        <v>2317.0492800000002</v>
      </c>
      <c r="AD336" s="42">
        <f>Q336*(1+'What-If Analysis'!F351)</f>
        <v>1288.8499999999999</v>
      </c>
      <c r="AE336" s="41">
        <f>W336*(1+'What-If Analysis'!$F$18)</f>
        <v>8.19</v>
      </c>
      <c r="AF336" s="42">
        <f t="shared" si="77"/>
        <v>18976.6336032</v>
      </c>
      <c r="AG336" s="42">
        <f t="shared" si="78"/>
        <v>10555.681499999999</v>
      </c>
      <c r="AH336" s="42">
        <f t="shared" si="79"/>
        <v>8420.9521032000011</v>
      </c>
      <c r="AI336" s="44">
        <f t="shared" si="80"/>
        <v>0.44375373837538756</v>
      </c>
      <c r="AJ336" s="42">
        <f t="shared" si="81"/>
        <v>2757.2886431999996</v>
      </c>
      <c r="AK336" s="42">
        <f t="shared" si="82"/>
        <v>7197.3949600000014</v>
      </c>
      <c r="AL336" s="9">
        <f t="shared" si="83"/>
        <v>0</v>
      </c>
      <c r="AM336" s="42"/>
    </row>
    <row r="337" spans="1:39" x14ac:dyDescent="0.25">
      <c r="A337" t="s">
        <v>350</v>
      </c>
      <c r="B337" s="20">
        <v>45484</v>
      </c>
      <c r="C337" s="4">
        <v>45504</v>
      </c>
      <c r="D337" s="4" t="s">
        <v>1443</v>
      </c>
      <c r="E337" s="4">
        <v>45504</v>
      </c>
      <c r="F337" s="11">
        <f t="shared" si="70"/>
        <v>20</v>
      </c>
      <c r="G337" s="11" t="str">
        <f t="shared" si="73"/>
        <v>Does not Meet Target</v>
      </c>
      <c r="H337" t="s">
        <v>647</v>
      </c>
      <c r="I337" t="s">
        <v>659</v>
      </c>
      <c r="J337" t="s">
        <v>676</v>
      </c>
      <c r="K337" t="s">
        <v>704</v>
      </c>
      <c r="L337" t="s">
        <v>708</v>
      </c>
      <c r="M337" t="s">
        <v>715</v>
      </c>
      <c r="N337" t="s">
        <v>730</v>
      </c>
      <c r="O337" t="str" cm="1">
        <f t="array" ref="O337">_xlfn.IFS(S337&lt;=_xlfn.PERCENTILE.INC(IF(N337:N967=N337, S337:S967), 0.33), "Low", S337&lt;=_xlfn.PERCENTILE.INC(IF(N337:N967=N337, S337:S967), 0.66), "Medium", S337 &gt; _xlfn.PERCENTILE.INC(IF(N337:N967=N337, S337:S967), 0.66), "High")</f>
        <v>Medium</v>
      </c>
      <c r="P337" t="s">
        <v>1070</v>
      </c>
      <c r="Q337" s="6">
        <v>647.26</v>
      </c>
      <c r="R337" s="6">
        <v>1374.72</v>
      </c>
      <c r="S337" s="6">
        <v>1374.72</v>
      </c>
      <c r="T337" s="9">
        <v>6.6000000000000003E-2</v>
      </c>
      <c r="U337" s="9">
        <f>IF(T337&gt;0.3, $AO$4, T337)</f>
        <v>6.6000000000000003E-2</v>
      </c>
      <c r="V337" s="7" t="str">
        <f t="shared" si="74"/>
        <v>Less than 20%</v>
      </c>
      <c r="W337" s="11">
        <v>22</v>
      </c>
      <c r="X337" s="6">
        <f t="shared" si="71"/>
        <v>28247.74656</v>
      </c>
      <c r="Y337" s="6">
        <f t="shared" si="72"/>
        <v>14239.72</v>
      </c>
      <c r="Z337" s="6">
        <f t="shared" si="75"/>
        <v>14008.02656</v>
      </c>
      <c r="AA337" s="9">
        <f t="shared" si="76"/>
        <v>0.49589890401508901</v>
      </c>
      <c r="AB337" s="9">
        <f>IF(U337&gt;'What-If Analysis'!$F$16, 'What-If Analysis'!$F$16,T337)</f>
        <v>6.6000000000000003E-2</v>
      </c>
      <c r="AC337" s="42">
        <f>S337*(1-AB337)</f>
        <v>1283.98848</v>
      </c>
      <c r="AD337" s="42">
        <f>Q337*(1+'What-If Analysis'!F352)</f>
        <v>647.26</v>
      </c>
      <c r="AE337" s="41">
        <f>W337*(1+'What-If Analysis'!$F$18)</f>
        <v>25.74</v>
      </c>
      <c r="AF337" s="42">
        <f t="shared" si="77"/>
        <v>33049.8634752</v>
      </c>
      <c r="AG337" s="42">
        <f t="shared" si="78"/>
        <v>16660.472399999999</v>
      </c>
      <c r="AH337" s="42">
        <f t="shared" si="79"/>
        <v>16389.391075200001</v>
      </c>
      <c r="AI337" s="44">
        <f t="shared" si="80"/>
        <v>0.49589890401508901</v>
      </c>
      <c r="AJ337" s="42">
        <f t="shared" si="81"/>
        <v>4802.1169152000002</v>
      </c>
      <c r="AK337" s="42">
        <f t="shared" si="82"/>
        <v>14008.02656</v>
      </c>
      <c r="AL337" s="9">
        <f t="shared" si="83"/>
        <v>0</v>
      </c>
      <c r="AM337" s="42"/>
    </row>
    <row r="338" spans="1:39" x14ac:dyDescent="0.25">
      <c r="A338" t="s">
        <v>351</v>
      </c>
      <c r="B338" s="20">
        <v>45340</v>
      </c>
      <c r="C338" s="4">
        <v>45354</v>
      </c>
      <c r="D338" s="4" t="s">
        <v>1434</v>
      </c>
      <c r="E338" s="4">
        <v>45354</v>
      </c>
      <c r="F338" s="11">
        <f t="shared" si="70"/>
        <v>14</v>
      </c>
      <c r="G338" s="11" t="str">
        <f t="shared" si="73"/>
        <v>Does not Meet Target</v>
      </c>
      <c r="H338" t="s">
        <v>648</v>
      </c>
      <c r="I338" t="s">
        <v>655</v>
      </c>
      <c r="J338" t="s">
        <v>1422</v>
      </c>
      <c r="K338" t="s">
        <v>706</v>
      </c>
      <c r="L338" t="s">
        <v>710</v>
      </c>
      <c r="M338" t="s">
        <v>720</v>
      </c>
      <c r="N338" t="s">
        <v>728</v>
      </c>
      <c r="O338" t="str" cm="1">
        <f t="array" ref="O338">_xlfn.IFS(S338&lt;=_xlfn.PERCENTILE.INC(IF(N338:N968=N338, S338:S968), 0.33), "Low", S338&lt;=_xlfn.PERCENTILE.INC(IF(N338:N968=N338, S338:S968), 0.66), "Medium", S338 &gt; _xlfn.PERCENTILE.INC(IF(N338:N968=N338, S338:S968), 0.66), "High")</f>
        <v>Medium</v>
      </c>
      <c r="P338" t="s">
        <v>1071</v>
      </c>
      <c r="Q338" s="6">
        <v>624.23</v>
      </c>
      <c r="R338" s="6">
        <v>1318.37</v>
      </c>
      <c r="S338" s="6">
        <v>1318.37</v>
      </c>
      <c r="T338" s="9">
        <v>0.21</v>
      </c>
      <c r="U338" s="9">
        <f>IF(T338&gt;0.3, $AO$4, T338)</f>
        <v>0.21</v>
      </c>
      <c r="V338" s="7" t="str">
        <f t="shared" si="74"/>
        <v>Greater than 20%</v>
      </c>
      <c r="W338" s="11">
        <v>37</v>
      </c>
      <c r="X338" s="6">
        <f t="shared" si="71"/>
        <v>38535.955099999999</v>
      </c>
      <c r="Y338" s="6">
        <f t="shared" si="72"/>
        <v>23096.510000000002</v>
      </c>
      <c r="Z338" s="6">
        <f t="shared" si="75"/>
        <v>15439.445099999997</v>
      </c>
      <c r="AA338" s="9">
        <f t="shared" si="76"/>
        <v>0.40065038118128793</v>
      </c>
      <c r="AB338" s="9">
        <f>IF(U338&gt;'What-If Analysis'!$F$16, 'What-If Analysis'!$F$16,T338)</f>
        <v>0.17</v>
      </c>
      <c r="AC338" s="42">
        <f>S338*(1-AB338)</f>
        <v>1094.2470999999998</v>
      </c>
      <c r="AD338" s="42">
        <f>Q338*(1+'What-If Analysis'!F353)</f>
        <v>624.23</v>
      </c>
      <c r="AE338" s="41">
        <f>W338*(1+'What-If Analysis'!$F$18)</f>
        <v>43.29</v>
      </c>
      <c r="AF338" s="42">
        <f t="shared" si="77"/>
        <v>47369.956958999988</v>
      </c>
      <c r="AG338" s="42">
        <f t="shared" si="78"/>
        <v>27022.916700000002</v>
      </c>
      <c r="AH338" s="42">
        <f t="shared" si="79"/>
        <v>20347.040258999987</v>
      </c>
      <c r="AI338" s="44">
        <f t="shared" si="80"/>
        <v>0.42953470016050288</v>
      </c>
      <c r="AJ338" s="42">
        <f t="shared" si="81"/>
        <v>8834.0018589999891</v>
      </c>
      <c r="AK338" s="42">
        <f t="shared" si="82"/>
        <v>15439.445099999997</v>
      </c>
      <c r="AL338" s="9">
        <f t="shared" si="83"/>
        <v>2.8884318979214951E-2</v>
      </c>
      <c r="AM338" s="42"/>
    </row>
    <row r="339" spans="1:39" x14ac:dyDescent="0.25">
      <c r="A339" t="s">
        <v>352</v>
      </c>
      <c r="B339" s="20">
        <v>45132</v>
      </c>
      <c r="C339" s="4">
        <v>45148</v>
      </c>
      <c r="D339" s="4" t="s">
        <v>1444</v>
      </c>
      <c r="E339" s="4">
        <v>45148</v>
      </c>
      <c r="F339" s="11">
        <f t="shared" si="70"/>
        <v>16</v>
      </c>
      <c r="G339" s="11" t="str">
        <f t="shared" si="73"/>
        <v>Does not Meet Target</v>
      </c>
      <c r="H339" t="s">
        <v>646</v>
      </c>
      <c r="I339" t="s">
        <v>651</v>
      </c>
      <c r="J339" t="s">
        <v>663</v>
      </c>
      <c r="K339" t="s">
        <v>701</v>
      </c>
      <c r="L339" t="s">
        <v>710</v>
      </c>
      <c r="M339" t="s">
        <v>714</v>
      </c>
      <c r="N339" t="s">
        <v>733</v>
      </c>
      <c r="O339" t="str" cm="1">
        <f t="array" ref="O339">_xlfn.IFS(S339&lt;=_xlfn.PERCENTILE.INC(IF(N339:N969=N339, S339:S969), 0.33), "Low", S339&lt;=_xlfn.PERCENTILE.INC(IF(N339:N969=N339, S339:S969), 0.66), "Medium", S339 &gt; _xlfn.PERCENTILE.INC(IF(N339:N969=N339, S339:S969), 0.66), "High")</f>
        <v>Low</v>
      </c>
      <c r="P339" t="s">
        <v>1072</v>
      </c>
      <c r="Q339" s="6">
        <v>506.83</v>
      </c>
      <c r="R339" s="6">
        <v>441.74</v>
      </c>
      <c r="S339" s="6">
        <v>441.74</v>
      </c>
      <c r="T339" s="9">
        <v>0.24</v>
      </c>
      <c r="U339" s="9">
        <f>IF(T339&gt;0.3, $AO$4, T339)</f>
        <v>0.24</v>
      </c>
      <c r="V339" s="7" t="str">
        <f t="shared" si="74"/>
        <v>Greater than 20%</v>
      </c>
      <c r="W339" s="11">
        <v>9</v>
      </c>
      <c r="X339" s="6">
        <f t="shared" si="71"/>
        <v>3021.5016000000001</v>
      </c>
      <c r="Y339" s="6">
        <f t="shared" si="72"/>
        <v>4561.47</v>
      </c>
      <c r="Z339" s="6">
        <f t="shared" si="75"/>
        <v>-1539.9684000000002</v>
      </c>
      <c r="AA339" s="9">
        <f t="shared" si="76"/>
        <v>-0.50966989393618067</v>
      </c>
      <c r="AB339" s="9">
        <f>IF(U339&gt;'What-If Analysis'!$F$16, 'What-If Analysis'!$F$16,T339)</f>
        <v>0.17</v>
      </c>
      <c r="AC339" s="42">
        <f>S339*(1-AB339)</f>
        <v>366.64420000000001</v>
      </c>
      <c r="AD339" s="42">
        <f>Q339*(1+'What-If Analysis'!F354)</f>
        <v>506.83</v>
      </c>
      <c r="AE339" s="41">
        <f>W339*(1+'What-If Analysis'!$F$18)</f>
        <v>10.53</v>
      </c>
      <c r="AF339" s="42">
        <f t="shared" si="77"/>
        <v>3860.763426</v>
      </c>
      <c r="AG339" s="42">
        <f t="shared" si="78"/>
        <v>5336.9198999999999</v>
      </c>
      <c r="AH339" s="42">
        <f t="shared" si="79"/>
        <v>-1476.1564739999999</v>
      </c>
      <c r="AI339" s="44">
        <f t="shared" si="80"/>
        <v>-0.38234833661626172</v>
      </c>
      <c r="AJ339" s="42">
        <f t="shared" si="81"/>
        <v>839.26182599999993</v>
      </c>
      <c r="AK339" s="42">
        <f t="shared" si="82"/>
        <v>-1539.9684000000002</v>
      </c>
      <c r="AL339" s="9">
        <f t="shared" si="83"/>
        <v>0.12732155731991895</v>
      </c>
      <c r="AM339" s="42"/>
    </row>
    <row r="340" spans="1:39" x14ac:dyDescent="0.25">
      <c r="A340" t="s">
        <v>353</v>
      </c>
      <c r="B340" s="20">
        <v>45121</v>
      </c>
      <c r="C340" s="4">
        <v>45128</v>
      </c>
      <c r="D340" s="4" t="s">
        <v>1444</v>
      </c>
      <c r="E340" s="4">
        <v>45128</v>
      </c>
      <c r="F340" s="11">
        <f t="shared" si="70"/>
        <v>7</v>
      </c>
      <c r="G340" s="11" t="str">
        <f t="shared" si="73"/>
        <v>Meets Target</v>
      </c>
      <c r="H340" t="s">
        <v>646</v>
      </c>
      <c r="I340" t="s">
        <v>661</v>
      </c>
      <c r="J340" t="s">
        <v>687</v>
      </c>
      <c r="K340" t="s">
        <v>706</v>
      </c>
      <c r="L340" t="s">
        <v>709</v>
      </c>
      <c r="M340" t="s">
        <v>1422</v>
      </c>
      <c r="N340" t="s">
        <v>732</v>
      </c>
      <c r="O340" t="str" cm="1">
        <f t="array" ref="O340">_xlfn.IFS(S340&lt;=_xlfn.PERCENTILE.INC(IF(N340:N970=N340, S340:S970), 0.33), "Low", S340&lt;=_xlfn.PERCENTILE.INC(IF(N340:N970=N340, S340:S970), 0.66), "Medium", S340 &gt; _xlfn.PERCENTILE.INC(IF(N340:N970=N340, S340:S970), 0.66), "High")</f>
        <v>Medium</v>
      </c>
      <c r="P340" t="s">
        <v>1073</v>
      </c>
      <c r="Q340" s="6">
        <v>620.74</v>
      </c>
      <c r="R340" s="6">
        <v>1330.07</v>
      </c>
      <c r="S340" s="6">
        <v>1330.07</v>
      </c>
      <c r="T340" s="9">
        <v>0.29899999999999999</v>
      </c>
      <c r="U340" s="9">
        <f>IF(T340&gt;0.3, $AO$4, T340)</f>
        <v>0.29899999999999999</v>
      </c>
      <c r="V340" s="7" t="str">
        <f t="shared" si="74"/>
        <v>Greater than 20%</v>
      </c>
      <c r="W340" s="11">
        <v>28</v>
      </c>
      <c r="X340" s="6">
        <f t="shared" si="71"/>
        <v>26106.613960000002</v>
      </c>
      <c r="Y340" s="6">
        <f t="shared" si="72"/>
        <v>17380.72</v>
      </c>
      <c r="Z340" s="6">
        <f t="shared" si="75"/>
        <v>8725.8939600000012</v>
      </c>
      <c r="AA340" s="9">
        <f t="shared" si="76"/>
        <v>0.33424073965967516</v>
      </c>
      <c r="AB340" s="9">
        <f>IF(U340&gt;'What-If Analysis'!$F$16, 'What-If Analysis'!$F$16,T340)</f>
        <v>0.17</v>
      </c>
      <c r="AC340" s="42">
        <f>S340*(1-AB340)</f>
        <v>1103.9580999999998</v>
      </c>
      <c r="AD340" s="42">
        <f>Q340*(1+'What-If Analysis'!F355)</f>
        <v>620.74</v>
      </c>
      <c r="AE340" s="41">
        <f>W340*(1+'What-If Analysis'!$F$18)</f>
        <v>32.76</v>
      </c>
      <c r="AF340" s="42">
        <f t="shared" si="77"/>
        <v>36165.667355999991</v>
      </c>
      <c r="AG340" s="42">
        <f t="shared" si="78"/>
        <v>20335.4424</v>
      </c>
      <c r="AH340" s="42">
        <f t="shared" si="79"/>
        <v>15830.224955999991</v>
      </c>
      <c r="AI340" s="44">
        <f t="shared" si="80"/>
        <v>0.43771416686919534</v>
      </c>
      <c r="AJ340" s="42">
        <f t="shared" si="81"/>
        <v>10059.053395999988</v>
      </c>
      <c r="AK340" s="42">
        <f t="shared" si="82"/>
        <v>8725.8939600000012</v>
      </c>
      <c r="AL340" s="9">
        <f t="shared" si="83"/>
        <v>0.10347342720952019</v>
      </c>
      <c r="AM340" s="42"/>
    </row>
    <row r="341" spans="1:39" x14ac:dyDescent="0.25">
      <c r="A341" t="s">
        <v>354</v>
      </c>
      <c r="B341" s="20">
        <v>45131</v>
      </c>
      <c r="C341" s="4">
        <v>45157</v>
      </c>
      <c r="D341" s="4" t="s">
        <v>1444</v>
      </c>
      <c r="E341" s="4">
        <v>45157</v>
      </c>
      <c r="F341" s="11">
        <f t="shared" si="70"/>
        <v>26</v>
      </c>
      <c r="G341" s="11" t="str">
        <f t="shared" si="73"/>
        <v>Does not Meet Target</v>
      </c>
      <c r="H341" t="s">
        <v>646</v>
      </c>
      <c r="I341" t="s">
        <v>650</v>
      </c>
      <c r="J341" t="s">
        <v>664</v>
      </c>
      <c r="K341" t="s">
        <v>706</v>
      </c>
      <c r="L341" t="s">
        <v>710</v>
      </c>
      <c r="M341" t="s">
        <v>724</v>
      </c>
      <c r="N341" t="s">
        <v>733</v>
      </c>
      <c r="O341" t="str" cm="1">
        <f t="array" ref="O341">_xlfn.IFS(S341&lt;=_xlfn.PERCENTILE.INC(IF(N341:N971=N341, S341:S971), 0.33), "Low", S341&lt;=_xlfn.PERCENTILE.INC(IF(N341:N971=N341, S341:S971), 0.66), "Medium", S341 &gt; _xlfn.PERCENTILE.INC(IF(N341:N971=N341, S341:S971), 0.66), "High")</f>
        <v>High</v>
      </c>
      <c r="P341" t="s">
        <v>1074</v>
      </c>
      <c r="Q341" s="6">
        <v>661.45</v>
      </c>
      <c r="R341" s="6">
        <v>1634.86</v>
      </c>
      <c r="S341" s="6">
        <v>1634.86</v>
      </c>
      <c r="T341" s="9">
        <v>0.56499999999999995</v>
      </c>
      <c r="U341" s="9">
        <f>IF(T341&gt;0.3, $AO$4, T341)</f>
        <v>0.12</v>
      </c>
      <c r="V341" s="7" t="str">
        <f t="shared" si="74"/>
        <v>Less than 20%</v>
      </c>
      <c r="W341" s="11">
        <v>24</v>
      </c>
      <c r="X341" s="6">
        <f t="shared" si="71"/>
        <v>34528.243199999997</v>
      </c>
      <c r="Y341" s="6">
        <f t="shared" si="72"/>
        <v>15874.800000000001</v>
      </c>
      <c r="Z341" s="6">
        <f t="shared" si="75"/>
        <v>18653.443199999994</v>
      </c>
      <c r="AA341" s="9">
        <f t="shared" si="76"/>
        <v>0.54023725134095424</v>
      </c>
      <c r="AB341" s="9">
        <f>IF(U341&gt;'What-If Analysis'!$F$16, 'What-If Analysis'!$F$16,T341)</f>
        <v>0.56499999999999995</v>
      </c>
      <c r="AC341" s="42">
        <f>S341*(1-AB341)</f>
        <v>711.16410000000008</v>
      </c>
      <c r="AD341" s="42">
        <f>Q341*(1+'What-If Analysis'!F356)</f>
        <v>661.45</v>
      </c>
      <c r="AE341" s="41">
        <f>W341*(1+'What-If Analysis'!$F$18)</f>
        <v>28.08</v>
      </c>
      <c r="AF341" s="42">
        <f t="shared" si="77"/>
        <v>19969.487928000002</v>
      </c>
      <c r="AG341" s="42">
        <f t="shared" si="78"/>
        <v>18573.516</v>
      </c>
      <c r="AH341" s="42">
        <f t="shared" si="79"/>
        <v>1395.9719280000027</v>
      </c>
      <c r="AI341" s="44">
        <f t="shared" si="80"/>
        <v>6.9905244092045835E-2</v>
      </c>
      <c r="AJ341" s="42">
        <f t="shared" si="81"/>
        <v>-14558.755271999995</v>
      </c>
      <c r="AK341" s="42">
        <f t="shared" si="82"/>
        <v>18653.443199999994</v>
      </c>
      <c r="AL341" s="9">
        <f t="shared" si="83"/>
        <v>-0.47033200724890839</v>
      </c>
      <c r="AM341" s="42"/>
    </row>
    <row r="342" spans="1:39" x14ac:dyDescent="0.25">
      <c r="A342" t="s">
        <v>355</v>
      </c>
      <c r="B342" s="20">
        <v>45029</v>
      </c>
      <c r="C342" s="4">
        <v>45027</v>
      </c>
      <c r="D342" s="4" t="s">
        <v>1442</v>
      </c>
      <c r="E342" s="4">
        <v>45047</v>
      </c>
      <c r="F342" s="11">
        <f t="shared" si="70"/>
        <v>18</v>
      </c>
      <c r="G342" s="11" t="str">
        <f t="shared" si="73"/>
        <v>Does not Meet Target</v>
      </c>
      <c r="H342" t="s">
        <v>648</v>
      </c>
      <c r="I342" t="s">
        <v>660</v>
      </c>
      <c r="J342" t="s">
        <v>686</v>
      </c>
      <c r="K342" t="s">
        <v>702</v>
      </c>
      <c r="L342" t="s">
        <v>709</v>
      </c>
      <c r="M342" t="s">
        <v>715</v>
      </c>
      <c r="N342" t="s">
        <v>729</v>
      </c>
      <c r="O342" t="str" cm="1">
        <f t="array" ref="O342">_xlfn.IFS(S342&lt;=_xlfn.PERCENTILE.INC(IF(N342:N972=N342, S342:S972), 0.33), "Low", S342&lt;=_xlfn.PERCENTILE.INC(IF(N342:N972=N342, S342:S972), 0.66), "Medium", S342 &gt; _xlfn.PERCENTILE.INC(IF(N342:N972=N342, S342:S972), 0.66), "High")</f>
        <v>Low</v>
      </c>
      <c r="P342" t="s">
        <v>1075</v>
      </c>
      <c r="Q342" s="6">
        <v>32.1</v>
      </c>
      <c r="R342" s="6">
        <v>70.599999999999994</v>
      </c>
      <c r="S342" s="6">
        <v>70.599999999999994</v>
      </c>
      <c r="T342" s="9">
        <v>0.28199999999999997</v>
      </c>
      <c r="U342" s="9">
        <f>IF(T342&gt;0.3, $AO$4, T342)</f>
        <v>0.28199999999999997</v>
      </c>
      <c r="V342" s="7" t="str">
        <f t="shared" si="74"/>
        <v>Greater than 20%</v>
      </c>
      <c r="W342" s="11">
        <v>22</v>
      </c>
      <c r="X342" s="6">
        <f t="shared" si="71"/>
        <v>1115.1975999999997</v>
      </c>
      <c r="Y342" s="6">
        <f t="shared" si="72"/>
        <v>706.2</v>
      </c>
      <c r="Z342" s="6">
        <f t="shared" si="75"/>
        <v>408.99759999999969</v>
      </c>
      <c r="AA342" s="9">
        <f t="shared" si="76"/>
        <v>0.36674899587301818</v>
      </c>
      <c r="AB342" s="9">
        <f>IF(U342&gt;'What-If Analysis'!$F$16, 'What-If Analysis'!$F$16,T342)</f>
        <v>0.17</v>
      </c>
      <c r="AC342" s="42">
        <f>S342*(1-AB342)</f>
        <v>58.597999999999992</v>
      </c>
      <c r="AD342" s="42">
        <f>Q342*(1+'What-If Analysis'!F357)</f>
        <v>32.1</v>
      </c>
      <c r="AE342" s="41">
        <f>W342*(1+'What-If Analysis'!$F$18)</f>
        <v>25.74</v>
      </c>
      <c r="AF342" s="42">
        <f t="shared" si="77"/>
        <v>1508.3125199999997</v>
      </c>
      <c r="AG342" s="42">
        <f t="shared" si="78"/>
        <v>826.25400000000002</v>
      </c>
      <c r="AH342" s="42">
        <f t="shared" si="79"/>
        <v>682.0585199999997</v>
      </c>
      <c r="AI342" s="44">
        <f t="shared" si="80"/>
        <v>0.45219973377930978</v>
      </c>
      <c r="AJ342" s="42">
        <f t="shared" si="81"/>
        <v>393.11491999999998</v>
      </c>
      <c r="AK342" s="42">
        <f t="shared" si="82"/>
        <v>408.99759999999969</v>
      </c>
      <c r="AL342" s="9">
        <f t="shared" si="83"/>
        <v>8.5450737906291596E-2</v>
      </c>
      <c r="AM342" s="42"/>
    </row>
    <row r="343" spans="1:39" x14ac:dyDescent="0.25">
      <c r="A343" t="s">
        <v>356</v>
      </c>
      <c r="B343" s="20">
        <v>45594</v>
      </c>
      <c r="C343" s="4">
        <v>45600</v>
      </c>
      <c r="D343" s="4" t="s">
        <v>1435</v>
      </c>
      <c r="E343" s="4">
        <v>45600</v>
      </c>
      <c r="F343" s="11">
        <f t="shared" si="70"/>
        <v>6</v>
      </c>
      <c r="G343" s="11" t="str">
        <f t="shared" si="73"/>
        <v>Meets Target</v>
      </c>
      <c r="H343" t="s">
        <v>646</v>
      </c>
      <c r="I343" t="s">
        <v>650</v>
      </c>
      <c r="J343" t="s">
        <v>664</v>
      </c>
      <c r="K343" t="s">
        <v>701</v>
      </c>
      <c r="L343" t="s">
        <v>710</v>
      </c>
      <c r="M343" t="s">
        <v>724</v>
      </c>
      <c r="N343" t="s">
        <v>728</v>
      </c>
      <c r="O343" t="str" cm="1">
        <f t="array" ref="O343">_xlfn.IFS(S343&lt;=_xlfn.PERCENTILE.INC(IF(N343:N973=N343, S343:S973), 0.33), "Low", S343&lt;=_xlfn.PERCENTILE.INC(IF(N343:N973=N343, S343:S973), 0.66), "Medium", S343 &gt; _xlfn.PERCENTILE.INC(IF(N343:N973=N343, S343:S973), 0.66), "High")</f>
        <v>High</v>
      </c>
      <c r="P343" t="s">
        <v>1076</v>
      </c>
      <c r="Q343" s="6">
        <v>805.81</v>
      </c>
      <c r="R343" s="6">
        <v>1823.04</v>
      </c>
      <c r="S343" s="6">
        <v>1823.04</v>
      </c>
      <c r="T343" s="9">
        <v>0</v>
      </c>
      <c r="U343" s="9">
        <f>IF(T343&gt;0.3, $AO$4, T343)</f>
        <v>0</v>
      </c>
      <c r="V343" s="7" t="str">
        <f t="shared" si="74"/>
        <v>Less than 20%</v>
      </c>
      <c r="W343" s="11">
        <v>11</v>
      </c>
      <c r="X343" s="6">
        <f t="shared" si="71"/>
        <v>20053.439999999999</v>
      </c>
      <c r="Y343" s="6">
        <f t="shared" si="72"/>
        <v>8863.91</v>
      </c>
      <c r="Z343" s="6">
        <f t="shared" si="75"/>
        <v>11189.529999999999</v>
      </c>
      <c r="AA343" s="9">
        <f t="shared" si="76"/>
        <v>0.55798556257679477</v>
      </c>
      <c r="AB343" s="9">
        <f>IF(U343&gt;'What-If Analysis'!$F$16, 'What-If Analysis'!$F$16,T343)</f>
        <v>0</v>
      </c>
      <c r="AC343" s="42">
        <f>S343*(1-AB343)</f>
        <v>1823.04</v>
      </c>
      <c r="AD343" s="42">
        <f>Q343*(1+'What-If Analysis'!F358)</f>
        <v>805.81</v>
      </c>
      <c r="AE343" s="41">
        <f>W343*(1+'What-If Analysis'!$F$18)</f>
        <v>12.87</v>
      </c>
      <c r="AF343" s="42">
        <f t="shared" si="77"/>
        <v>23462.524799999999</v>
      </c>
      <c r="AG343" s="42">
        <f t="shared" si="78"/>
        <v>10370.774699999998</v>
      </c>
      <c r="AH343" s="42">
        <f t="shared" si="79"/>
        <v>13091.750100000001</v>
      </c>
      <c r="AI343" s="44">
        <f t="shared" si="80"/>
        <v>0.55798556257679488</v>
      </c>
      <c r="AJ343" s="42">
        <f t="shared" si="81"/>
        <v>3409.0848000000005</v>
      </c>
      <c r="AK343" s="42">
        <f t="shared" si="82"/>
        <v>11189.529999999999</v>
      </c>
      <c r="AL343" s="9">
        <f t="shared" si="83"/>
        <v>0</v>
      </c>
      <c r="AM343" s="42"/>
    </row>
    <row r="344" spans="1:39" x14ac:dyDescent="0.25">
      <c r="A344" t="s">
        <v>357</v>
      </c>
      <c r="B344" s="20">
        <v>45339</v>
      </c>
      <c r="C344" s="4">
        <v>45355</v>
      </c>
      <c r="D344" s="4" t="s">
        <v>1434</v>
      </c>
      <c r="E344" s="4">
        <v>45355</v>
      </c>
      <c r="F344" s="11">
        <f t="shared" si="70"/>
        <v>16</v>
      </c>
      <c r="G344" s="11" t="str">
        <f t="shared" si="73"/>
        <v>Does not Meet Target</v>
      </c>
      <c r="H344" t="s">
        <v>647</v>
      </c>
      <c r="I344" t="s">
        <v>654</v>
      </c>
      <c r="J344" t="s">
        <v>680</v>
      </c>
      <c r="K344" t="s">
        <v>705</v>
      </c>
      <c r="L344" t="s">
        <v>709</v>
      </c>
      <c r="M344" t="s">
        <v>721</v>
      </c>
      <c r="N344" t="s">
        <v>730</v>
      </c>
      <c r="O344" t="str" cm="1">
        <f t="array" ref="O344">_xlfn.IFS(S344&lt;=_xlfn.PERCENTILE.INC(IF(N344:N974=N344, S344:S974), 0.33), "Low", S344&lt;=_xlfn.PERCENTILE.INC(IF(N344:N974=N344, S344:S974), 0.66), "Medium", S344 &gt; _xlfn.PERCENTILE.INC(IF(N344:N974=N344, S344:S974), 0.66), "High")</f>
        <v>High</v>
      </c>
      <c r="P344" t="s">
        <v>1077</v>
      </c>
      <c r="Q344" s="6">
        <v>1231.8</v>
      </c>
      <c r="R344" s="6">
        <v>2015.99</v>
      </c>
      <c r="S344" s="6">
        <v>2015.99</v>
      </c>
      <c r="T344" s="9">
        <v>0.26100000000000001</v>
      </c>
      <c r="U344" s="9">
        <f>IF(T344&gt;0.3, $AO$4, T344)</f>
        <v>0.26100000000000001</v>
      </c>
      <c r="V344" s="7" t="str">
        <f t="shared" si="74"/>
        <v>Greater than 20%</v>
      </c>
      <c r="W344" s="11">
        <v>6</v>
      </c>
      <c r="X344" s="6">
        <f t="shared" si="71"/>
        <v>8938.8996600000009</v>
      </c>
      <c r="Y344" s="6">
        <f t="shared" si="72"/>
        <v>7390.7999999999993</v>
      </c>
      <c r="Z344" s="6">
        <f t="shared" si="75"/>
        <v>1548.0996600000017</v>
      </c>
      <c r="AA344" s="9">
        <f t="shared" si="76"/>
        <v>0.17318682599464391</v>
      </c>
      <c r="AB344" s="9">
        <f>IF(U344&gt;'What-If Analysis'!$F$16, 'What-If Analysis'!$F$16,T344)</f>
        <v>0.17</v>
      </c>
      <c r="AC344" s="42">
        <f>S344*(1-AB344)</f>
        <v>1673.2717</v>
      </c>
      <c r="AD344" s="42">
        <f>Q344*(1+'What-If Analysis'!F359)</f>
        <v>1231.8</v>
      </c>
      <c r="AE344" s="41">
        <f>W344*(1+'What-If Analysis'!$F$18)</f>
        <v>7.02</v>
      </c>
      <c r="AF344" s="42">
        <f t="shared" si="77"/>
        <v>11746.367333999999</v>
      </c>
      <c r="AG344" s="42">
        <f t="shared" si="78"/>
        <v>8647.235999999999</v>
      </c>
      <c r="AH344" s="42">
        <f t="shared" si="79"/>
        <v>3099.1313339999997</v>
      </c>
      <c r="AI344" s="44">
        <f t="shared" si="80"/>
        <v>0.26383742700005025</v>
      </c>
      <c r="AJ344" s="42">
        <f t="shared" si="81"/>
        <v>2807.4676739999977</v>
      </c>
      <c r="AK344" s="42">
        <f t="shared" si="82"/>
        <v>1548.0996600000017</v>
      </c>
      <c r="AL344" s="9">
        <f t="shared" si="83"/>
        <v>9.0650601005406339E-2</v>
      </c>
      <c r="AM344" s="42"/>
    </row>
    <row r="345" spans="1:39" x14ac:dyDescent="0.25">
      <c r="A345" t="s">
        <v>358</v>
      </c>
      <c r="B345" s="20">
        <v>45486</v>
      </c>
      <c r="C345" s="4">
        <v>45485</v>
      </c>
      <c r="D345" s="4" t="s">
        <v>1443</v>
      </c>
      <c r="E345" s="4">
        <v>45505</v>
      </c>
      <c r="F345" s="11">
        <f t="shared" si="70"/>
        <v>19</v>
      </c>
      <c r="G345" s="11" t="str">
        <f t="shared" si="73"/>
        <v>Does not Meet Target</v>
      </c>
      <c r="H345" t="s">
        <v>647</v>
      </c>
      <c r="I345" t="s">
        <v>652</v>
      </c>
      <c r="J345" t="s">
        <v>694</v>
      </c>
      <c r="K345" t="s">
        <v>705</v>
      </c>
      <c r="L345" t="s">
        <v>709</v>
      </c>
      <c r="M345" t="s">
        <v>721</v>
      </c>
      <c r="N345" t="s">
        <v>729</v>
      </c>
      <c r="O345" t="str" cm="1">
        <f t="array" ref="O345">_xlfn.IFS(S345&lt;=_xlfn.PERCENTILE.INC(IF(N345:N975=N345, S345:S975), 0.33), "Low", S345&lt;=_xlfn.PERCENTILE.INC(IF(N345:N975=N345, S345:S975), 0.66), "Medium", S345 &gt; _xlfn.PERCENTILE.INC(IF(N345:N975=N345, S345:S975), 0.66), "High")</f>
        <v>Low</v>
      </c>
      <c r="P345" t="s">
        <v>1078</v>
      </c>
      <c r="Q345" s="6">
        <v>105.13</v>
      </c>
      <c r="R345" s="6">
        <v>244.13</v>
      </c>
      <c r="S345" s="6">
        <v>244.13</v>
      </c>
      <c r="T345" s="9">
        <v>7.0999999999999994E-2</v>
      </c>
      <c r="U345" s="9">
        <f>IF(T345&gt;0.3, $AO$4, T345)</f>
        <v>7.0999999999999994E-2</v>
      </c>
      <c r="V345" s="7" t="str">
        <f t="shared" si="74"/>
        <v>Less than 20%</v>
      </c>
      <c r="W345" s="11">
        <v>14</v>
      </c>
      <c r="X345" s="6">
        <f t="shared" si="71"/>
        <v>3175.1547799999998</v>
      </c>
      <c r="Y345" s="6">
        <f t="shared" si="72"/>
        <v>1471.82</v>
      </c>
      <c r="Z345" s="6">
        <f t="shared" si="75"/>
        <v>1703.3347799999999</v>
      </c>
      <c r="AA345" s="9">
        <f t="shared" si="76"/>
        <v>0.53645724319618837</v>
      </c>
      <c r="AB345" s="9">
        <f>IF(U345&gt;'What-If Analysis'!$F$16, 'What-If Analysis'!$F$16,T345)</f>
        <v>7.0999999999999994E-2</v>
      </c>
      <c r="AC345" s="42">
        <f>S345*(1-AB345)</f>
        <v>226.79677000000001</v>
      </c>
      <c r="AD345" s="42">
        <f>Q345*(1+'What-If Analysis'!F360)</f>
        <v>105.13</v>
      </c>
      <c r="AE345" s="41">
        <f>W345*(1+'What-If Analysis'!$F$18)</f>
        <v>16.38</v>
      </c>
      <c r="AF345" s="42">
        <f t="shared" si="77"/>
        <v>3714.9310925999998</v>
      </c>
      <c r="AG345" s="42">
        <f t="shared" si="78"/>
        <v>1722.0293999999999</v>
      </c>
      <c r="AH345" s="42">
        <f t="shared" si="79"/>
        <v>1992.9016925999999</v>
      </c>
      <c r="AI345" s="44">
        <f t="shared" si="80"/>
        <v>0.53645724319618837</v>
      </c>
      <c r="AJ345" s="42">
        <f t="shared" si="81"/>
        <v>539.77631259999998</v>
      </c>
      <c r="AK345" s="42">
        <f t="shared" si="82"/>
        <v>1703.3347799999999</v>
      </c>
      <c r="AL345" s="9">
        <f t="shared" si="83"/>
        <v>0</v>
      </c>
      <c r="AM345" s="42"/>
    </row>
    <row r="346" spans="1:39" x14ac:dyDescent="0.25">
      <c r="A346" t="s">
        <v>359</v>
      </c>
      <c r="B346" s="20">
        <v>45261</v>
      </c>
      <c r="C346" s="4">
        <v>45278</v>
      </c>
      <c r="D346" s="4" t="s">
        <v>1438</v>
      </c>
      <c r="E346" s="4">
        <v>45278</v>
      </c>
      <c r="F346" s="11">
        <f t="shared" si="70"/>
        <v>17</v>
      </c>
      <c r="G346" s="11" t="str">
        <f t="shared" si="73"/>
        <v>Does not Meet Target</v>
      </c>
      <c r="H346" t="s">
        <v>647</v>
      </c>
      <c r="I346" t="s">
        <v>652</v>
      </c>
      <c r="J346" t="s">
        <v>694</v>
      </c>
      <c r="K346" t="s">
        <v>705</v>
      </c>
      <c r="L346" t="s">
        <v>711</v>
      </c>
      <c r="M346" t="s">
        <v>725</v>
      </c>
      <c r="N346" t="s">
        <v>731</v>
      </c>
      <c r="O346" t="str" cm="1">
        <f t="array" ref="O346">_xlfn.IFS(S346&lt;=_xlfn.PERCENTILE.INC(IF(N346:N976=N346, S346:S976), 0.33), "Low", S346&lt;=_xlfn.PERCENTILE.INC(IF(N346:N976=N346, S346:S976), 0.66), "Medium", S346 &gt; _xlfn.PERCENTILE.INC(IF(N346:N976=N346, S346:S976), 0.66), "High")</f>
        <v>High</v>
      </c>
      <c r="P346" t="s">
        <v>1079</v>
      </c>
      <c r="Q346" s="6">
        <v>1495.79</v>
      </c>
      <c r="R346" s="6">
        <v>2783.12</v>
      </c>
      <c r="S346" s="6">
        <v>2783.12</v>
      </c>
      <c r="T346" s="9">
        <v>0.02</v>
      </c>
      <c r="U346" s="9">
        <f>IF(T346&gt;0.3, $AO$4, T346)</f>
        <v>0.02</v>
      </c>
      <c r="V346" s="7" t="str">
        <f t="shared" si="74"/>
        <v>Less than 20%</v>
      </c>
      <c r="W346" s="11">
        <v>5</v>
      </c>
      <c r="X346" s="6">
        <f t="shared" si="71"/>
        <v>13637.287999999999</v>
      </c>
      <c r="Y346" s="6">
        <f t="shared" si="72"/>
        <v>7478.95</v>
      </c>
      <c r="Z346" s="6">
        <f t="shared" si="75"/>
        <v>6158.3379999999988</v>
      </c>
      <c r="AA346" s="9">
        <f t="shared" si="76"/>
        <v>0.45158084217331185</v>
      </c>
      <c r="AB346" s="9">
        <f>IF(U346&gt;'What-If Analysis'!$F$16, 'What-If Analysis'!$F$16,T346)</f>
        <v>0.02</v>
      </c>
      <c r="AC346" s="42">
        <f>S346*(1-AB346)</f>
        <v>2727.4575999999997</v>
      </c>
      <c r="AD346" s="42">
        <f>Q346*(1+'What-If Analysis'!F361)</f>
        <v>1495.79</v>
      </c>
      <c r="AE346" s="41">
        <f>W346*(1+'What-If Analysis'!$F$18)</f>
        <v>5.85</v>
      </c>
      <c r="AF346" s="42">
        <f t="shared" si="77"/>
        <v>15955.626959999998</v>
      </c>
      <c r="AG346" s="42">
        <f t="shared" si="78"/>
        <v>8750.3714999999993</v>
      </c>
      <c r="AH346" s="42">
        <f t="shared" si="79"/>
        <v>7205.2554599999985</v>
      </c>
      <c r="AI346" s="44">
        <f t="shared" si="80"/>
        <v>0.45158084217331185</v>
      </c>
      <c r="AJ346" s="42">
        <f t="shared" si="81"/>
        <v>2318.3389599999991</v>
      </c>
      <c r="AK346" s="42">
        <f t="shared" si="82"/>
        <v>6158.3379999999988</v>
      </c>
      <c r="AL346" s="9">
        <f t="shared" si="83"/>
        <v>0</v>
      </c>
      <c r="AM346" s="42"/>
    </row>
    <row r="347" spans="1:39" x14ac:dyDescent="0.25">
      <c r="A347" t="s">
        <v>360</v>
      </c>
      <c r="B347" s="20">
        <v>45498</v>
      </c>
      <c r="C347" s="4">
        <v>45506</v>
      </c>
      <c r="D347" s="4" t="s">
        <v>1443</v>
      </c>
      <c r="E347" s="4">
        <v>45506</v>
      </c>
      <c r="F347" s="11">
        <f t="shared" si="70"/>
        <v>8</v>
      </c>
      <c r="G347" s="11" t="str">
        <f t="shared" si="73"/>
        <v>Does not Meet Target</v>
      </c>
      <c r="H347" t="s">
        <v>648</v>
      </c>
      <c r="I347" t="s">
        <v>653</v>
      </c>
      <c r="J347" t="s">
        <v>681</v>
      </c>
      <c r="K347" t="s">
        <v>704</v>
      </c>
      <c r="L347" t="s">
        <v>711</v>
      </c>
      <c r="M347" t="s">
        <v>713</v>
      </c>
      <c r="N347" t="s">
        <v>733</v>
      </c>
      <c r="O347" t="str" cm="1">
        <f t="array" ref="O347">_xlfn.IFS(S347&lt;=_xlfn.PERCENTILE.INC(IF(N347:N977=N347, S347:S977), 0.33), "Low", S347&lt;=_xlfn.PERCENTILE.INC(IF(N347:N977=N347, S347:S977), 0.66), "Medium", S347 &gt; _xlfn.PERCENTILE.INC(IF(N347:N977=N347, S347:S977), 0.66), "High")</f>
        <v>High</v>
      </c>
      <c r="P347" t="s">
        <v>1080</v>
      </c>
      <c r="Q347" s="6">
        <v>986.81</v>
      </c>
      <c r="R347" s="6">
        <v>2050.31</v>
      </c>
      <c r="S347" s="6">
        <v>2050.31</v>
      </c>
      <c r="T347" s="9">
        <v>0.10299999999999999</v>
      </c>
      <c r="U347" s="9">
        <f>IF(T347&gt;0.3, $AO$4, T347)</f>
        <v>0.10299999999999999</v>
      </c>
      <c r="V347" s="7" t="str">
        <f t="shared" si="74"/>
        <v>Less than 20%</v>
      </c>
      <c r="W347" s="11">
        <v>43</v>
      </c>
      <c r="X347" s="6">
        <f t="shared" si="71"/>
        <v>79082.507010000001</v>
      </c>
      <c r="Y347" s="6">
        <f t="shared" si="72"/>
        <v>42432.829999999994</v>
      </c>
      <c r="Z347" s="6">
        <f t="shared" si="75"/>
        <v>36649.677010000007</v>
      </c>
      <c r="AA347" s="9">
        <f t="shared" si="76"/>
        <v>0.46343595310358138</v>
      </c>
      <c r="AB347" s="9">
        <f>IF(U347&gt;'What-If Analysis'!$F$16, 'What-If Analysis'!$F$16,T347)</f>
        <v>0.10299999999999999</v>
      </c>
      <c r="AC347" s="42">
        <f>S347*(1-AB347)</f>
        <v>1839.12807</v>
      </c>
      <c r="AD347" s="42">
        <f>Q347*(1+'What-If Analysis'!F362)</f>
        <v>986.81</v>
      </c>
      <c r="AE347" s="41">
        <f>W347*(1+'What-If Analysis'!$F$18)</f>
        <v>50.309999999999995</v>
      </c>
      <c r="AF347" s="42">
        <f t="shared" si="77"/>
        <v>92526.533201699989</v>
      </c>
      <c r="AG347" s="42">
        <f t="shared" si="78"/>
        <v>49646.41109999999</v>
      </c>
      <c r="AH347" s="42">
        <f t="shared" si="79"/>
        <v>42880.122101699999</v>
      </c>
      <c r="AI347" s="44">
        <f t="shared" si="80"/>
        <v>0.46343595310358138</v>
      </c>
      <c r="AJ347" s="42">
        <f t="shared" si="81"/>
        <v>13444.026191699988</v>
      </c>
      <c r="AK347" s="42">
        <f t="shared" si="82"/>
        <v>36649.677010000007</v>
      </c>
      <c r="AL347" s="9">
        <f t="shared" si="83"/>
        <v>0</v>
      </c>
      <c r="AM347" s="42"/>
    </row>
    <row r="348" spans="1:39" x14ac:dyDescent="0.25">
      <c r="A348" t="s">
        <v>361</v>
      </c>
      <c r="B348" s="20">
        <v>45050</v>
      </c>
      <c r="C348" s="4">
        <v>45062</v>
      </c>
      <c r="D348" s="4" t="s">
        <v>1442</v>
      </c>
      <c r="E348" s="4">
        <v>45062</v>
      </c>
      <c r="F348" s="11">
        <f t="shared" si="70"/>
        <v>12</v>
      </c>
      <c r="G348" s="11" t="str">
        <f t="shared" si="73"/>
        <v>Does not Meet Target</v>
      </c>
      <c r="H348" t="s">
        <v>646</v>
      </c>
      <c r="I348" t="s">
        <v>651</v>
      </c>
      <c r="J348" t="s">
        <v>669</v>
      </c>
      <c r="K348" t="s">
        <v>705</v>
      </c>
      <c r="L348" t="s">
        <v>709</v>
      </c>
      <c r="M348" t="s">
        <v>713</v>
      </c>
      <c r="N348" t="s">
        <v>730</v>
      </c>
      <c r="O348" t="str" cm="1">
        <f t="array" ref="O348">_xlfn.IFS(S348&lt;=_xlfn.PERCENTILE.INC(IF(N348:N978=N348, S348:S978), 0.33), "Low", S348&lt;=_xlfn.PERCENTILE.INC(IF(N348:N978=N348, S348:S978), 0.66), "Medium", S348 &gt; _xlfn.PERCENTILE.INC(IF(N348:N978=N348, S348:S978), 0.66), "High")</f>
        <v>Low</v>
      </c>
      <c r="P348" t="s">
        <v>1081</v>
      </c>
      <c r="Q348" s="6">
        <v>77.739999999999995</v>
      </c>
      <c r="R348" s="6">
        <v>147.12</v>
      </c>
      <c r="S348" s="6">
        <v>147.12</v>
      </c>
      <c r="T348" s="9">
        <v>0</v>
      </c>
      <c r="U348" s="9">
        <f>IF(T348&gt;0.3, $AO$4, T348)</f>
        <v>0</v>
      </c>
      <c r="V348" s="7" t="str">
        <f t="shared" si="74"/>
        <v>Less than 20%</v>
      </c>
      <c r="W348" s="11">
        <v>15</v>
      </c>
      <c r="X348" s="6">
        <f t="shared" si="71"/>
        <v>2206.8000000000002</v>
      </c>
      <c r="Y348" s="6">
        <f t="shared" si="72"/>
        <v>1166.0999999999999</v>
      </c>
      <c r="Z348" s="6">
        <f t="shared" si="75"/>
        <v>1040.7000000000003</v>
      </c>
      <c r="AA348" s="9">
        <f t="shared" si="76"/>
        <v>0.47158781946710177</v>
      </c>
      <c r="AB348" s="9">
        <f>IF(U348&gt;'What-If Analysis'!$F$16, 'What-If Analysis'!$F$16,T348)</f>
        <v>0</v>
      </c>
      <c r="AC348" s="42">
        <f>S348*(1-AB348)</f>
        <v>147.12</v>
      </c>
      <c r="AD348" s="42">
        <f>Q348*(1+'What-If Analysis'!F363)</f>
        <v>77.739999999999995</v>
      </c>
      <c r="AE348" s="41">
        <f>W348*(1+'What-If Analysis'!$F$18)</f>
        <v>17.549999999999997</v>
      </c>
      <c r="AF348" s="42">
        <f t="shared" si="77"/>
        <v>2581.9559999999997</v>
      </c>
      <c r="AG348" s="42">
        <f t="shared" si="78"/>
        <v>1364.3369999999998</v>
      </c>
      <c r="AH348" s="42">
        <f t="shared" si="79"/>
        <v>1217.6189999999999</v>
      </c>
      <c r="AI348" s="44">
        <f t="shared" si="80"/>
        <v>0.47158781946710171</v>
      </c>
      <c r="AJ348" s="42">
        <f t="shared" si="81"/>
        <v>375.15599999999949</v>
      </c>
      <c r="AK348" s="42">
        <f t="shared" si="82"/>
        <v>1040.7000000000003</v>
      </c>
      <c r="AL348" s="9">
        <f t="shared" si="83"/>
        <v>0</v>
      </c>
      <c r="AM348" s="42"/>
    </row>
    <row r="349" spans="1:39" x14ac:dyDescent="0.25">
      <c r="A349" t="s">
        <v>362</v>
      </c>
      <c r="B349" s="20">
        <v>45281</v>
      </c>
      <c r="C349" s="4">
        <v>45297</v>
      </c>
      <c r="D349" s="4" t="s">
        <v>1438</v>
      </c>
      <c r="E349" s="4">
        <v>45297</v>
      </c>
      <c r="F349" s="11">
        <f t="shared" si="70"/>
        <v>16</v>
      </c>
      <c r="G349" s="11" t="str">
        <f t="shared" si="73"/>
        <v>Does not Meet Target</v>
      </c>
      <c r="H349" t="s">
        <v>646</v>
      </c>
      <c r="I349" t="s">
        <v>651</v>
      </c>
      <c r="J349" t="s">
        <v>1422</v>
      </c>
      <c r="K349" t="s">
        <v>701</v>
      </c>
      <c r="L349" t="s">
        <v>709</v>
      </c>
      <c r="M349" t="s">
        <v>723</v>
      </c>
      <c r="N349" t="s">
        <v>727</v>
      </c>
      <c r="O349" t="str" cm="1">
        <f t="array" ref="O349">_xlfn.IFS(S349&lt;=_xlfn.PERCENTILE.INC(IF(N349:N979=N349, S349:S979), 0.33), "Low", S349&lt;=_xlfn.PERCENTILE.INC(IF(N349:N979=N349, S349:S979), 0.66), "Medium", S349 &gt; _xlfn.PERCENTILE.INC(IF(N349:N979=N349, S349:S979), 0.66), "High")</f>
        <v>High</v>
      </c>
      <c r="P349" t="s">
        <v>1082</v>
      </c>
      <c r="Q349" s="6">
        <v>932.61</v>
      </c>
      <c r="R349" s="6">
        <v>1982.98</v>
      </c>
      <c r="S349" s="6">
        <v>1982.98</v>
      </c>
      <c r="T349" s="9">
        <v>0.14399999999999999</v>
      </c>
      <c r="U349" s="9">
        <f>IF(T349&gt;0.3, $AO$4, T349)</f>
        <v>0.14399999999999999</v>
      </c>
      <c r="V349" s="7" t="str">
        <f t="shared" si="74"/>
        <v>Less than 20%</v>
      </c>
      <c r="W349" s="11">
        <v>16</v>
      </c>
      <c r="X349" s="6">
        <f t="shared" si="71"/>
        <v>27158.894079999998</v>
      </c>
      <c r="Y349" s="6">
        <f t="shared" si="72"/>
        <v>14921.76</v>
      </c>
      <c r="Z349" s="6">
        <f t="shared" si="75"/>
        <v>12237.134079999998</v>
      </c>
      <c r="AA349" s="9">
        <f t="shared" si="76"/>
        <v>0.45057556629345635</v>
      </c>
      <c r="AB349" s="9">
        <f>IF(U349&gt;'What-If Analysis'!$F$16, 'What-If Analysis'!$F$16,T349)</f>
        <v>0.14399999999999999</v>
      </c>
      <c r="AC349" s="42">
        <f>S349*(1-AB349)</f>
        <v>1697.4308799999999</v>
      </c>
      <c r="AD349" s="42">
        <f>Q349*(1+'What-If Analysis'!F364)</f>
        <v>932.61</v>
      </c>
      <c r="AE349" s="41">
        <f>W349*(1+'What-If Analysis'!$F$18)</f>
        <v>18.72</v>
      </c>
      <c r="AF349" s="42">
        <f t="shared" si="77"/>
        <v>31775.906073599996</v>
      </c>
      <c r="AG349" s="42">
        <f t="shared" si="78"/>
        <v>17458.459199999998</v>
      </c>
      <c r="AH349" s="42">
        <f t="shared" si="79"/>
        <v>14317.446873599998</v>
      </c>
      <c r="AI349" s="44">
        <f t="shared" si="80"/>
        <v>0.45057556629345641</v>
      </c>
      <c r="AJ349" s="42">
        <f t="shared" si="81"/>
        <v>4617.0119935999974</v>
      </c>
      <c r="AK349" s="42">
        <f t="shared" si="82"/>
        <v>12237.134079999998</v>
      </c>
      <c r="AL349" s="9">
        <f t="shared" si="83"/>
        <v>0</v>
      </c>
      <c r="AM349" s="42"/>
    </row>
    <row r="350" spans="1:39" x14ac:dyDescent="0.25">
      <c r="A350" t="s">
        <v>363</v>
      </c>
      <c r="B350" s="20">
        <v>45825</v>
      </c>
      <c r="C350" s="4">
        <v>45843</v>
      </c>
      <c r="D350" s="4" t="s">
        <v>1440</v>
      </c>
      <c r="E350" s="4">
        <v>45843</v>
      </c>
      <c r="F350" s="11">
        <f t="shared" si="70"/>
        <v>18</v>
      </c>
      <c r="G350" s="11" t="str">
        <f t="shared" si="73"/>
        <v>Does not Meet Target</v>
      </c>
      <c r="H350" t="s">
        <v>647</v>
      </c>
      <c r="I350" t="s">
        <v>654</v>
      </c>
      <c r="J350" t="s">
        <v>680</v>
      </c>
      <c r="K350" t="s">
        <v>704</v>
      </c>
      <c r="L350" t="s">
        <v>709</v>
      </c>
      <c r="M350" t="s">
        <v>716</v>
      </c>
      <c r="N350" t="s">
        <v>731</v>
      </c>
      <c r="O350" t="str" cm="1">
        <f t="array" ref="O350">_xlfn.IFS(S350&lt;=_xlfn.PERCENTILE.INC(IF(N350:N980=N350, S350:S980), 0.33), "Low", S350&lt;=_xlfn.PERCENTILE.INC(IF(N350:N980=N350, S350:S980), 0.66), "Medium", S350 &gt; _xlfn.PERCENTILE.INC(IF(N350:N980=N350, S350:S980), 0.66), "High")</f>
        <v>High</v>
      </c>
      <c r="P350" t="s">
        <v>1083</v>
      </c>
      <c r="Q350" s="6">
        <v>982.93</v>
      </c>
      <c r="R350" s="6">
        <v>2299.3000000000002</v>
      </c>
      <c r="S350" s="6">
        <v>2299.3000000000002</v>
      </c>
      <c r="T350" s="9">
        <v>0.113</v>
      </c>
      <c r="U350" s="9">
        <f>IF(T350&gt;0.3, $AO$4, T350)</f>
        <v>0.113</v>
      </c>
      <c r="V350" s="7" t="str">
        <f t="shared" si="74"/>
        <v>Less than 20%</v>
      </c>
      <c r="W350" s="11">
        <v>6</v>
      </c>
      <c r="X350" s="6">
        <f t="shared" si="71"/>
        <v>12236.874600000001</v>
      </c>
      <c r="Y350" s="6">
        <f t="shared" si="72"/>
        <v>5897.58</v>
      </c>
      <c r="Z350" s="6">
        <f t="shared" si="75"/>
        <v>6339.2946000000011</v>
      </c>
      <c r="AA350" s="9">
        <f t="shared" si="76"/>
        <v>0.51804850562087157</v>
      </c>
      <c r="AB350" s="9">
        <f>IF(U350&gt;'What-If Analysis'!$F$16, 'What-If Analysis'!$F$16,T350)</f>
        <v>0.113</v>
      </c>
      <c r="AC350" s="42">
        <f>S350*(1-AB350)</f>
        <v>2039.4791000000002</v>
      </c>
      <c r="AD350" s="42">
        <f>Q350*(1+'What-If Analysis'!F365)</f>
        <v>982.93</v>
      </c>
      <c r="AE350" s="41">
        <f>W350*(1+'What-If Analysis'!$F$18)</f>
        <v>7.02</v>
      </c>
      <c r="AF350" s="42">
        <f t="shared" si="77"/>
        <v>14317.143282000001</v>
      </c>
      <c r="AG350" s="42">
        <f t="shared" si="78"/>
        <v>6900.1685999999991</v>
      </c>
      <c r="AH350" s="42">
        <f t="shared" si="79"/>
        <v>7416.9746820000018</v>
      </c>
      <c r="AI350" s="44">
        <f t="shared" si="80"/>
        <v>0.51804850562087157</v>
      </c>
      <c r="AJ350" s="42">
        <f t="shared" si="81"/>
        <v>2080.2686819999999</v>
      </c>
      <c r="AK350" s="42">
        <f t="shared" si="82"/>
        <v>6339.2946000000011</v>
      </c>
      <c r="AL350" s="9">
        <f t="shared" si="83"/>
        <v>0</v>
      </c>
      <c r="AM350" s="42"/>
    </row>
    <row r="351" spans="1:39" x14ac:dyDescent="0.25">
      <c r="A351" t="s">
        <v>364</v>
      </c>
      <c r="B351" s="20">
        <v>44980</v>
      </c>
      <c r="C351" s="4">
        <v>44993</v>
      </c>
      <c r="D351" s="4" t="s">
        <v>1436</v>
      </c>
      <c r="E351" s="4">
        <v>44993</v>
      </c>
      <c r="F351" s="11">
        <f t="shared" si="70"/>
        <v>13</v>
      </c>
      <c r="G351" s="11" t="str">
        <f t="shared" si="73"/>
        <v>Does not Meet Target</v>
      </c>
      <c r="H351" t="s">
        <v>649</v>
      </c>
      <c r="I351" t="s">
        <v>658</v>
      </c>
      <c r="J351" t="s">
        <v>693</v>
      </c>
      <c r="K351" t="s">
        <v>705</v>
      </c>
      <c r="L351" t="s">
        <v>711</v>
      </c>
      <c r="M351" t="s">
        <v>712</v>
      </c>
      <c r="N351" t="s">
        <v>728</v>
      </c>
      <c r="O351" t="str" cm="1">
        <f t="array" ref="O351">_xlfn.IFS(S351&lt;=_xlfn.PERCENTILE.INC(IF(N351:N981=N351, S351:S981), 0.33), "Low", S351&lt;=_xlfn.PERCENTILE.INC(IF(N351:N981=N351, S351:S981), 0.66), "Medium", S351 &gt; _xlfn.PERCENTILE.INC(IF(N351:N981=N351, S351:S981), 0.66), "High")</f>
        <v>Low</v>
      </c>
      <c r="P351" t="s">
        <v>1084</v>
      </c>
      <c r="Q351" s="6">
        <v>307.37</v>
      </c>
      <c r="R351" s="6">
        <v>462.61</v>
      </c>
      <c r="S351" s="6">
        <v>462.61</v>
      </c>
      <c r="T351" s="9">
        <v>0.188</v>
      </c>
      <c r="U351" s="9">
        <f>IF(T351&gt;0.3, $AO$4, T351)</f>
        <v>0.188</v>
      </c>
      <c r="V351" s="7" t="str">
        <f t="shared" si="74"/>
        <v>Less than 20%</v>
      </c>
      <c r="W351" s="11">
        <v>11</v>
      </c>
      <c r="X351" s="6">
        <f t="shared" si="71"/>
        <v>4132.0325200000007</v>
      </c>
      <c r="Y351" s="6">
        <f t="shared" si="72"/>
        <v>3381.07</v>
      </c>
      <c r="Z351" s="6">
        <f t="shared" si="75"/>
        <v>750.9625200000005</v>
      </c>
      <c r="AA351" s="9">
        <f t="shared" si="76"/>
        <v>0.18174167709599739</v>
      </c>
      <c r="AB351" s="9">
        <f>IF(U351&gt;'What-If Analysis'!$F$16, 'What-If Analysis'!$F$16,T351)</f>
        <v>0.17</v>
      </c>
      <c r="AC351" s="42">
        <f>S351*(1-AB351)</f>
        <v>383.96629999999999</v>
      </c>
      <c r="AD351" s="42">
        <f>Q351*(1+'What-If Analysis'!F366)</f>
        <v>307.37</v>
      </c>
      <c r="AE351" s="41">
        <f>W351*(1+'What-If Analysis'!$F$18)</f>
        <v>12.87</v>
      </c>
      <c r="AF351" s="42">
        <f t="shared" si="77"/>
        <v>4941.6462809999994</v>
      </c>
      <c r="AG351" s="42">
        <f t="shared" si="78"/>
        <v>3955.8518999999997</v>
      </c>
      <c r="AH351" s="42">
        <f t="shared" si="79"/>
        <v>985.7943809999997</v>
      </c>
      <c r="AI351" s="44">
        <f t="shared" si="80"/>
        <v>0.19948703831560213</v>
      </c>
      <c r="AJ351" s="42">
        <f t="shared" si="81"/>
        <v>809.6137609999987</v>
      </c>
      <c r="AK351" s="42">
        <f t="shared" si="82"/>
        <v>750.9625200000005</v>
      </c>
      <c r="AL351" s="9">
        <f t="shared" si="83"/>
        <v>1.7745361219604738E-2</v>
      </c>
      <c r="AM351" s="42"/>
    </row>
    <row r="352" spans="1:39" x14ac:dyDescent="0.25">
      <c r="A352" t="s">
        <v>365</v>
      </c>
      <c r="B352" s="20">
        <v>45262</v>
      </c>
      <c r="C352" s="4">
        <v>45276</v>
      </c>
      <c r="D352" s="4" t="s">
        <v>1438</v>
      </c>
      <c r="E352" s="4">
        <v>45276</v>
      </c>
      <c r="F352" s="11">
        <f t="shared" si="70"/>
        <v>14</v>
      </c>
      <c r="G352" s="11" t="str">
        <f t="shared" si="73"/>
        <v>Does not Meet Target</v>
      </c>
      <c r="H352" t="s">
        <v>649</v>
      </c>
      <c r="I352" t="s">
        <v>656</v>
      </c>
      <c r="J352" t="s">
        <v>698</v>
      </c>
      <c r="K352" t="s">
        <v>702</v>
      </c>
      <c r="L352" t="s">
        <v>711</v>
      </c>
      <c r="M352" t="s">
        <v>725</v>
      </c>
      <c r="N352" t="s">
        <v>732</v>
      </c>
      <c r="O352" t="str" cm="1">
        <f t="array" ref="O352">_xlfn.IFS(S352&lt;=_xlfn.PERCENTILE.INC(IF(N352:N982=N352, S352:S982), 0.33), "Low", S352&lt;=_xlfn.PERCENTILE.INC(IF(N352:N982=N352, S352:S982), 0.66), "Medium", S352 &gt; _xlfn.PERCENTILE.INC(IF(N352:N982=N352, S352:S982), 0.66), "High")</f>
        <v>Medium</v>
      </c>
      <c r="P352" t="s">
        <v>1085</v>
      </c>
      <c r="Q352" s="6">
        <v>879.08</v>
      </c>
      <c r="R352" s="6">
        <v>1093.3900000000001</v>
      </c>
      <c r="S352" s="6">
        <v>1093.3900000000001</v>
      </c>
      <c r="T352" s="9">
        <v>0.113</v>
      </c>
      <c r="U352" s="9">
        <f>IF(T352&gt;0.3, $AO$4, T352)</f>
        <v>0.113</v>
      </c>
      <c r="V352" s="7" t="str">
        <f t="shared" si="74"/>
        <v>Less than 20%</v>
      </c>
      <c r="W352" s="11">
        <v>17</v>
      </c>
      <c r="X352" s="6">
        <f t="shared" si="71"/>
        <v>16487.22781</v>
      </c>
      <c r="Y352" s="6">
        <f t="shared" si="72"/>
        <v>14944.36</v>
      </c>
      <c r="Z352" s="6">
        <f t="shared" si="75"/>
        <v>1542.8678099999997</v>
      </c>
      <c r="AA352" s="9">
        <f t="shared" si="76"/>
        <v>9.3579577341935186E-2</v>
      </c>
      <c r="AB352" s="9">
        <f>IF(U352&gt;'What-If Analysis'!$F$16, 'What-If Analysis'!$F$16,T352)</f>
        <v>0.113</v>
      </c>
      <c r="AC352" s="42">
        <f>S352*(1-AB352)</f>
        <v>969.83693000000005</v>
      </c>
      <c r="AD352" s="42">
        <f>Q352*(1+'What-If Analysis'!F367)</f>
        <v>879.08</v>
      </c>
      <c r="AE352" s="41">
        <f>W352*(1+'What-If Analysis'!$F$18)</f>
        <v>19.89</v>
      </c>
      <c r="AF352" s="42">
        <f t="shared" si="77"/>
        <v>19290.056537700002</v>
      </c>
      <c r="AG352" s="42">
        <f t="shared" si="78"/>
        <v>17484.9012</v>
      </c>
      <c r="AH352" s="42">
        <f t="shared" si="79"/>
        <v>1805.1553377000018</v>
      </c>
      <c r="AI352" s="44">
        <f t="shared" si="80"/>
        <v>9.3579577341935297E-2</v>
      </c>
      <c r="AJ352" s="42">
        <f t="shared" si="81"/>
        <v>2802.8287277000018</v>
      </c>
      <c r="AK352" s="42">
        <f t="shared" si="82"/>
        <v>1542.8678099999997</v>
      </c>
      <c r="AL352" s="9">
        <f t="shared" si="83"/>
        <v>1.1102230246251565E-16</v>
      </c>
      <c r="AM352" s="42"/>
    </row>
    <row r="353" spans="1:39" x14ac:dyDescent="0.25">
      <c r="A353" t="s">
        <v>366</v>
      </c>
      <c r="B353" s="20">
        <v>45121</v>
      </c>
      <c r="C353" s="4">
        <v>45121</v>
      </c>
      <c r="D353" s="4" t="s">
        <v>1444</v>
      </c>
      <c r="E353" s="4">
        <v>45121</v>
      </c>
      <c r="F353" s="11">
        <f t="shared" si="70"/>
        <v>0</v>
      </c>
      <c r="G353" s="11" t="str">
        <f t="shared" si="73"/>
        <v>Meets Target</v>
      </c>
      <c r="H353" t="s">
        <v>646</v>
      </c>
      <c r="I353" t="s">
        <v>651</v>
      </c>
      <c r="J353" t="s">
        <v>665</v>
      </c>
      <c r="K353" t="s">
        <v>702</v>
      </c>
      <c r="L353" t="s">
        <v>707</v>
      </c>
      <c r="M353" t="s">
        <v>714</v>
      </c>
      <c r="N353" t="s">
        <v>733</v>
      </c>
      <c r="O353" t="str" cm="1">
        <f t="array" ref="O353">_xlfn.IFS(S353&lt;=_xlfn.PERCENTILE.INC(IF(N353:N983=N353, S353:S983), 0.33), "Low", S353&lt;=_xlfn.PERCENTILE.INC(IF(N353:N983=N353, S353:S983), 0.66), "Medium", S353 &gt; _xlfn.PERCENTILE.INC(IF(N353:N983=N353, S353:S983), 0.66), "High")</f>
        <v>High</v>
      </c>
      <c r="P353" t="s">
        <v>1086</v>
      </c>
      <c r="Q353" s="6">
        <v>956.38</v>
      </c>
      <c r="R353" s="6">
        <v>1454.22</v>
      </c>
      <c r="S353" s="6">
        <v>1454.22</v>
      </c>
      <c r="T353" s="9">
        <v>3.9E-2</v>
      </c>
      <c r="U353" s="9">
        <f>IF(T353&gt;0.3, $AO$4, T353)</f>
        <v>3.9E-2</v>
      </c>
      <c r="V353" s="7" t="str">
        <f t="shared" si="74"/>
        <v>Less than 20%</v>
      </c>
      <c r="W353" s="11">
        <v>19</v>
      </c>
      <c r="X353" s="6">
        <f t="shared" si="71"/>
        <v>26552.60298</v>
      </c>
      <c r="Y353" s="6">
        <f t="shared" si="72"/>
        <v>18171.22</v>
      </c>
      <c r="Z353" s="6">
        <f t="shared" si="75"/>
        <v>8381.3829799999985</v>
      </c>
      <c r="AA353" s="9">
        <f t="shared" si="76"/>
        <v>0.31565202802576603</v>
      </c>
      <c r="AB353" s="9">
        <f>IF(U353&gt;'What-If Analysis'!$F$16, 'What-If Analysis'!$F$16,T353)</f>
        <v>3.9E-2</v>
      </c>
      <c r="AC353" s="42">
        <f>S353*(1-AB353)</f>
        <v>1397.50542</v>
      </c>
      <c r="AD353" s="42">
        <f>Q353*(1+'What-If Analysis'!F368)</f>
        <v>956.38</v>
      </c>
      <c r="AE353" s="41">
        <f>W353*(1+'What-If Analysis'!$F$18)</f>
        <v>22.229999999999997</v>
      </c>
      <c r="AF353" s="42">
        <f t="shared" si="77"/>
        <v>31066.545486599996</v>
      </c>
      <c r="AG353" s="42">
        <f t="shared" si="78"/>
        <v>21260.327399999998</v>
      </c>
      <c r="AH353" s="42">
        <f t="shared" si="79"/>
        <v>9806.2180865999981</v>
      </c>
      <c r="AI353" s="44">
        <f t="shared" si="80"/>
        <v>0.31565202802576603</v>
      </c>
      <c r="AJ353" s="42">
        <f t="shared" si="81"/>
        <v>4513.9425065999967</v>
      </c>
      <c r="AK353" s="42">
        <f t="shared" si="82"/>
        <v>8381.3829799999985</v>
      </c>
      <c r="AL353" s="9">
        <f t="shared" si="83"/>
        <v>0</v>
      </c>
      <c r="AM353" s="42"/>
    </row>
    <row r="354" spans="1:39" x14ac:dyDescent="0.25">
      <c r="A354" t="s">
        <v>367</v>
      </c>
      <c r="B354" s="20">
        <v>45512</v>
      </c>
      <c r="C354" s="4">
        <v>45524</v>
      </c>
      <c r="D354" s="4" t="s">
        <v>1443</v>
      </c>
      <c r="E354" s="4">
        <v>45524</v>
      </c>
      <c r="F354" s="11">
        <f t="shared" si="70"/>
        <v>12</v>
      </c>
      <c r="G354" s="11" t="str">
        <f t="shared" si="73"/>
        <v>Does not Meet Target</v>
      </c>
      <c r="H354" t="s">
        <v>647</v>
      </c>
      <c r="I354" t="s">
        <v>652</v>
      </c>
      <c r="J354" t="s">
        <v>666</v>
      </c>
      <c r="K354" t="s">
        <v>705</v>
      </c>
      <c r="L354" t="s">
        <v>707</v>
      </c>
      <c r="M354" t="s">
        <v>722</v>
      </c>
      <c r="N354" t="s">
        <v>729</v>
      </c>
      <c r="O354" t="str" cm="1">
        <f t="array" ref="O354">_xlfn.IFS(S354&lt;=_xlfn.PERCENTILE.INC(IF(N354:N984=N354, S354:S984), 0.33), "Low", S354&lt;=_xlfn.PERCENTILE.INC(IF(N354:N984=N354, S354:S984), 0.66), "Medium", S354 &gt; _xlfn.PERCENTILE.INC(IF(N354:N984=N354, S354:S984), 0.66), "High")</f>
        <v>Medium</v>
      </c>
      <c r="P354" t="s">
        <v>1087</v>
      </c>
      <c r="Q354" s="6">
        <v>1233.3599999999999</v>
      </c>
      <c r="R354" s="6">
        <v>2120.4</v>
      </c>
      <c r="S354" s="6">
        <v>2120.4</v>
      </c>
      <c r="T354" s="9">
        <v>0.17899999999999999</v>
      </c>
      <c r="U354" s="9">
        <f>IF(T354&gt;0.3, $AO$4, T354)</f>
        <v>0.17899999999999999</v>
      </c>
      <c r="V354" s="7" t="str">
        <f t="shared" si="74"/>
        <v>Less than 20%</v>
      </c>
      <c r="W354" s="11">
        <v>20</v>
      </c>
      <c r="X354" s="6">
        <f t="shared" si="71"/>
        <v>34816.968000000001</v>
      </c>
      <c r="Y354" s="6">
        <f t="shared" si="72"/>
        <v>24667.199999999997</v>
      </c>
      <c r="Z354" s="6">
        <f t="shared" si="75"/>
        <v>10149.768000000004</v>
      </c>
      <c r="AA354" s="9">
        <f t="shared" si="76"/>
        <v>0.29151785991244278</v>
      </c>
      <c r="AB354" s="9">
        <f>IF(U354&gt;'What-If Analysis'!$F$16, 'What-If Analysis'!$F$16,T354)</f>
        <v>0.17</v>
      </c>
      <c r="AC354" s="42">
        <f>S354*(1-AB354)</f>
        <v>1759.932</v>
      </c>
      <c r="AD354" s="42">
        <f>Q354*(1+'What-If Analysis'!F369)</f>
        <v>1233.3599999999999</v>
      </c>
      <c r="AE354" s="41">
        <f>W354*(1+'What-If Analysis'!$F$18)</f>
        <v>23.4</v>
      </c>
      <c r="AF354" s="42">
        <f t="shared" si="77"/>
        <v>41182.408799999997</v>
      </c>
      <c r="AG354" s="42">
        <f t="shared" si="78"/>
        <v>28860.623999999996</v>
      </c>
      <c r="AH354" s="42">
        <f t="shared" si="79"/>
        <v>12321.784800000001</v>
      </c>
      <c r="AI354" s="44">
        <f t="shared" si="80"/>
        <v>0.29920019637122347</v>
      </c>
      <c r="AJ354" s="42">
        <f t="shared" si="81"/>
        <v>6365.4407999999967</v>
      </c>
      <c r="AK354" s="42">
        <f t="shared" si="82"/>
        <v>10149.768000000004</v>
      </c>
      <c r="AL354" s="9">
        <f t="shared" si="83"/>
        <v>7.6823364587806919E-3</v>
      </c>
      <c r="AM354" s="42"/>
    </row>
    <row r="355" spans="1:39" x14ac:dyDescent="0.25">
      <c r="A355" t="s">
        <v>368</v>
      </c>
      <c r="B355" s="20">
        <v>45603</v>
      </c>
      <c r="C355" s="4">
        <v>45622</v>
      </c>
      <c r="D355" s="4" t="s">
        <v>1435</v>
      </c>
      <c r="E355" s="4">
        <v>45622</v>
      </c>
      <c r="F355" s="11">
        <f t="shared" si="70"/>
        <v>19</v>
      </c>
      <c r="G355" s="11" t="str">
        <f t="shared" si="73"/>
        <v>Does not Meet Target</v>
      </c>
      <c r="H355" t="s">
        <v>648</v>
      </c>
      <c r="I355" t="s">
        <v>655</v>
      </c>
      <c r="J355" t="s">
        <v>692</v>
      </c>
      <c r="K355" t="s">
        <v>703</v>
      </c>
      <c r="L355" t="s">
        <v>710</v>
      </c>
      <c r="M355" t="s">
        <v>713</v>
      </c>
      <c r="N355" t="s">
        <v>728</v>
      </c>
      <c r="O355" t="str" cm="1">
        <f t="array" ref="O355">_xlfn.IFS(S355&lt;=_xlfn.PERCENTILE.INC(IF(N355:N985=N355, S355:S985), 0.33), "Low", S355&lt;=_xlfn.PERCENTILE.INC(IF(N355:N985=N355, S355:S985), 0.66), "Medium", S355 &gt; _xlfn.PERCENTILE.INC(IF(N355:N985=N355, S355:S985), 0.66), "High")</f>
        <v>Low</v>
      </c>
      <c r="P355" t="s">
        <v>1088</v>
      </c>
      <c r="Q355" s="6">
        <v>55.35</v>
      </c>
      <c r="R355" s="6">
        <v>128.68</v>
      </c>
      <c r="S355" s="6">
        <v>128.68</v>
      </c>
      <c r="T355" s="9">
        <v>0.128</v>
      </c>
      <c r="U355" s="9">
        <f>IF(T355&gt;0.3, $AO$4, T355)</f>
        <v>0.128</v>
      </c>
      <c r="V355" s="7" t="str">
        <f t="shared" si="74"/>
        <v>Less than 20%</v>
      </c>
      <c r="W355" s="11">
        <v>10</v>
      </c>
      <c r="X355" s="6">
        <f t="shared" si="71"/>
        <v>1122.0896000000002</v>
      </c>
      <c r="Y355" s="6">
        <f t="shared" si="72"/>
        <v>553.5</v>
      </c>
      <c r="Z355" s="6">
        <f t="shared" si="75"/>
        <v>568.58960000000025</v>
      </c>
      <c r="AA355" s="9">
        <f t="shared" si="76"/>
        <v>0.50672388372550647</v>
      </c>
      <c r="AB355" s="9">
        <f>IF(U355&gt;'What-If Analysis'!$F$16, 'What-If Analysis'!$F$16,T355)</f>
        <v>0.128</v>
      </c>
      <c r="AC355" s="42">
        <f>S355*(1-AB355)</f>
        <v>112.20896</v>
      </c>
      <c r="AD355" s="42">
        <f>Q355*(1+'What-If Analysis'!F370)</f>
        <v>55.35</v>
      </c>
      <c r="AE355" s="41">
        <f>W355*(1+'What-If Analysis'!$F$18)</f>
        <v>11.7</v>
      </c>
      <c r="AF355" s="42">
        <f t="shared" si="77"/>
        <v>1312.844832</v>
      </c>
      <c r="AG355" s="42">
        <f t="shared" si="78"/>
        <v>647.59500000000003</v>
      </c>
      <c r="AH355" s="42">
        <f t="shared" si="79"/>
        <v>665.24983199999997</v>
      </c>
      <c r="AI355" s="44">
        <f t="shared" si="80"/>
        <v>0.50672388372550636</v>
      </c>
      <c r="AJ355" s="42">
        <f t="shared" si="81"/>
        <v>190.75523199999975</v>
      </c>
      <c r="AK355" s="42">
        <f t="shared" si="82"/>
        <v>568.58960000000025</v>
      </c>
      <c r="AL355" s="9">
        <f t="shared" si="83"/>
        <v>0</v>
      </c>
      <c r="AM355" s="42"/>
    </row>
    <row r="356" spans="1:39" x14ac:dyDescent="0.25">
      <c r="A356" t="s">
        <v>369</v>
      </c>
      <c r="B356" s="20">
        <v>45292</v>
      </c>
      <c r="C356" s="4">
        <v>45318</v>
      </c>
      <c r="D356" s="4" t="s">
        <v>1434</v>
      </c>
      <c r="E356" s="4">
        <v>45318</v>
      </c>
      <c r="F356" s="11">
        <f t="shared" si="70"/>
        <v>26</v>
      </c>
      <c r="G356" s="11" t="str">
        <f t="shared" si="73"/>
        <v>Does not Meet Target</v>
      </c>
      <c r="H356" t="s">
        <v>649</v>
      </c>
      <c r="I356" t="s">
        <v>658</v>
      </c>
      <c r="J356" t="s">
        <v>693</v>
      </c>
      <c r="K356" t="s">
        <v>702</v>
      </c>
      <c r="L356" t="s">
        <v>710</v>
      </c>
      <c r="M356" t="s">
        <v>726</v>
      </c>
      <c r="N356" t="s">
        <v>733</v>
      </c>
      <c r="O356" t="str" cm="1">
        <f t="array" ref="O356">_xlfn.IFS(S356&lt;=_xlfn.PERCENTILE.INC(IF(N356:N986=N356, S356:S986), 0.33), "Low", S356&lt;=_xlfn.PERCENTILE.INC(IF(N356:N986=N356, S356:S986), 0.66), "Medium", S356 &gt; _xlfn.PERCENTILE.INC(IF(N356:N986=N356, S356:S986), 0.66), "High")</f>
        <v>Medium</v>
      </c>
      <c r="P356" t="s">
        <v>1089</v>
      </c>
      <c r="Q356" s="6">
        <v>657.45</v>
      </c>
      <c r="R356" s="6">
        <v>1325.96</v>
      </c>
      <c r="S356" s="6">
        <v>1325.96</v>
      </c>
      <c r="T356" s="9">
        <v>0.16700000000000001</v>
      </c>
      <c r="U356" s="9">
        <f>IF(T356&gt;0.3, $AO$4, T356)</f>
        <v>0.16700000000000001</v>
      </c>
      <c r="V356" s="7" t="str">
        <f t="shared" si="74"/>
        <v>Less than 20%</v>
      </c>
      <c r="W356" s="11">
        <v>21</v>
      </c>
      <c r="X356" s="6">
        <f t="shared" si="71"/>
        <v>23195.01828</v>
      </c>
      <c r="Y356" s="6">
        <f t="shared" si="72"/>
        <v>13806.45</v>
      </c>
      <c r="Z356" s="6">
        <f t="shared" si="75"/>
        <v>9388.5682799999995</v>
      </c>
      <c r="AA356" s="9">
        <f t="shared" si="76"/>
        <v>0.40476658249048808</v>
      </c>
      <c r="AB356" s="9">
        <f>IF(U356&gt;'What-If Analysis'!$F$16, 'What-If Analysis'!$F$16,T356)</f>
        <v>0.16700000000000001</v>
      </c>
      <c r="AC356" s="42">
        <f>S356*(1-AB356)</f>
        <v>1104.52468</v>
      </c>
      <c r="AD356" s="42">
        <f>Q356*(1+'What-If Analysis'!F371)</f>
        <v>657.45</v>
      </c>
      <c r="AE356" s="41">
        <f>W356*(1+'What-If Analysis'!$F$18)</f>
        <v>24.57</v>
      </c>
      <c r="AF356" s="42">
        <f t="shared" si="77"/>
        <v>27138.171387599999</v>
      </c>
      <c r="AG356" s="42">
        <f t="shared" si="78"/>
        <v>16153.546500000002</v>
      </c>
      <c r="AH356" s="42">
        <f t="shared" si="79"/>
        <v>10984.624887599997</v>
      </c>
      <c r="AI356" s="44">
        <f t="shared" si="80"/>
        <v>0.40476658249048802</v>
      </c>
      <c r="AJ356" s="42">
        <f t="shared" si="81"/>
        <v>3943.1531075999992</v>
      </c>
      <c r="AK356" s="42">
        <f t="shared" si="82"/>
        <v>9388.5682799999995</v>
      </c>
      <c r="AL356" s="9">
        <f t="shared" si="83"/>
        <v>0</v>
      </c>
      <c r="AM356" s="42"/>
    </row>
    <row r="357" spans="1:39" x14ac:dyDescent="0.25">
      <c r="A357" t="s">
        <v>370</v>
      </c>
      <c r="B357" s="20">
        <v>45883</v>
      </c>
      <c r="C357" s="4">
        <v>45911</v>
      </c>
      <c r="D357" s="4" t="s">
        <v>1441</v>
      </c>
      <c r="E357" s="4">
        <v>45911</v>
      </c>
      <c r="F357" s="11">
        <f t="shared" si="70"/>
        <v>28</v>
      </c>
      <c r="G357" s="11" t="str">
        <f t="shared" si="73"/>
        <v>Does not Meet Target</v>
      </c>
      <c r="H357" t="s">
        <v>648</v>
      </c>
      <c r="I357" t="s">
        <v>655</v>
      </c>
      <c r="J357" t="s">
        <v>670</v>
      </c>
      <c r="K357" t="s">
        <v>703</v>
      </c>
      <c r="L357" t="s">
        <v>711</v>
      </c>
      <c r="M357" t="s">
        <v>721</v>
      </c>
      <c r="N357" t="s">
        <v>728</v>
      </c>
      <c r="O357" t="str" cm="1">
        <f t="array" ref="O357">_xlfn.IFS(S357&lt;=_xlfn.PERCENTILE.INC(IF(N357:N987=N357, S357:S987), 0.33), "Low", S357&lt;=_xlfn.PERCENTILE.INC(IF(N357:N987=N357, S357:S987), 0.66), "Medium", S357 &gt; _xlfn.PERCENTILE.INC(IF(N357:N987=N357, S357:S987), 0.66), "High")</f>
        <v>High</v>
      </c>
      <c r="P357" t="s">
        <v>1090</v>
      </c>
      <c r="Q357" s="6">
        <v>1203.02</v>
      </c>
      <c r="R357" s="6">
        <v>2439.33</v>
      </c>
      <c r="S357" s="6">
        <v>2439.33</v>
      </c>
      <c r="T357" s="9">
        <v>0</v>
      </c>
      <c r="U357" s="9">
        <f>IF(T357&gt;0.3, $AO$4, T357)</f>
        <v>0</v>
      </c>
      <c r="V357" s="7" t="str">
        <f t="shared" si="74"/>
        <v>Less than 20%</v>
      </c>
      <c r="W357" s="11">
        <v>18</v>
      </c>
      <c r="X357" s="6">
        <f t="shared" si="71"/>
        <v>43907.94</v>
      </c>
      <c r="Y357" s="6">
        <f t="shared" si="72"/>
        <v>21654.36</v>
      </c>
      <c r="Z357" s="6">
        <f t="shared" si="75"/>
        <v>22253.58</v>
      </c>
      <c r="AA357" s="9">
        <f t="shared" si="76"/>
        <v>0.50682359500354612</v>
      </c>
      <c r="AB357" s="9">
        <f>IF(U357&gt;'What-If Analysis'!$F$16, 'What-If Analysis'!$F$16,T357)</f>
        <v>0</v>
      </c>
      <c r="AC357" s="42">
        <f>S357*(1-AB357)</f>
        <v>2439.33</v>
      </c>
      <c r="AD357" s="42">
        <f>Q357*(1+'What-If Analysis'!F372)</f>
        <v>1203.02</v>
      </c>
      <c r="AE357" s="41">
        <f>W357*(1+'What-If Analysis'!$F$18)</f>
        <v>21.06</v>
      </c>
      <c r="AF357" s="42">
        <f t="shared" si="77"/>
        <v>51372.289799999999</v>
      </c>
      <c r="AG357" s="42">
        <f t="shared" si="78"/>
        <v>25335.601199999997</v>
      </c>
      <c r="AH357" s="42">
        <f t="shared" si="79"/>
        <v>26036.688600000001</v>
      </c>
      <c r="AI357" s="44">
        <f t="shared" si="80"/>
        <v>0.50682359500354612</v>
      </c>
      <c r="AJ357" s="42">
        <f t="shared" si="81"/>
        <v>7464.3497999999963</v>
      </c>
      <c r="AK357" s="42">
        <f t="shared" si="82"/>
        <v>22253.58</v>
      </c>
      <c r="AL357" s="9">
        <f t="shared" si="83"/>
        <v>0</v>
      </c>
      <c r="AM357" s="42"/>
    </row>
    <row r="358" spans="1:39" x14ac:dyDescent="0.25">
      <c r="A358" t="s">
        <v>371</v>
      </c>
      <c r="B358" s="20">
        <v>45385</v>
      </c>
      <c r="C358" s="4">
        <v>45403</v>
      </c>
      <c r="D358" s="4" t="s">
        <v>1439</v>
      </c>
      <c r="E358" s="4">
        <v>45403</v>
      </c>
      <c r="F358" s="11">
        <f t="shared" si="70"/>
        <v>18</v>
      </c>
      <c r="G358" s="11" t="str">
        <f t="shared" si="73"/>
        <v>Does not Meet Target</v>
      </c>
      <c r="H358" t="s">
        <v>648</v>
      </c>
      <c r="I358" t="s">
        <v>655</v>
      </c>
      <c r="J358" t="s">
        <v>672</v>
      </c>
      <c r="K358" t="s">
        <v>705</v>
      </c>
      <c r="L358" t="s">
        <v>710</v>
      </c>
      <c r="M358" t="s">
        <v>717</v>
      </c>
      <c r="N358" t="s">
        <v>729</v>
      </c>
      <c r="O358" t="str" cm="1">
        <f t="array" ref="O358">_xlfn.IFS(S358&lt;=_xlfn.PERCENTILE.INC(IF(N358:N988=N358, S358:S988), 0.33), "Low", S358&lt;=_xlfn.PERCENTILE.INC(IF(N358:N988=N358, S358:S988), 0.66), "Medium", S358 &gt; _xlfn.PERCENTILE.INC(IF(N358:N988=N358, S358:S988), 0.66), "High")</f>
        <v>High</v>
      </c>
      <c r="P358" t="s">
        <v>1091</v>
      </c>
      <c r="Q358" s="6">
        <v>1176.69</v>
      </c>
      <c r="R358" s="6">
        <v>2201.54</v>
      </c>
      <c r="S358" s="6">
        <v>2201.54</v>
      </c>
      <c r="T358" s="9">
        <v>0.17</v>
      </c>
      <c r="U358" s="9">
        <f>IF(T358&gt;0.3, $AO$4, T358)</f>
        <v>0.17</v>
      </c>
      <c r="V358" s="7" t="str">
        <f t="shared" si="74"/>
        <v>Less than 20%</v>
      </c>
      <c r="W358" s="11">
        <v>27</v>
      </c>
      <c r="X358" s="6">
        <f t="shared" si="71"/>
        <v>49336.511399999996</v>
      </c>
      <c r="Y358" s="6">
        <f t="shared" si="72"/>
        <v>31770.63</v>
      </c>
      <c r="Z358" s="6">
        <f t="shared" si="75"/>
        <v>17565.881399999995</v>
      </c>
      <c r="AA358" s="9">
        <f t="shared" si="76"/>
        <v>0.35604222717701106</v>
      </c>
      <c r="AB358" s="9">
        <f>IF(U358&gt;'What-If Analysis'!$F$16, 'What-If Analysis'!$F$16,T358)</f>
        <v>0.17</v>
      </c>
      <c r="AC358" s="42">
        <f>S358*(1-AB358)</f>
        <v>1827.2782</v>
      </c>
      <c r="AD358" s="42">
        <f>Q358*(1+'What-If Analysis'!F373)</f>
        <v>1176.69</v>
      </c>
      <c r="AE358" s="41">
        <f>W358*(1+'What-If Analysis'!$F$18)</f>
        <v>31.589999999999996</v>
      </c>
      <c r="AF358" s="42">
        <f t="shared" si="77"/>
        <v>57723.718337999991</v>
      </c>
      <c r="AG358" s="42">
        <f t="shared" si="78"/>
        <v>37171.6371</v>
      </c>
      <c r="AH358" s="42">
        <f t="shared" si="79"/>
        <v>20552.081237999992</v>
      </c>
      <c r="AI358" s="44">
        <f t="shared" si="80"/>
        <v>0.35604222717701106</v>
      </c>
      <c r="AJ358" s="42">
        <f t="shared" si="81"/>
        <v>8387.2069379999957</v>
      </c>
      <c r="AK358" s="42">
        <f t="shared" si="82"/>
        <v>17565.881399999995</v>
      </c>
      <c r="AL358" s="9">
        <f t="shared" si="83"/>
        <v>0</v>
      </c>
      <c r="AM358" s="42"/>
    </row>
    <row r="359" spans="1:39" x14ac:dyDescent="0.25">
      <c r="A359" t="s">
        <v>372</v>
      </c>
      <c r="B359" s="20">
        <v>45621</v>
      </c>
      <c r="C359" s="4">
        <v>45633</v>
      </c>
      <c r="D359" s="4" t="s">
        <v>1435</v>
      </c>
      <c r="E359" s="4">
        <v>45633</v>
      </c>
      <c r="F359" s="11">
        <f t="shared" si="70"/>
        <v>12</v>
      </c>
      <c r="G359" s="11" t="str">
        <f t="shared" si="73"/>
        <v>Does not Meet Target</v>
      </c>
      <c r="H359" t="s">
        <v>647</v>
      </c>
      <c r="I359" t="s">
        <v>659</v>
      </c>
      <c r="J359" t="s">
        <v>685</v>
      </c>
      <c r="K359" t="s">
        <v>701</v>
      </c>
      <c r="L359" t="s">
        <v>710</v>
      </c>
      <c r="M359" t="s">
        <v>720</v>
      </c>
      <c r="N359" t="s">
        <v>733</v>
      </c>
      <c r="O359" t="str" cm="1">
        <f t="array" ref="O359">_xlfn.IFS(S359&lt;=_xlfn.PERCENTILE.INC(IF(N359:N989=N359, S359:S989), 0.33), "Low", S359&lt;=_xlfn.PERCENTILE.INC(IF(N359:N989=N359, S359:S989), 0.66), "Medium", S359 &gt; _xlfn.PERCENTILE.INC(IF(N359:N989=N359, S359:S989), 0.66), "High")</f>
        <v>Medium</v>
      </c>
      <c r="P359" t="s">
        <v>1092</v>
      </c>
      <c r="Q359" s="6">
        <v>769.9</v>
      </c>
      <c r="R359" s="6">
        <v>814.36</v>
      </c>
      <c r="S359" s="6">
        <v>814.36</v>
      </c>
      <c r="T359" s="9">
        <v>0</v>
      </c>
      <c r="U359" s="9">
        <f>IF(T359&gt;0.3, $AO$4, T359)</f>
        <v>0</v>
      </c>
      <c r="V359" s="7" t="str">
        <f t="shared" si="74"/>
        <v>Less than 20%</v>
      </c>
      <c r="W359" s="11">
        <v>5</v>
      </c>
      <c r="X359" s="6">
        <f t="shared" si="71"/>
        <v>4071.8</v>
      </c>
      <c r="Y359" s="6">
        <f t="shared" si="72"/>
        <v>3849.5</v>
      </c>
      <c r="Z359" s="6">
        <f t="shared" si="75"/>
        <v>222.30000000000018</v>
      </c>
      <c r="AA359" s="9">
        <f t="shared" si="76"/>
        <v>5.4595019401738831E-2</v>
      </c>
      <c r="AB359" s="9">
        <f>IF(U359&gt;'What-If Analysis'!$F$16, 'What-If Analysis'!$F$16,T359)</f>
        <v>0</v>
      </c>
      <c r="AC359" s="42">
        <f>S359*(1-AB359)</f>
        <v>814.36</v>
      </c>
      <c r="AD359" s="42">
        <f>Q359*(1+'What-If Analysis'!F374)</f>
        <v>769.9</v>
      </c>
      <c r="AE359" s="41">
        <f>W359*(1+'What-If Analysis'!$F$18)</f>
        <v>5.85</v>
      </c>
      <c r="AF359" s="42">
        <f t="shared" si="77"/>
        <v>4764.0059999999994</v>
      </c>
      <c r="AG359" s="42">
        <f t="shared" si="78"/>
        <v>4503.915</v>
      </c>
      <c r="AH359" s="42">
        <f t="shared" si="79"/>
        <v>260.09099999999944</v>
      </c>
      <c r="AI359" s="44">
        <f t="shared" si="80"/>
        <v>5.4595019401738679E-2</v>
      </c>
      <c r="AJ359" s="42">
        <f t="shared" si="81"/>
        <v>692.20599999999922</v>
      </c>
      <c r="AK359" s="42">
        <f t="shared" si="82"/>
        <v>222.30000000000018</v>
      </c>
      <c r="AL359" s="9">
        <f t="shared" si="83"/>
        <v>-1.5265566588595902E-16</v>
      </c>
      <c r="AM359" s="42"/>
    </row>
    <row r="360" spans="1:39" x14ac:dyDescent="0.25">
      <c r="A360" t="s">
        <v>373</v>
      </c>
      <c r="B360" s="20">
        <v>45309</v>
      </c>
      <c r="C360" s="4">
        <v>45325</v>
      </c>
      <c r="D360" s="4" t="s">
        <v>1434</v>
      </c>
      <c r="E360" s="4">
        <v>45325</v>
      </c>
      <c r="F360" s="11">
        <f t="shared" si="70"/>
        <v>16</v>
      </c>
      <c r="G360" s="11" t="str">
        <f t="shared" si="73"/>
        <v>Does not Meet Target</v>
      </c>
      <c r="H360" t="s">
        <v>646</v>
      </c>
      <c r="I360" t="s">
        <v>661</v>
      </c>
      <c r="J360" t="s">
        <v>695</v>
      </c>
      <c r="K360" t="s">
        <v>703</v>
      </c>
      <c r="L360" t="s">
        <v>710</v>
      </c>
      <c r="M360" t="s">
        <v>716</v>
      </c>
      <c r="N360" t="s">
        <v>728</v>
      </c>
      <c r="O360" t="str" cm="1">
        <f t="array" ref="O360">_xlfn.IFS(S360&lt;=_xlfn.PERCENTILE.INC(IF(N360:N990=N360, S360:S990), 0.33), "Low", S360&lt;=_xlfn.PERCENTILE.INC(IF(N360:N990=N360, S360:S990), 0.66), "Medium", S360 &gt; _xlfn.PERCENTILE.INC(IF(N360:N990=N360, S360:S990), 0.66), "High")</f>
        <v>Medium</v>
      </c>
      <c r="P360" t="s">
        <v>1093</v>
      </c>
      <c r="Q360" s="6">
        <v>666.23</v>
      </c>
      <c r="R360" s="6">
        <v>1382.91</v>
      </c>
      <c r="S360" s="6">
        <v>1382.91</v>
      </c>
      <c r="T360" s="9">
        <v>0.17599999999999999</v>
      </c>
      <c r="U360" s="9">
        <f>IF(T360&gt;0.3, $AO$4, T360)</f>
        <v>0.17599999999999999</v>
      </c>
      <c r="V360" s="7" t="str">
        <f t="shared" si="74"/>
        <v>Less than 20%</v>
      </c>
      <c r="W360" s="11">
        <v>13</v>
      </c>
      <c r="X360" s="6">
        <f t="shared" si="71"/>
        <v>14813.731920000002</v>
      </c>
      <c r="Y360" s="6">
        <f t="shared" si="72"/>
        <v>8660.99</v>
      </c>
      <c r="Z360" s="6">
        <f t="shared" si="75"/>
        <v>6152.7419200000022</v>
      </c>
      <c r="AA360" s="9">
        <f t="shared" si="76"/>
        <v>0.41534043907553048</v>
      </c>
      <c r="AB360" s="9">
        <f>IF(U360&gt;'What-If Analysis'!$F$16, 'What-If Analysis'!$F$16,T360)</f>
        <v>0.17</v>
      </c>
      <c r="AC360" s="42">
        <f>S360*(1-AB360)</f>
        <v>1147.8153</v>
      </c>
      <c r="AD360" s="42">
        <f>Q360*(1+'What-If Analysis'!F375)</f>
        <v>666.23</v>
      </c>
      <c r="AE360" s="41">
        <f>W360*(1+'What-If Analysis'!$F$18)</f>
        <v>15.209999999999999</v>
      </c>
      <c r="AF360" s="42">
        <f t="shared" si="77"/>
        <v>17458.270712999998</v>
      </c>
      <c r="AG360" s="42">
        <f t="shared" si="78"/>
        <v>10133.3583</v>
      </c>
      <c r="AH360" s="42">
        <f t="shared" si="79"/>
        <v>7324.9124129999982</v>
      </c>
      <c r="AI360" s="44">
        <f t="shared" si="80"/>
        <v>0.41956689373281569</v>
      </c>
      <c r="AJ360" s="42">
        <f t="shared" si="81"/>
        <v>2644.5387929999961</v>
      </c>
      <c r="AK360" s="42">
        <f t="shared" si="82"/>
        <v>6152.7419200000022</v>
      </c>
      <c r="AL360" s="9">
        <f t="shared" si="83"/>
        <v>4.2264546572852169E-3</v>
      </c>
      <c r="AM360" s="42"/>
    </row>
    <row r="361" spans="1:39" x14ac:dyDescent="0.25">
      <c r="A361" t="s">
        <v>374</v>
      </c>
      <c r="B361" s="20">
        <v>45466</v>
      </c>
      <c r="C361" s="4">
        <v>45468</v>
      </c>
      <c r="D361" s="4" t="s">
        <v>1439</v>
      </c>
      <c r="E361" s="4">
        <v>45468</v>
      </c>
      <c r="F361" s="11">
        <f t="shared" si="70"/>
        <v>2</v>
      </c>
      <c r="G361" s="11" t="str">
        <f t="shared" si="73"/>
        <v>Meets Target</v>
      </c>
      <c r="H361" t="s">
        <v>649</v>
      </c>
      <c r="I361" t="s">
        <v>658</v>
      </c>
      <c r="J361" t="s">
        <v>674</v>
      </c>
      <c r="K361" t="s">
        <v>705</v>
      </c>
      <c r="L361" t="s">
        <v>709</v>
      </c>
      <c r="M361" t="s">
        <v>716</v>
      </c>
      <c r="N361" t="s">
        <v>733</v>
      </c>
      <c r="O361" t="str" cm="1">
        <f t="array" ref="O361">_xlfn.IFS(S361&lt;=_xlfn.PERCENTILE.INC(IF(N361:N991=N361, S361:S991), 0.33), "Low", S361&lt;=_xlfn.PERCENTILE.INC(IF(N361:N991=N361, S361:S991), 0.66), "Medium", S361 &gt; _xlfn.PERCENTILE.INC(IF(N361:N991=N361, S361:S991), 0.66), "High")</f>
        <v>High</v>
      </c>
      <c r="P361" t="s">
        <v>1094</v>
      </c>
      <c r="Q361" s="6">
        <v>951.44</v>
      </c>
      <c r="R361" s="6">
        <v>1646.43</v>
      </c>
      <c r="S361" s="6">
        <v>1646.43</v>
      </c>
      <c r="T361" s="9">
        <v>0.11</v>
      </c>
      <c r="U361" s="9">
        <f>IF(T361&gt;0.3, $AO$4, T361)</f>
        <v>0.11</v>
      </c>
      <c r="V361" s="7" t="str">
        <f t="shared" si="74"/>
        <v>Less than 20%</v>
      </c>
      <c r="W361" s="11">
        <v>24</v>
      </c>
      <c r="X361" s="6">
        <f t="shared" si="71"/>
        <v>35167.7448</v>
      </c>
      <c r="Y361" s="6">
        <f t="shared" si="72"/>
        <v>22834.560000000001</v>
      </c>
      <c r="Z361" s="6">
        <f t="shared" si="75"/>
        <v>12333.184799999999</v>
      </c>
      <c r="AA361" s="9">
        <f t="shared" si="76"/>
        <v>0.35069592520473475</v>
      </c>
      <c r="AB361" s="9">
        <f>IF(U361&gt;'What-If Analysis'!$F$16, 'What-If Analysis'!$F$16,T361)</f>
        <v>0.11</v>
      </c>
      <c r="AC361" s="42">
        <f>S361*(1-AB361)</f>
        <v>1465.3227000000002</v>
      </c>
      <c r="AD361" s="42">
        <f>Q361*(1+'What-If Analysis'!F376)</f>
        <v>951.44</v>
      </c>
      <c r="AE361" s="41">
        <f>W361*(1+'What-If Analysis'!$F$18)</f>
        <v>28.08</v>
      </c>
      <c r="AF361" s="42">
        <f t="shared" si="77"/>
        <v>41146.261416000001</v>
      </c>
      <c r="AG361" s="42">
        <f t="shared" si="78"/>
        <v>26716.4352</v>
      </c>
      <c r="AH361" s="42">
        <f t="shared" si="79"/>
        <v>14429.826216000001</v>
      </c>
      <c r="AI361" s="44">
        <f t="shared" si="80"/>
        <v>0.3506959252047348</v>
      </c>
      <c r="AJ361" s="42">
        <f t="shared" si="81"/>
        <v>5978.5166160000008</v>
      </c>
      <c r="AK361" s="42">
        <f t="shared" si="82"/>
        <v>12333.184799999999</v>
      </c>
      <c r="AL361" s="9">
        <f t="shared" si="83"/>
        <v>0</v>
      </c>
      <c r="AM361" s="42"/>
    </row>
    <row r="362" spans="1:39" x14ac:dyDescent="0.25">
      <c r="A362" t="s">
        <v>375</v>
      </c>
      <c r="B362" s="20">
        <v>45833</v>
      </c>
      <c r="C362" s="4">
        <v>45848</v>
      </c>
      <c r="D362" s="4" t="s">
        <v>1440</v>
      </c>
      <c r="E362" s="4">
        <v>45848</v>
      </c>
      <c r="F362" s="11">
        <f t="shared" si="70"/>
        <v>15</v>
      </c>
      <c r="G362" s="11" t="str">
        <f t="shared" si="73"/>
        <v>Does not Meet Target</v>
      </c>
      <c r="H362" t="s">
        <v>649</v>
      </c>
      <c r="I362" t="s">
        <v>658</v>
      </c>
      <c r="J362" t="s">
        <v>674</v>
      </c>
      <c r="K362" t="s">
        <v>703</v>
      </c>
      <c r="L362" t="s">
        <v>709</v>
      </c>
      <c r="M362" t="s">
        <v>726</v>
      </c>
      <c r="N362" t="s">
        <v>730</v>
      </c>
      <c r="O362" t="str" cm="1">
        <f t="array" ref="O362">_xlfn.IFS(S362&lt;=_xlfn.PERCENTILE.INC(IF(N362:N992=N362, S362:S992), 0.33), "Low", S362&lt;=_xlfn.PERCENTILE.INC(IF(N362:N992=N362, S362:S992), 0.66), "Medium", S362 &gt; _xlfn.PERCENTILE.INC(IF(N362:N992=N362, S362:S992), 0.66), "High")</f>
        <v>Low</v>
      </c>
      <c r="P362" t="s">
        <v>1095</v>
      </c>
      <c r="Q362" s="6">
        <v>546.83000000000004</v>
      </c>
      <c r="R362" s="6">
        <v>400.84</v>
      </c>
      <c r="S362" s="6">
        <v>400.84</v>
      </c>
      <c r="T362" s="9">
        <v>7.8E-2</v>
      </c>
      <c r="U362" s="9">
        <f>IF(T362&gt;0.3, $AO$4, T362)</f>
        <v>7.8E-2</v>
      </c>
      <c r="V362" s="7" t="str">
        <f t="shared" si="74"/>
        <v>Less than 20%</v>
      </c>
      <c r="W362" s="11">
        <v>13</v>
      </c>
      <c r="X362" s="6">
        <f t="shared" si="71"/>
        <v>4804.4682400000002</v>
      </c>
      <c r="Y362" s="6">
        <f t="shared" si="72"/>
        <v>7108.7900000000009</v>
      </c>
      <c r="Z362" s="6">
        <f t="shared" si="75"/>
        <v>-2304.3217600000007</v>
      </c>
      <c r="AA362" s="9">
        <f t="shared" si="76"/>
        <v>-0.47962056254533608</v>
      </c>
      <c r="AB362" s="9">
        <f>IF(U362&gt;'What-If Analysis'!$F$16, 'What-If Analysis'!$F$16,T362)</f>
        <v>7.8E-2</v>
      </c>
      <c r="AC362" s="42">
        <f>S362*(1-AB362)</f>
        <v>369.57447999999999</v>
      </c>
      <c r="AD362" s="42">
        <f>Q362*(1+'What-If Analysis'!F377)</f>
        <v>546.83000000000004</v>
      </c>
      <c r="AE362" s="41">
        <f>W362*(1+'What-If Analysis'!$F$18)</f>
        <v>15.209999999999999</v>
      </c>
      <c r="AF362" s="42">
        <f t="shared" si="77"/>
        <v>5621.2278407999993</v>
      </c>
      <c r="AG362" s="42">
        <f t="shared" si="78"/>
        <v>8317.2842999999993</v>
      </c>
      <c r="AH362" s="42">
        <f t="shared" si="79"/>
        <v>-2696.0564592000001</v>
      </c>
      <c r="AI362" s="44">
        <f t="shared" si="80"/>
        <v>-0.47962056254533597</v>
      </c>
      <c r="AJ362" s="42">
        <f t="shared" si="81"/>
        <v>816.75960079999913</v>
      </c>
      <c r="AK362" s="42">
        <f t="shared" si="82"/>
        <v>-2304.3217600000007</v>
      </c>
      <c r="AL362" s="9">
        <f t="shared" si="83"/>
        <v>0</v>
      </c>
      <c r="AM362" s="42"/>
    </row>
    <row r="363" spans="1:39" x14ac:dyDescent="0.25">
      <c r="A363" t="s">
        <v>376</v>
      </c>
      <c r="B363" s="20">
        <v>45108</v>
      </c>
      <c r="C363" s="4">
        <v>45115</v>
      </c>
      <c r="D363" s="4" t="s">
        <v>1444</v>
      </c>
      <c r="E363" s="4">
        <v>45115</v>
      </c>
      <c r="F363" s="11">
        <f t="shared" si="70"/>
        <v>7</v>
      </c>
      <c r="G363" s="11" t="str">
        <f t="shared" si="73"/>
        <v>Meets Target</v>
      </c>
      <c r="H363" t="s">
        <v>646</v>
      </c>
      <c r="I363" t="s">
        <v>651</v>
      </c>
      <c r="J363" t="s">
        <v>663</v>
      </c>
      <c r="K363" t="s">
        <v>701</v>
      </c>
      <c r="L363" t="s">
        <v>707</v>
      </c>
      <c r="M363" t="s">
        <v>720</v>
      </c>
      <c r="N363" t="s">
        <v>731</v>
      </c>
      <c r="O363" t="str" cm="1">
        <f t="array" ref="O363">_xlfn.IFS(S363&lt;=_xlfn.PERCENTILE.INC(IF(N363:N993=N363, S363:S993), 0.33), "Low", S363&lt;=_xlfn.PERCENTILE.INC(IF(N363:N993=N363, S363:S993), 0.66), "Medium", S363 &gt; _xlfn.PERCENTILE.INC(IF(N363:N993=N363, S363:S993), 0.66), "High")</f>
        <v>Medium</v>
      </c>
      <c r="P363" t="s">
        <v>1096</v>
      </c>
      <c r="Q363" s="6">
        <v>834.26</v>
      </c>
      <c r="R363" s="6">
        <v>1780.56</v>
      </c>
      <c r="S363" s="6">
        <v>1780.56</v>
      </c>
      <c r="T363" s="9">
        <v>1.4E-2</v>
      </c>
      <c r="U363" s="9">
        <f>IF(T363&gt;0.3, $AO$4, T363)</f>
        <v>1.4E-2</v>
      </c>
      <c r="V363" s="7" t="str">
        <f t="shared" si="74"/>
        <v>Less than 20%</v>
      </c>
      <c r="W363" s="11">
        <v>47</v>
      </c>
      <c r="X363" s="6">
        <f t="shared" si="71"/>
        <v>82514.711519999997</v>
      </c>
      <c r="Y363" s="6">
        <f t="shared" si="72"/>
        <v>39210.22</v>
      </c>
      <c r="Z363" s="6">
        <f t="shared" si="75"/>
        <v>43304.491519999996</v>
      </c>
      <c r="AA363" s="9">
        <f t="shared" si="76"/>
        <v>0.5248093427497933</v>
      </c>
      <c r="AB363" s="9">
        <f>IF(U363&gt;'What-If Analysis'!$F$16, 'What-If Analysis'!$F$16,T363)</f>
        <v>1.4E-2</v>
      </c>
      <c r="AC363" s="42">
        <f>S363*(1-AB363)</f>
        <v>1755.6321599999999</v>
      </c>
      <c r="AD363" s="42">
        <f>Q363*(1+'What-If Analysis'!F378)</f>
        <v>834.26</v>
      </c>
      <c r="AE363" s="41">
        <f>W363*(1+'What-If Analysis'!$F$18)</f>
        <v>54.989999999999995</v>
      </c>
      <c r="AF363" s="42">
        <f t="shared" si="77"/>
        <v>96542.21247839999</v>
      </c>
      <c r="AG363" s="42">
        <f t="shared" si="78"/>
        <v>45875.957399999992</v>
      </c>
      <c r="AH363" s="42">
        <f t="shared" si="79"/>
        <v>50666.255078399998</v>
      </c>
      <c r="AI363" s="44">
        <f t="shared" si="80"/>
        <v>0.52480934274979341</v>
      </c>
      <c r="AJ363" s="42">
        <f t="shared" si="81"/>
        <v>14027.500958399993</v>
      </c>
      <c r="AK363" s="42">
        <f t="shared" si="82"/>
        <v>43304.491519999996</v>
      </c>
      <c r="AL363" s="9">
        <f t="shared" si="83"/>
        <v>0</v>
      </c>
      <c r="AM363" s="42"/>
    </row>
    <row r="364" spans="1:39" x14ac:dyDescent="0.25">
      <c r="A364" t="s">
        <v>377</v>
      </c>
      <c r="B364" s="20">
        <v>45360</v>
      </c>
      <c r="C364" s="4">
        <v>45377</v>
      </c>
      <c r="D364" s="4" t="s">
        <v>1434</v>
      </c>
      <c r="E364" s="4">
        <v>45377</v>
      </c>
      <c r="F364" s="11">
        <f t="shared" si="70"/>
        <v>17</v>
      </c>
      <c r="G364" s="11" t="str">
        <f t="shared" si="73"/>
        <v>Does not Meet Target</v>
      </c>
      <c r="H364" t="s">
        <v>647</v>
      </c>
      <c r="I364" t="s">
        <v>659</v>
      </c>
      <c r="J364" t="s">
        <v>676</v>
      </c>
      <c r="K364" t="s">
        <v>706</v>
      </c>
      <c r="L364" t="s">
        <v>708</v>
      </c>
      <c r="M364" t="s">
        <v>723</v>
      </c>
      <c r="N364" t="s">
        <v>732</v>
      </c>
      <c r="O364" t="str" cm="1">
        <f t="array" ref="O364">_xlfn.IFS(S364&lt;=_xlfn.PERCENTILE.INC(IF(N364:N994=N364, S364:S994), 0.33), "Low", S364&lt;=_xlfn.PERCENTILE.INC(IF(N364:N994=N364, S364:S994), 0.66), "Medium", S364 &gt; _xlfn.PERCENTILE.INC(IF(N364:N994=N364, S364:S994), 0.66), "High")</f>
        <v>Medium</v>
      </c>
      <c r="P364" t="s">
        <v>1097</v>
      </c>
      <c r="Q364" s="6">
        <v>1029.67</v>
      </c>
      <c r="R364" s="6">
        <v>1118.43</v>
      </c>
      <c r="S364" s="6">
        <v>1118.43</v>
      </c>
      <c r="T364" s="9">
        <v>0.27200000000000002</v>
      </c>
      <c r="U364" s="9">
        <f>IF(T364&gt;0.3, $AO$4, T364)</f>
        <v>0.27200000000000002</v>
      </c>
      <c r="V364" s="7" t="str">
        <f t="shared" si="74"/>
        <v>Greater than 20%</v>
      </c>
      <c r="W364" s="11">
        <v>9</v>
      </c>
      <c r="X364" s="6">
        <f t="shared" si="71"/>
        <v>7327.9533600000004</v>
      </c>
      <c r="Y364" s="6">
        <f t="shared" si="72"/>
        <v>9267.0300000000007</v>
      </c>
      <c r="Z364" s="6">
        <f t="shared" si="75"/>
        <v>-1939.0766400000002</v>
      </c>
      <c r="AA364" s="9">
        <f t="shared" si="76"/>
        <v>-0.26461367106736061</v>
      </c>
      <c r="AB364" s="9">
        <f>IF(U364&gt;'What-If Analysis'!$F$16, 'What-If Analysis'!$F$16,T364)</f>
        <v>0.17</v>
      </c>
      <c r="AC364" s="42">
        <f>S364*(1-AB364)</f>
        <v>928.29690000000005</v>
      </c>
      <c r="AD364" s="42">
        <f>Q364*(1+'What-If Analysis'!F379)</f>
        <v>1029.67</v>
      </c>
      <c r="AE364" s="41">
        <f>W364*(1+'What-If Analysis'!$F$18)</f>
        <v>10.53</v>
      </c>
      <c r="AF364" s="42">
        <f t="shared" si="77"/>
        <v>9774.9663569999993</v>
      </c>
      <c r="AG364" s="42">
        <f t="shared" si="78"/>
        <v>10842.4251</v>
      </c>
      <c r="AH364" s="42">
        <f t="shared" si="79"/>
        <v>-1067.458743000001</v>
      </c>
      <c r="AI364" s="44">
        <f t="shared" si="80"/>
        <v>-0.10920331630968509</v>
      </c>
      <c r="AJ364" s="42">
        <f t="shared" si="81"/>
        <v>2447.0129969999989</v>
      </c>
      <c r="AK364" s="42">
        <f t="shared" si="82"/>
        <v>-1939.0766400000002</v>
      </c>
      <c r="AL364" s="9">
        <f t="shared" si="83"/>
        <v>0.15541035475767551</v>
      </c>
      <c r="AM364" s="42"/>
    </row>
    <row r="365" spans="1:39" x14ac:dyDescent="0.25">
      <c r="A365" t="s">
        <v>378</v>
      </c>
      <c r="B365" s="20">
        <v>45082</v>
      </c>
      <c r="C365" s="4">
        <v>45105</v>
      </c>
      <c r="D365" s="4" t="s">
        <v>1442</v>
      </c>
      <c r="E365" s="4">
        <v>45105</v>
      </c>
      <c r="F365" s="11">
        <f t="shared" si="70"/>
        <v>23</v>
      </c>
      <c r="G365" s="11" t="str">
        <f t="shared" si="73"/>
        <v>Does not Meet Target</v>
      </c>
      <c r="H365" t="s">
        <v>649</v>
      </c>
      <c r="I365" t="s">
        <v>658</v>
      </c>
      <c r="J365" t="s">
        <v>674</v>
      </c>
      <c r="K365" t="s">
        <v>701</v>
      </c>
      <c r="L365" t="s">
        <v>711</v>
      </c>
      <c r="M365" t="s">
        <v>723</v>
      </c>
      <c r="N365" t="s">
        <v>728</v>
      </c>
      <c r="O365" t="str" cm="1">
        <f t="array" ref="O365">_xlfn.IFS(S365&lt;=_xlfn.PERCENTILE.INC(IF(N365:N995=N365, S365:S995), 0.33), "Low", S365&lt;=_xlfn.PERCENTILE.INC(IF(N365:N995=N365, S365:S995), 0.66), "Medium", S365 &gt; _xlfn.PERCENTILE.INC(IF(N365:N995=N365, S365:S995), 0.66), "High")</f>
        <v>Low</v>
      </c>
      <c r="P365" t="s">
        <v>1098</v>
      </c>
      <c r="Q365" s="6">
        <v>605.82000000000005</v>
      </c>
      <c r="R365" s="6">
        <v>771.12</v>
      </c>
      <c r="S365" s="6">
        <v>771.12</v>
      </c>
      <c r="T365" s="9">
        <v>0.13200000000000001</v>
      </c>
      <c r="U365" s="9">
        <f>IF(T365&gt;0.3, $AO$4, T365)</f>
        <v>0.13200000000000001</v>
      </c>
      <c r="V365" s="7" t="str">
        <f t="shared" si="74"/>
        <v>Less than 20%</v>
      </c>
      <c r="W365" s="11">
        <v>19</v>
      </c>
      <c r="X365" s="6">
        <f t="shared" si="71"/>
        <v>12717.311040000001</v>
      </c>
      <c r="Y365" s="6">
        <f t="shared" si="72"/>
        <v>11510.580000000002</v>
      </c>
      <c r="Z365" s="6">
        <f t="shared" si="75"/>
        <v>1206.7310399999988</v>
      </c>
      <c r="AA365" s="9">
        <f t="shared" si="76"/>
        <v>9.4888851597986767E-2</v>
      </c>
      <c r="AB365" s="9">
        <f>IF(U365&gt;'What-If Analysis'!$F$16, 'What-If Analysis'!$F$16,T365)</f>
        <v>0.13200000000000001</v>
      </c>
      <c r="AC365" s="42">
        <f>S365*(1-AB365)</f>
        <v>669.33216000000004</v>
      </c>
      <c r="AD365" s="42">
        <f>Q365*(1+'What-If Analysis'!F380)</f>
        <v>605.82000000000005</v>
      </c>
      <c r="AE365" s="41">
        <f>W365*(1+'What-If Analysis'!$F$18)</f>
        <v>22.229999999999997</v>
      </c>
      <c r="AF365" s="42">
        <f t="shared" si="77"/>
        <v>14879.253916799998</v>
      </c>
      <c r="AG365" s="42">
        <f t="shared" si="78"/>
        <v>13467.3786</v>
      </c>
      <c r="AH365" s="42">
        <f t="shared" si="79"/>
        <v>1411.8753167999985</v>
      </c>
      <c r="AI365" s="44">
        <f t="shared" si="80"/>
        <v>9.4888851597986767E-2</v>
      </c>
      <c r="AJ365" s="42">
        <f t="shared" si="81"/>
        <v>2161.942876799998</v>
      </c>
      <c r="AK365" s="42">
        <f t="shared" si="82"/>
        <v>1206.7310399999988</v>
      </c>
      <c r="AL365" s="9">
        <f t="shared" si="83"/>
        <v>0</v>
      </c>
      <c r="AM365" s="42"/>
    </row>
    <row r="366" spans="1:39" x14ac:dyDescent="0.25">
      <c r="A366" t="s">
        <v>379</v>
      </c>
      <c r="B366" s="20">
        <v>45737</v>
      </c>
      <c r="C366" s="4">
        <v>45756</v>
      </c>
      <c r="D366" s="4" t="s">
        <v>1437</v>
      </c>
      <c r="E366" s="4">
        <v>45756</v>
      </c>
      <c r="F366" s="11">
        <f t="shared" si="70"/>
        <v>19</v>
      </c>
      <c r="G366" s="11" t="str">
        <f t="shared" si="73"/>
        <v>Does not Meet Target</v>
      </c>
      <c r="H366" t="s">
        <v>647</v>
      </c>
      <c r="I366" t="s">
        <v>652</v>
      </c>
      <c r="J366" t="s">
        <v>689</v>
      </c>
      <c r="K366" t="s">
        <v>705</v>
      </c>
      <c r="L366" t="s">
        <v>710</v>
      </c>
      <c r="M366" t="s">
        <v>718</v>
      </c>
      <c r="N366" t="s">
        <v>727</v>
      </c>
      <c r="O366" t="str" cm="1">
        <f t="array" ref="O366">_xlfn.IFS(S366&lt;=_xlfn.PERCENTILE.INC(IF(N366:N996=N366, S366:S996), 0.33), "Low", S366&lt;=_xlfn.PERCENTILE.INC(IF(N366:N996=N366, S366:S996), 0.66), "Medium", S366 &gt; _xlfn.PERCENTILE.INC(IF(N366:N996=N366, S366:S996), 0.66), "High")</f>
        <v>Medium</v>
      </c>
      <c r="P366" t="s">
        <v>1099</v>
      </c>
      <c r="Q366" s="6">
        <v>1055.45</v>
      </c>
      <c r="R366" s="6">
        <v>1210.04</v>
      </c>
      <c r="S366" s="6">
        <v>1210.04</v>
      </c>
      <c r="T366" s="9">
        <v>8.9999999999999993E-3</v>
      </c>
      <c r="U366" s="9">
        <f>IF(T366&gt;0.3, $AO$4, T366)</f>
        <v>8.9999999999999993E-3</v>
      </c>
      <c r="V366" s="7" t="str">
        <f t="shared" si="74"/>
        <v>Less than 20%</v>
      </c>
      <c r="W366" s="11">
        <v>18</v>
      </c>
      <c r="X366" s="6">
        <f t="shared" si="71"/>
        <v>21584.693520000001</v>
      </c>
      <c r="Y366" s="6">
        <f t="shared" si="72"/>
        <v>18998.100000000002</v>
      </c>
      <c r="Z366" s="6">
        <f t="shared" si="75"/>
        <v>2586.5935199999985</v>
      </c>
      <c r="AA366" s="9">
        <f t="shared" si="76"/>
        <v>0.1198346188053727</v>
      </c>
      <c r="AB366" s="9">
        <f>IF(U366&gt;'What-If Analysis'!$F$16, 'What-If Analysis'!$F$16,T366)</f>
        <v>8.9999999999999993E-3</v>
      </c>
      <c r="AC366" s="42">
        <f>S366*(1-AB366)</f>
        <v>1199.1496399999999</v>
      </c>
      <c r="AD366" s="42">
        <f>Q366*(1+'What-If Analysis'!F381)</f>
        <v>1055.45</v>
      </c>
      <c r="AE366" s="41">
        <f>W366*(1+'What-If Analysis'!$F$18)</f>
        <v>21.06</v>
      </c>
      <c r="AF366" s="42">
        <f t="shared" si="77"/>
        <v>25254.091418399996</v>
      </c>
      <c r="AG366" s="42">
        <f t="shared" si="78"/>
        <v>22227.776999999998</v>
      </c>
      <c r="AH366" s="42">
        <f t="shared" si="79"/>
        <v>3026.3144183999975</v>
      </c>
      <c r="AI366" s="44">
        <f t="shared" si="80"/>
        <v>0.1198346188053727</v>
      </c>
      <c r="AJ366" s="42">
        <f t="shared" si="81"/>
        <v>3669.397898399995</v>
      </c>
      <c r="AK366" s="42">
        <f t="shared" si="82"/>
        <v>2586.5935199999985</v>
      </c>
      <c r="AL366" s="9">
        <f t="shared" si="83"/>
        <v>0</v>
      </c>
      <c r="AM366" s="42"/>
    </row>
    <row r="367" spans="1:39" x14ac:dyDescent="0.25">
      <c r="A367" t="s">
        <v>380</v>
      </c>
      <c r="B367" s="20">
        <v>45445</v>
      </c>
      <c r="C367" s="4">
        <v>45458</v>
      </c>
      <c r="D367" s="4" t="s">
        <v>1439</v>
      </c>
      <c r="E367" s="4">
        <v>45458</v>
      </c>
      <c r="F367" s="11">
        <f t="shared" si="70"/>
        <v>13</v>
      </c>
      <c r="G367" s="11" t="str">
        <f t="shared" si="73"/>
        <v>Does not Meet Target</v>
      </c>
      <c r="H367" t="s">
        <v>646</v>
      </c>
      <c r="I367" t="s">
        <v>650</v>
      </c>
      <c r="J367" t="s">
        <v>675</v>
      </c>
      <c r="K367" t="s">
        <v>702</v>
      </c>
      <c r="L367" t="s">
        <v>708</v>
      </c>
      <c r="M367" t="s">
        <v>719</v>
      </c>
      <c r="N367" t="s">
        <v>730</v>
      </c>
      <c r="O367" t="str" cm="1">
        <f t="array" ref="O367">_xlfn.IFS(S367&lt;=_xlfn.PERCENTILE.INC(IF(N367:N997=N367, S367:S997), 0.33), "Low", S367&lt;=_xlfn.PERCENTILE.INC(IF(N367:N997=N367, S367:S997), 0.66), "Medium", S367 &gt; _xlfn.PERCENTILE.INC(IF(N367:N997=N367, S367:S997), 0.66), "High")</f>
        <v>High</v>
      </c>
      <c r="P367" t="s">
        <v>1100</v>
      </c>
      <c r="Q367" s="6">
        <v>1295.18</v>
      </c>
      <c r="R367" s="6">
        <v>3024.03</v>
      </c>
      <c r="S367" s="6">
        <v>3024.03</v>
      </c>
      <c r="T367" s="9">
        <v>0.192</v>
      </c>
      <c r="U367" s="9">
        <f>IF(T367&gt;0.3, $AO$4, T367)</f>
        <v>0.192</v>
      </c>
      <c r="V367" s="7" t="str">
        <f t="shared" si="74"/>
        <v>Less than 20%</v>
      </c>
      <c r="W367" s="11">
        <v>8</v>
      </c>
      <c r="X367" s="6">
        <f t="shared" si="71"/>
        <v>19547.329920000004</v>
      </c>
      <c r="Y367" s="6">
        <f t="shared" si="72"/>
        <v>10361.44</v>
      </c>
      <c r="Z367" s="6">
        <f t="shared" si="75"/>
        <v>9185.8899200000033</v>
      </c>
      <c r="AA367" s="9">
        <f t="shared" si="76"/>
        <v>0.46993067378483178</v>
      </c>
      <c r="AB367" s="9">
        <f>IF(U367&gt;'What-If Analysis'!$F$16, 'What-If Analysis'!$F$16,T367)</f>
        <v>0.17</v>
      </c>
      <c r="AC367" s="42">
        <f>S367*(1-AB367)</f>
        <v>2509.9449</v>
      </c>
      <c r="AD367" s="42">
        <f>Q367*(1+'What-If Analysis'!F382)</f>
        <v>1295.18</v>
      </c>
      <c r="AE367" s="41">
        <f>W367*(1+'What-If Analysis'!$F$18)</f>
        <v>9.36</v>
      </c>
      <c r="AF367" s="42">
        <f t="shared" si="77"/>
        <v>23493.084263999997</v>
      </c>
      <c r="AG367" s="42">
        <f t="shared" si="78"/>
        <v>12122.8848</v>
      </c>
      <c r="AH367" s="42">
        <f t="shared" si="79"/>
        <v>11370.199463999998</v>
      </c>
      <c r="AI367" s="44">
        <f t="shared" si="80"/>
        <v>0.48398070411824573</v>
      </c>
      <c r="AJ367" s="42">
        <f t="shared" si="81"/>
        <v>3945.7543439999936</v>
      </c>
      <c r="AK367" s="42">
        <f t="shared" si="82"/>
        <v>9185.8899200000033</v>
      </c>
      <c r="AL367" s="9">
        <f t="shared" si="83"/>
        <v>1.4050030333413954E-2</v>
      </c>
      <c r="AM367" s="42"/>
    </row>
    <row r="368" spans="1:39" x14ac:dyDescent="0.25">
      <c r="A368" t="s">
        <v>381</v>
      </c>
      <c r="B368" s="20">
        <v>45731</v>
      </c>
      <c r="C368" s="4">
        <v>45745</v>
      </c>
      <c r="D368" s="4" t="s">
        <v>1437</v>
      </c>
      <c r="E368" s="4">
        <v>45745</v>
      </c>
      <c r="F368" s="11">
        <f t="shared" si="70"/>
        <v>14</v>
      </c>
      <c r="G368" s="11" t="str">
        <f t="shared" si="73"/>
        <v>Does not Meet Target</v>
      </c>
      <c r="H368" t="s">
        <v>647</v>
      </c>
      <c r="I368" t="s">
        <v>654</v>
      </c>
      <c r="J368" t="s">
        <v>691</v>
      </c>
      <c r="K368" t="s">
        <v>706</v>
      </c>
      <c r="L368" t="s">
        <v>711</v>
      </c>
      <c r="M368" t="s">
        <v>712</v>
      </c>
      <c r="N368" t="s">
        <v>727</v>
      </c>
      <c r="O368" t="str" cm="1">
        <f t="array" ref="O368">_xlfn.IFS(S368&lt;=_xlfn.PERCENTILE.INC(IF(N368:N998=N368, S368:S998), 0.33), "Low", S368&lt;=_xlfn.PERCENTILE.INC(IF(N368:N998=N368, S368:S998), 0.66), "Medium", S368 &gt; _xlfn.PERCENTILE.INC(IF(N368:N998=N368, S368:S998), 0.66), "High")</f>
        <v>High</v>
      </c>
      <c r="P368" t="s">
        <v>1101</v>
      </c>
      <c r="Q368" s="6">
        <v>935.83</v>
      </c>
      <c r="R368" s="6">
        <v>2303.46</v>
      </c>
      <c r="S368" s="6">
        <v>2303.46</v>
      </c>
      <c r="T368" s="9">
        <v>0.105</v>
      </c>
      <c r="U368" s="9">
        <f>IF(T368&gt;0.3, $AO$4, T368)</f>
        <v>0.105</v>
      </c>
      <c r="V368" s="7" t="str">
        <f t="shared" si="74"/>
        <v>Less than 20%</v>
      </c>
      <c r="W368" s="11">
        <v>9</v>
      </c>
      <c r="X368" s="6">
        <f t="shared" si="71"/>
        <v>18554.370299999999</v>
      </c>
      <c r="Y368" s="6">
        <f t="shared" si="72"/>
        <v>8422.4700000000012</v>
      </c>
      <c r="Z368" s="6">
        <f t="shared" si="75"/>
        <v>10131.900299999998</v>
      </c>
      <c r="AA368" s="9">
        <f t="shared" si="76"/>
        <v>0.54606543559174292</v>
      </c>
      <c r="AB368" s="9">
        <f>IF(U368&gt;'What-If Analysis'!$F$16, 'What-If Analysis'!$F$16,T368)</f>
        <v>0.105</v>
      </c>
      <c r="AC368" s="42">
        <f>S368*(1-AB368)</f>
        <v>2061.5967000000001</v>
      </c>
      <c r="AD368" s="42">
        <f>Q368*(1+'What-If Analysis'!F383)</f>
        <v>935.83</v>
      </c>
      <c r="AE368" s="41">
        <f>W368*(1+'What-If Analysis'!$F$18)</f>
        <v>10.53</v>
      </c>
      <c r="AF368" s="42">
        <f t="shared" si="77"/>
        <v>21708.613250999999</v>
      </c>
      <c r="AG368" s="42">
        <f t="shared" si="78"/>
        <v>9854.2898999999998</v>
      </c>
      <c r="AH368" s="42">
        <f t="shared" si="79"/>
        <v>11854.323350999999</v>
      </c>
      <c r="AI368" s="44">
        <f t="shared" si="80"/>
        <v>0.54606543559174303</v>
      </c>
      <c r="AJ368" s="42">
        <f t="shared" si="81"/>
        <v>3154.2429510000002</v>
      </c>
      <c r="AK368" s="42">
        <f t="shared" si="82"/>
        <v>10131.900299999998</v>
      </c>
      <c r="AL368" s="9">
        <f t="shared" si="83"/>
        <v>0</v>
      </c>
      <c r="AM368" s="42"/>
    </row>
    <row r="369" spans="1:39" x14ac:dyDescent="0.25">
      <c r="A369" t="s">
        <v>382</v>
      </c>
      <c r="B369" s="20">
        <v>45194</v>
      </c>
      <c r="C369" s="4">
        <v>45208</v>
      </c>
      <c r="D369" s="4" t="s">
        <v>1444</v>
      </c>
      <c r="E369" s="4">
        <v>45208</v>
      </c>
      <c r="F369" s="11">
        <f t="shared" si="70"/>
        <v>14</v>
      </c>
      <c r="G369" s="11" t="str">
        <f t="shared" si="73"/>
        <v>Does not Meet Target</v>
      </c>
      <c r="H369" t="s">
        <v>648</v>
      </c>
      <c r="I369" t="s">
        <v>660</v>
      </c>
      <c r="J369" t="s">
        <v>700</v>
      </c>
      <c r="K369" t="s">
        <v>705</v>
      </c>
      <c r="L369" t="s">
        <v>709</v>
      </c>
      <c r="M369" t="s">
        <v>713</v>
      </c>
      <c r="N369" t="s">
        <v>731</v>
      </c>
      <c r="O369" t="str" cm="1">
        <f t="array" ref="O369">_xlfn.IFS(S369&lt;=_xlfn.PERCENTILE.INC(IF(N369:N999=N369, S369:S999), 0.33), "Low", S369&lt;=_xlfn.PERCENTILE.INC(IF(N369:N999=N369, S369:S999), 0.66), "Medium", S369 &gt; _xlfn.PERCENTILE.INC(IF(N369:N999=N369, S369:S999), 0.66), "High")</f>
        <v>High</v>
      </c>
      <c r="P369" t="s">
        <v>1102</v>
      </c>
      <c r="Q369" s="6">
        <v>1279.56</v>
      </c>
      <c r="R369" s="6">
        <v>3083.8</v>
      </c>
      <c r="S369" s="6">
        <v>3083.8</v>
      </c>
      <c r="T369" s="9">
        <v>0.106</v>
      </c>
      <c r="U369" s="9">
        <f>IF(T369&gt;0.3, $AO$4, T369)</f>
        <v>0.106</v>
      </c>
      <c r="V369" s="7" t="str">
        <f t="shared" si="74"/>
        <v>Less than 20%</v>
      </c>
      <c r="W369" s="11">
        <v>5</v>
      </c>
      <c r="X369" s="6">
        <f t="shared" si="71"/>
        <v>13784.586000000001</v>
      </c>
      <c r="Y369" s="6">
        <f t="shared" si="72"/>
        <v>6397.7999999999993</v>
      </c>
      <c r="Z369" s="6">
        <f t="shared" si="75"/>
        <v>7386.7860000000019</v>
      </c>
      <c r="AA369" s="9">
        <f t="shared" si="76"/>
        <v>0.53587289455047848</v>
      </c>
      <c r="AB369" s="9">
        <f>IF(U369&gt;'What-If Analysis'!$F$16, 'What-If Analysis'!$F$16,T369)</f>
        <v>0.106</v>
      </c>
      <c r="AC369" s="42">
        <f>S369*(1-AB369)</f>
        <v>2756.9172000000003</v>
      </c>
      <c r="AD369" s="42">
        <f>Q369*(1+'What-If Analysis'!F384)</f>
        <v>1279.56</v>
      </c>
      <c r="AE369" s="41">
        <f>W369*(1+'What-If Analysis'!$F$18)</f>
        <v>5.85</v>
      </c>
      <c r="AF369" s="42">
        <f t="shared" si="77"/>
        <v>16127.965620000001</v>
      </c>
      <c r="AG369" s="42">
        <f t="shared" si="78"/>
        <v>7485.4259999999995</v>
      </c>
      <c r="AH369" s="42">
        <f t="shared" si="79"/>
        <v>8642.5396200000014</v>
      </c>
      <c r="AI369" s="44">
        <f t="shared" si="80"/>
        <v>0.53587289455047837</v>
      </c>
      <c r="AJ369" s="42">
        <f t="shared" si="81"/>
        <v>2343.3796199999997</v>
      </c>
      <c r="AK369" s="42">
        <f t="shared" si="82"/>
        <v>7386.7860000000019</v>
      </c>
      <c r="AL369" s="9">
        <f t="shared" si="83"/>
        <v>0</v>
      </c>
      <c r="AM369" s="42"/>
    </row>
    <row r="370" spans="1:39" x14ac:dyDescent="0.25">
      <c r="A370" t="s">
        <v>383</v>
      </c>
      <c r="B370" s="20">
        <v>45832</v>
      </c>
      <c r="C370" s="4">
        <v>45861</v>
      </c>
      <c r="D370" s="4" t="s">
        <v>1440</v>
      </c>
      <c r="E370" s="4">
        <v>45861</v>
      </c>
      <c r="F370" s="11">
        <f t="shared" si="70"/>
        <v>29</v>
      </c>
      <c r="G370" s="11" t="str">
        <f t="shared" si="73"/>
        <v>Does not Meet Target</v>
      </c>
      <c r="H370" t="s">
        <v>648</v>
      </c>
      <c r="I370" t="s">
        <v>653</v>
      </c>
      <c r="J370" t="s">
        <v>688</v>
      </c>
      <c r="K370" t="s">
        <v>703</v>
      </c>
      <c r="L370" t="s">
        <v>709</v>
      </c>
      <c r="M370" t="s">
        <v>714</v>
      </c>
      <c r="N370" t="s">
        <v>728</v>
      </c>
      <c r="O370" t="str" cm="1">
        <f t="array" ref="O370">_xlfn.IFS(S370&lt;=_xlfn.PERCENTILE.INC(IF(N370:N1000=N370, S370:S1000), 0.33), "Low", S370&lt;=_xlfn.PERCENTILE.INC(IF(N370:N1000=N370, S370:S1000), 0.66), "Medium", S370 &gt; _xlfn.PERCENTILE.INC(IF(N370:N1000=N370, S370:S1000), 0.66), "High")</f>
        <v>Low</v>
      </c>
      <c r="P370" t="s">
        <v>1103</v>
      </c>
      <c r="Q370" s="6">
        <v>255.4</v>
      </c>
      <c r="R370" s="6">
        <v>322.70999999999998</v>
      </c>
      <c r="S370" s="6">
        <v>322.70999999999998</v>
      </c>
      <c r="T370" s="9">
        <v>0.115</v>
      </c>
      <c r="U370" s="9">
        <f>IF(T370&gt;0.3, $AO$4, T370)</f>
        <v>0.115</v>
      </c>
      <c r="V370" s="7" t="str">
        <f t="shared" si="74"/>
        <v>Less than 20%</v>
      </c>
      <c r="W370" s="11">
        <v>16</v>
      </c>
      <c r="X370" s="6">
        <f t="shared" si="71"/>
        <v>4569.5735999999997</v>
      </c>
      <c r="Y370" s="6">
        <f t="shared" si="72"/>
        <v>4086.4</v>
      </c>
      <c r="Z370" s="6">
        <f t="shared" si="75"/>
        <v>483.17359999999962</v>
      </c>
      <c r="AA370" s="9">
        <f t="shared" si="76"/>
        <v>0.10573713048412212</v>
      </c>
      <c r="AB370" s="9">
        <f>IF(U370&gt;'What-If Analysis'!$F$16, 'What-If Analysis'!$F$16,T370)</f>
        <v>0.115</v>
      </c>
      <c r="AC370" s="42">
        <f>S370*(1-AB370)</f>
        <v>285.59834999999998</v>
      </c>
      <c r="AD370" s="42">
        <f>Q370*(1+'What-If Analysis'!F385)</f>
        <v>255.4</v>
      </c>
      <c r="AE370" s="41">
        <f>W370*(1+'What-If Analysis'!$F$18)</f>
        <v>18.72</v>
      </c>
      <c r="AF370" s="42">
        <f t="shared" si="77"/>
        <v>5346.4011119999996</v>
      </c>
      <c r="AG370" s="42">
        <f t="shared" si="78"/>
        <v>4781.0879999999997</v>
      </c>
      <c r="AH370" s="42">
        <f t="shared" si="79"/>
        <v>565.31311199999982</v>
      </c>
      <c r="AI370" s="44">
        <f t="shared" si="80"/>
        <v>0.10573713048412217</v>
      </c>
      <c r="AJ370" s="42">
        <f t="shared" si="81"/>
        <v>776.82751199999984</v>
      </c>
      <c r="AK370" s="42">
        <f t="shared" si="82"/>
        <v>483.17359999999962</v>
      </c>
      <c r="AL370" s="9">
        <f t="shared" si="83"/>
        <v>0</v>
      </c>
      <c r="AM370" s="42"/>
    </row>
    <row r="371" spans="1:39" x14ac:dyDescent="0.25">
      <c r="A371" t="s">
        <v>384</v>
      </c>
      <c r="B371" s="20">
        <v>45286</v>
      </c>
      <c r="C371" s="4">
        <v>45294</v>
      </c>
      <c r="D371" s="4" t="s">
        <v>1438</v>
      </c>
      <c r="E371" s="4">
        <v>45294</v>
      </c>
      <c r="F371" s="11">
        <f t="shared" si="70"/>
        <v>8</v>
      </c>
      <c r="G371" s="11" t="str">
        <f t="shared" si="73"/>
        <v>Does not Meet Target</v>
      </c>
      <c r="H371" t="s">
        <v>649</v>
      </c>
      <c r="I371" t="s">
        <v>657</v>
      </c>
      <c r="J371" t="s">
        <v>679</v>
      </c>
      <c r="K371" t="s">
        <v>705</v>
      </c>
      <c r="L371" t="s">
        <v>707</v>
      </c>
      <c r="M371" t="s">
        <v>724</v>
      </c>
      <c r="N371" t="s">
        <v>731</v>
      </c>
      <c r="O371" t="str" cm="1">
        <f t="array" ref="O371">_xlfn.IFS(S371&lt;=_xlfn.PERCENTILE.INC(IF(N371:N1001=N371, S371:S1001), 0.33), "Low", S371&lt;=_xlfn.PERCENTILE.INC(IF(N371:N1001=N371, S371:S1001), 0.66), "Medium", S371 &gt; _xlfn.PERCENTILE.INC(IF(N371:N1001=N371, S371:S1001), 0.66), "High")</f>
        <v>Low</v>
      </c>
      <c r="P371" t="s">
        <v>1104</v>
      </c>
      <c r="Q371" s="6">
        <v>492.75</v>
      </c>
      <c r="R371" s="6">
        <v>731.29</v>
      </c>
      <c r="S371" s="6">
        <v>731.29</v>
      </c>
      <c r="T371" s="9">
        <v>5.8000000000000003E-2</v>
      </c>
      <c r="U371" s="9">
        <f>IF(T371&gt;0.3, $AO$4, T371)</f>
        <v>5.8000000000000003E-2</v>
      </c>
      <c r="V371" s="7" t="str">
        <f t="shared" si="74"/>
        <v>Less than 20%</v>
      </c>
      <c r="W371" s="11">
        <v>6</v>
      </c>
      <c r="X371" s="6">
        <f t="shared" si="71"/>
        <v>4133.25108</v>
      </c>
      <c r="Y371" s="6">
        <f t="shared" si="72"/>
        <v>2956.5</v>
      </c>
      <c r="Z371" s="6">
        <f t="shared" si="75"/>
        <v>1176.75108</v>
      </c>
      <c r="AA371" s="9">
        <f t="shared" si="76"/>
        <v>0.28470350753528384</v>
      </c>
      <c r="AB371" s="9">
        <f>IF(U371&gt;'What-If Analysis'!$F$16, 'What-If Analysis'!$F$16,T371)</f>
        <v>5.8000000000000003E-2</v>
      </c>
      <c r="AC371" s="42">
        <f>S371*(1-AB371)</f>
        <v>688.87517999999989</v>
      </c>
      <c r="AD371" s="42">
        <f>Q371*(1+'What-If Analysis'!F386)</f>
        <v>492.75</v>
      </c>
      <c r="AE371" s="41">
        <f>W371*(1+'What-If Analysis'!$F$18)</f>
        <v>7.02</v>
      </c>
      <c r="AF371" s="42">
        <f t="shared" si="77"/>
        <v>4835.9037635999985</v>
      </c>
      <c r="AG371" s="42">
        <f t="shared" si="78"/>
        <v>3459.1049999999996</v>
      </c>
      <c r="AH371" s="42">
        <f t="shared" si="79"/>
        <v>1376.7987635999989</v>
      </c>
      <c r="AI371" s="44">
        <f t="shared" si="80"/>
        <v>0.28470350753528367</v>
      </c>
      <c r="AJ371" s="42">
        <f t="shared" si="81"/>
        <v>702.65268359999845</v>
      </c>
      <c r="AK371" s="42">
        <f t="shared" si="82"/>
        <v>1176.75108</v>
      </c>
      <c r="AL371" s="9">
        <f t="shared" si="83"/>
        <v>0</v>
      </c>
      <c r="AM371" s="42"/>
    </row>
    <row r="372" spans="1:39" x14ac:dyDescent="0.25">
      <c r="A372" t="s">
        <v>385</v>
      </c>
      <c r="B372" s="20">
        <v>44962</v>
      </c>
      <c r="C372" s="4">
        <v>44985</v>
      </c>
      <c r="D372" s="4" t="s">
        <v>1436</v>
      </c>
      <c r="E372" s="4">
        <v>44985</v>
      </c>
      <c r="F372" s="11">
        <f t="shared" si="70"/>
        <v>23</v>
      </c>
      <c r="G372" s="11" t="str">
        <f t="shared" si="73"/>
        <v>Does not Meet Target</v>
      </c>
      <c r="H372" t="s">
        <v>648</v>
      </c>
      <c r="I372" t="s">
        <v>660</v>
      </c>
      <c r="J372" t="s">
        <v>697</v>
      </c>
      <c r="K372" t="s">
        <v>703</v>
      </c>
      <c r="L372" t="s">
        <v>710</v>
      </c>
      <c r="M372" t="s">
        <v>716</v>
      </c>
      <c r="N372" t="s">
        <v>730</v>
      </c>
      <c r="O372" t="str" cm="1">
        <f t="array" ref="O372">_xlfn.IFS(S372&lt;=_xlfn.PERCENTILE.INC(IF(N372:N1002=N372, S372:S1002), 0.33), "Low", S372&lt;=_xlfn.PERCENTILE.INC(IF(N372:N1002=N372, S372:S1002), 0.66), "Medium", S372 &gt; _xlfn.PERCENTILE.INC(IF(N372:N1002=N372, S372:S1002), 0.66), "High")</f>
        <v>Medium</v>
      </c>
      <c r="P372" t="s">
        <v>1105</v>
      </c>
      <c r="Q372" s="6">
        <v>1214.49</v>
      </c>
      <c r="R372" s="6">
        <v>1533.95</v>
      </c>
      <c r="S372" s="6">
        <v>1533.95</v>
      </c>
      <c r="T372" s="9">
        <v>0</v>
      </c>
      <c r="U372" s="9">
        <f>IF(T372&gt;0.3, $AO$4, T372)</f>
        <v>0</v>
      </c>
      <c r="V372" s="7" t="str">
        <f t="shared" si="74"/>
        <v>Less than 20%</v>
      </c>
      <c r="W372" s="11">
        <v>11</v>
      </c>
      <c r="X372" s="6">
        <f t="shared" si="71"/>
        <v>16873.45</v>
      </c>
      <c r="Y372" s="6">
        <f t="shared" si="72"/>
        <v>13359.39</v>
      </c>
      <c r="Z372" s="6">
        <f t="shared" si="75"/>
        <v>3514.0600000000013</v>
      </c>
      <c r="AA372" s="9">
        <f t="shared" si="76"/>
        <v>0.20825972163369086</v>
      </c>
      <c r="AB372" s="9">
        <f>IF(U372&gt;'What-If Analysis'!$F$16, 'What-If Analysis'!$F$16,T372)</f>
        <v>0</v>
      </c>
      <c r="AC372" s="42">
        <f>S372*(1-AB372)</f>
        <v>1533.95</v>
      </c>
      <c r="AD372" s="42">
        <f>Q372*(1+'What-If Analysis'!F387)</f>
        <v>1214.49</v>
      </c>
      <c r="AE372" s="41">
        <f>W372*(1+'What-If Analysis'!$F$18)</f>
        <v>12.87</v>
      </c>
      <c r="AF372" s="42">
        <f t="shared" si="77"/>
        <v>19741.9365</v>
      </c>
      <c r="AG372" s="42">
        <f t="shared" si="78"/>
        <v>15630.486299999999</v>
      </c>
      <c r="AH372" s="42">
        <f t="shared" si="79"/>
        <v>4111.4502000000011</v>
      </c>
      <c r="AI372" s="44">
        <f t="shared" si="80"/>
        <v>0.20825972163369086</v>
      </c>
      <c r="AJ372" s="42">
        <f t="shared" si="81"/>
        <v>2868.4864999999991</v>
      </c>
      <c r="AK372" s="42">
        <f t="shared" si="82"/>
        <v>3514.0600000000013</v>
      </c>
      <c r="AL372" s="9">
        <f t="shared" si="83"/>
        <v>0</v>
      </c>
      <c r="AM372" s="42"/>
    </row>
    <row r="373" spans="1:39" x14ac:dyDescent="0.25">
      <c r="A373" t="s">
        <v>386</v>
      </c>
      <c r="B373" s="20">
        <v>45022</v>
      </c>
      <c r="C373" s="4">
        <v>45024</v>
      </c>
      <c r="D373" s="4" t="s">
        <v>1442</v>
      </c>
      <c r="E373" s="4">
        <v>45024</v>
      </c>
      <c r="F373" s="11">
        <f t="shared" si="70"/>
        <v>2</v>
      </c>
      <c r="G373" s="11" t="str">
        <f t="shared" si="73"/>
        <v>Meets Target</v>
      </c>
      <c r="H373" t="s">
        <v>646</v>
      </c>
      <c r="I373" t="s">
        <v>651</v>
      </c>
      <c r="J373" t="s">
        <v>669</v>
      </c>
      <c r="K373" t="s">
        <v>705</v>
      </c>
      <c r="L373" t="s">
        <v>709</v>
      </c>
      <c r="M373" t="s">
        <v>723</v>
      </c>
      <c r="N373" t="s">
        <v>732</v>
      </c>
      <c r="O373" t="str" cm="1">
        <f t="array" ref="O373">_xlfn.IFS(S373&lt;=_xlfn.PERCENTILE.INC(IF(N373:N1003=N373, S373:S1003), 0.33), "Low", S373&lt;=_xlfn.PERCENTILE.INC(IF(N373:N1003=N373, S373:S1003), 0.66), "Medium", S373 &gt; _xlfn.PERCENTILE.INC(IF(N373:N1003=N373, S373:S1003), 0.66), "High")</f>
        <v>High</v>
      </c>
      <c r="P373" t="s">
        <v>1106</v>
      </c>
      <c r="Q373" s="6">
        <v>720.35</v>
      </c>
      <c r="R373" s="6">
        <v>1571.66</v>
      </c>
      <c r="S373" s="6">
        <v>1571.66</v>
      </c>
      <c r="T373" s="9">
        <v>0.107</v>
      </c>
      <c r="U373" s="9">
        <f>IF(T373&gt;0.3, $AO$4, T373)</f>
        <v>0.107</v>
      </c>
      <c r="V373" s="7" t="str">
        <f t="shared" si="74"/>
        <v>Less than 20%</v>
      </c>
      <c r="W373" s="11">
        <v>23</v>
      </c>
      <c r="X373" s="6">
        <f t="shared" si="71"/>
        <v>32280.32474</v>
      </c>
      <c r="Y373" s="6">
        <f t="shared" si="72"/>
        <v>16568.05</v>
      </c>
      <c r="Z373" s="6">
        <f t="shared" si="75"/>
        <v>15712.274740000001</v>
      </c>
      <c r="AA373" s="9">
        <f t="shared" si="76"/>
        <v>0.4867446305622265</v>
      </c>
      <c r="AB373" s="9">
        <f>IF(U373&gt;'What-If Analysis'!$F$16, 'What-If Analysis'!$F$16,T373)</f>
        <v>0.107</v>
      </c>
      <c r="AC373" s="42">
        <f>S373*(1-AB373)</f>
        <v>1403.4923800000001</v>
      </c>
      <c r="AD373" s="42">
        <f>Q373*(1+'What-If Analysis'!F388)</f>
        <v>720.35</v>
      </c>
      <c r="AE373" s="41">
        <f>W373*(1+'What-If Analysis'!$F$18)</f>
        <v>26.909999999999997</v>
      </c>
      <c r="AF373" s="42">
        <f t="shared" si="77"/>
        <v>37767.979945799998</v>
      </c>
      <c r="AG373" s="42">
        <f t="shared" si="78"/>
        <v>19384.618499999997</v>
      </c>
      <c r="AH373" s="42">
        <f t="shared" si="79"/>
        <v>18383.361445800001</v>
      </c>
      <c r="AI373" s="44">
        <f t="shared" si="80"/>
        <v>0.48674463056222655</v>
      </c>
      <c r="AJ373" s="42">
        <f t="shared" si="81"/>
        <v>5487.6552057999979</v>
      </c>
      <c r="AK373" s="42">
        <f t="shared" si="82"/>
        <v>15712.274740000001</v>
      </c>
      <c r="AL373" s="9">
        <f t="shared" si="83"/>
        <v>0</v>
      </c>
      <c r="AM373" s="42"/>
    </row>
    <row r="374" spans="1:39" x14ac:dyDescent="0.25">
      <c r="A374" t="s">
        <v>387</v>
      </c>
      <c r="B374" s="20">
        <v>45751</v>
      </c>
      <c r="C374" s="4">
        <v>45757</v>
      </c>
      <c r="D374" s="4" t="s">
        <v>1440</v>
      </c>
      <c r="E374" s="4">
        <v>45757</v>
      </c>
      <c r="F374" s="11">
        <f t="shared" si="70"/>
        <v>6</v>
      </c>
      <c r="G374" s="11" t="str">
        <f t="shared" si="73"/>
        <v>Meets Target</v>
      </c>
      <c r="H374" t="s">
        <v>649</v>
      </c>
      <c r="I374" t="s">
        <v>658</v>
      </c>
      <c r="J374" t="s">
        <v>674</v>
      </c>
      <c r="K374" t="s">
        <v>703</v>
      </c>
      <c r="L374" t="s">
        <v>711</v>
      </c>
      <c r="M374" t="s">
        <v>725</v>
      </c>
      <c r="N374" t="s">
        <v>728</v>
      </c>
      <c r="O374" t="str" cm="1">
        <f t="array" ref="O374">_xlfn.IFS(S374&lt;=_xlfn.PERCENTILE.INC(IF(N374:N1004=N374, S374:S1004), 0.33), "Low", S374&lt;=_xlfn.PERCENTILE.INC(IF(N374:N1004=N374, S374:S1004), 0.66), "Medium", S374 &gt; _xlfn.PERCENTILE.INC(IF(N374:N1004=N374, S374:S1004), 0.66), "High")</f>
        <v>Low</v>
      </c>
      <c r="P374" t="s">
        <v>1107</v>
      </c>
      <c r="Q374" s="6">
        <v>290.14</v>
      </c>
      <c r="R374" s="6">
        <v>250.73</v>
      </c>
      <c r="S374" s="6">
        <v>250.73</v>
      </c>
      <c r="T374" s="9">
        <v>3.4000000000000002E-2</v>
      </c>
      <c r="U374" s="9">
        <f>IF(T374&gt;0.3, $AO$4, T374)</f>
        <v>3.4000000000000002E-2</v>
      </c>
      <c r="V374" s="7" t="str">
        <f t="shared" si="74"/>
        <v>Less than 20%</v>
      </c>
      <c r="W374" s="11">
        <v>17</v>
      </c>
      <c r="X374" s="6">
        <f t="shared" si="71"/>
        <v>4117.4880599999997</v>
      </c>
      <c r="Y374" s="6">
        <f t="shared" si="72"/>
        <v>4932.38</v>
      </c>
      <c r="Z374" s="6">
        <f t="shared" si="75"/>
        <v>-814.89194000000043</v>
      </c>
      <c r="AA374" s="9">
        <f t="shared" si="76"/>
        <v>-0.19790997038131072</v>
      </c>
      <c r="AB374" s="9">
        <f>IF(U374&gt;'What-If Analysis'!$F$16, 'What-If Analysis'!$F$16,T374)</f>
        <v>3.4000000000000002E-2</v>
      </c>
      <c r="AC374" s="42">
        <f>S374*(1-AB374)</f>
        <v>242.20517999999998</v>
      </c>
      <c r="AD374" s="42">
        <f>Q374*(1+'What-If Analysis'!F389)</f>
        <v>290.14</v>
      </c>
      <c r="AE374" s="41">
        <f>W374*(1+'What-If Analysis'!$F$18)</f>
        <v>19.89</v>
      </c>
      <c r="AF374" s="42">
        <f t="shared" si="77"/>
        <v>4817.4610302000001</v>
      </c>
      <c r="AG374" s="42">
        <f t="shared" si="78"/>
        <v>5770.8846000000003</v>
      </c>
      <c r="AH374" s="42">
        <f t="shared" si="79"/>
        <v>-953.42356980000022</v>
      </c>
      <c r="AI374" s="44">
        <f t="shared" si="80"/>
        <v>-0.19790997038131064</v>
      </c>
      <c r="AJ374" s="42">
        <f t="shared" si="81"/>
        <v>699.97297020000042</v>
      </c>
      <c r="AK374" s="42">
        <f t="shared" si="82"/>
        <v>-814.89194000000043</v>
      </c>
      <c r="AL374" s="9">
        <f t="shared" si="83"/>
        <v>0</v>
      </c>
      <c r="AM374" s="42"/>
    </row>
    <row r="375" spans="1:39" x14ac:dyDescent="0.25">
      <c r="A375" t="s">
        <v>388</v>
      </c>
      <c r="B375" s="20">
        <v>45429</v>
      </c>
      <c r="C375" s="4">
        <v>45439</v>
      </c>
      <c r="D375" s="4" t="s">
        <v>1439</v>
      </c>
      <c r="E375" s="4">
        <v>45439</v>
      </c>
      <c r="F375" s="11">
        <f t="shared" si="70"/>
        <v>10</v>
      </c>
      <c r="G375" s="11" t="str">
        <f t="shared" si="73"/>
        <v>Does not Meet Target</v>
      </c>
      <c r="H375" t="s">
        <v>648</v>
      </c>
      <c r="I375" t="s">
        <v>660</v>
      </c>
      <c r="J375" t="s">
        <v>697</v>
      </c>
      <c r="K375" t="s">
        <v>703</v>
      </c>
      <c r="L375" t="s">
        <v>708</v>
      </c>
      <c r="M375" t="s">
        <v>712</v>
      </c>
      <c r="N375" t="s">
        <v>730</v>
      </c>
      <c r="O375" t="str" cm="1">
        <f t="array" ref="O375">_xlfn.IFS(S375&lt;=_xlfn.PERCENTILE.INC(IF(N375:N1005=N375, S375:S1005), 0.33), "Low", S375&lt;=_xlfn.PERCENTILE.INC(IF(N375:N1005=N375, S375:S1005), 0.66), "Medium", S375 &gt; _xlfn.PERCENTILE.INC(IF(N375:N1005=N375, S375:S1005), 0.66), "High")</f>
        <v>High</v>
      </c>
      <c r="P375" t="s">
        <v>1108</v>
      </c>
      <c r="Q375" s="6">
        <v>1484.23</v>
      </c>
      <c r="R375" s="6">
        <v>3472.81</v>
      </c>
      <c r="S375" s="6">
        <v>3472.81</v>
      </c>
      <c r="T375" s="9">
        <v>0.25600000000000001</v>
      </c>
      <c r="U375" s="9">
        <f>IF(T375&gt;0.3, $AO$4, T375)</f>
        <v>0.25600000000000001</v>
      </c>
      <c r="V375" s="7" t="str">
        <f t="shared" si="74"/>
        <v>Greater than 20%</v>
      </c>
      <c r="W375" s="11">
        <v>12</v>
      </c>
      <c r="X375" s="6">
        <f t="shared" si="71"/>
        <v>31005.24768</v>
      </c>
      <c r="Y375" s="6">
        <f t="shared" si="72"/>
        <v>17810.760000000002</v>
      </c>
      <c r="Z375" s="6">
        <f t="shared" si="75"/>
        <v>13194.487679999998</v>
      </c>
      <c r="AA375" s="9">
        <f t="shared" si="76"/>
        <v>0.42555659661803413</v>
      </c>
      <c r="AB375" s="9">
        <f>IF(U375&gt;'What-If Analysis'!$F$16, 'What-If Analysis'!$F$16,T375)</f>
        <v>0.17</v>
      </c>
      <c r="AC375" s="42">
        <f>S375*(1-AB375)</f>
        <v>2882.4322999999999</v>
      </c>
      <c r="AD375" s="42">
        <f>Q375*(1+'What-If Analysis'!F390)</f>
        <v>1484.23</v>
      </c>
      <c r="AE375" s="41">
        <f>W375*(1+'What-If Analysis'!$F$18)</f>
        <v>14.04</v>
      </c>
      <c r="AF375" s="42">
        <f t="shared" si="77"/>
        <v>40469.349491999994</v>
      </c>
      <c r="AG375" s="42">
        <f t="shared" si="78"/>
        <v>20838.589199999999</v>
      </c>
      <c r="AH375" s="42">
        <f t="shared" si="79"/>
        <v>19630.760291999995</v>
      </c>
      <c r="AI375" s="44">
        <f t="shared" si="80"/>
        <v>0.48507723841423783</v>
      </c>
      <c r="AJ375" s="42">
        <f t="shared" si="81"/>
        <v>9464.1018119999935</v>
      </c>
      <c r="AK375" s="42">
        <f t="shared" si="82"/>
        <v>13194.487679999998</v>
      </c>
      <c r="AL375" s="9">
        <f t="shared" si="83"/>
        <v>5.9520641796203699E-2</v>
      </c>
      <c r="AM375" s="42"/>
    </row>
    <row r="376" spans="1:39" x14ac:dyDescent="0.25">
      <c r="A376" t="s">
        <v>389</v>
      </c>
      <c r="B376" s="20">
        <v>45354</v>
      </c>
      <c r="C376" s="4">
        <v>45370</v>
      </c>
      <c r="D376" s="4" t="s">
        <v>1434</v>
      </c>
      <c r="E376" s="4">
        <v>45370</v>
      </c>
      <c r="F376" s="11">
        <f t="shared" si="70"/>
        <v>16</v>
      </c>
      <c r="G376" s="11" t="str">
        <f t="shared" si="73"/>
        <v>Does not Meet Target</v>
      </c>
      <c r="H376" t="s">
        <v>647</v>
      </c>
      <c r="I376" t="s">
        <v>659</v>
      </c>
      <c r="J376" t="s">
        <v>699</v>
      </c>
      <c r="K376" t="s">
        <v>704</v>
      </c>
      <c r="L376" t="s">
        <v>710</v>
      </c>
      <c r="M376" t="s">
        <v>715</v>
      </c>
      <c r="N376" t="s">
        <v>730</v>
      </c>
      <c r="O376" t="str" cm="1">
        <f t="array" ref="O376">_xlfn.IFS(S376&lt;=_xlfn.PERCENTILE.INC(IF(N376:N1006=N376, S376:S1006), 0.33), "Low", S376&lt;=_xlfn.PERCENTILE.INC(IF(N376:N1006=N376, S376:S1006), 0.66), "Medium", S376 &gt; _xlfn.PERCENTILE.INC(IF(N376:N1006=N376, S376:S1006), 0.66), "High")</f>
        <v>Medium</v>
      </c>
      <c r="P376" t="s">
        <v>1109</v>
      </c>
      <c r="Q376" s="6">
        <v>988.83</v>
      </c>
      <c r="R376" s="6">
        <v>1206.04</v>
      </c>
      <c r="S376" s="6">
        <v>1206.04</v>
      </c>
      <c r="T376" s="9">
        <v>6.3E-2</v>
      </c>
      <c r="U376" s="9">
        <f>IF(T376&gt;0.3, $AO$4, T376)</f>
        <v>6.3E-2</v>
      </c>
      <c r="V376" s="7" t="str">
        <f t="shared" si="74"/>
        <v>Less than 20%</v>
      </c>
      <c r="W376" s="11">
        <v>34</v>
      </c>
      <c r="X376" s="6">
        <f t="shared" si="71"/>
        <v>38422.022320000004</v>
      </c>
      <c r="Y376" s="6">
        <f t="shared" si="72"/>
        <v>33620.22</v>
      </c>
      <c r="Z376" s="6">
        <f t="shared" si="75"/>
        <v>4801.8023200000025</v>
      </c>
      <c r="AA376" s="9">
        <f t="shared" si="76"/>
        <v>0.12497526236406606</v>
      </c>
      <c r="AB376" s="9">
        <f>IF(U376&gt;'What-If Analysis'!$F$16, 'What-If Analysis'!$F$16,T376)</f>
        <v>6.3E-2</v>
      </c>
      <c r="AC376" s="42">
        <f>S376*(1-AB376)</f>
        <v>1130.0594800000001</v>
      </c>
      <c r="AD376" s="42">
        <f>Q376*(1+'What-If Analysis'!F391)</f>
        <v>988.83</v>
      </c>
      <c r="AE376" s="41">
        <f>W376*(1+'What-If Analysis'!$F$18)</f>
        <v>39.78</v>
      </c>
      <c r="AF376" s="42">
        <f t="shared" si="77"/>
        <v>44953.766114400009</v>
      </c>
      <c r="AG376" s="42">
        <f t="shared" si="78"/>
        <v>39335.657400000004</v>
      </c>
      <c r="AH376" s="42">
        <f t="shared" si="79"/>
        <v>5618.1087144000048</v>
      </c>
      <c r="AI376" s="44">
        <f t="shared" si="80"/>
        <v>0.12497526236406609</v>
      </c>
      <c r="AJ376" s="42">
        <f t="shared" si="81"/>
        <v>6531.7437944000048</v>
      </c>
      <c r="AK376" s="42">
        <f t="shared" si="82"/>
        <v>4801.8023200000025</v>
      </c>
      <c r="AL376" s="9">
        <f t="shared" si="83"/>
        <v>0</v>
      </c>
      <c r="AM376" s="42"/>
    </row>
    <row r="377" spans="1:39" x14ac:dyDescent="0.25">
      <c r="A377" t="s">
        <v>390</v>
      </c>
      <c r="B377" s="20">
        <v>45835</v>
      </c>
      <c r="C377" s="4">
        <v>45849</v>
      </c>
      <c r="D377" s="4" t="s">
        <v>1440</v>
      </c>
      <c r="E377" s="4">
        <v>45849</v>
      </c>
      <c r="F377" s="11">
        <f t="shared" si="70"/>
        <v>14</v>
      </c>
      <c r="G377" s="11" t="str">
        <f t="shared" si="73"/>
        <v>Does not Meet Target</v>
      </c>
      <c r="H377" t="s">
        <v>647</v>
      </c>
      <c r="I377" t="s">
        <v>659</v>
      </c>
      <c r="J377" t="s">
        <v>685</v>
      </c>
      <c r="K377" t="s">
        <v>705</v>
      </c>
      <c r="L377" t="s">
        <v>709</v>
      </c>
      <c r="M377" t="s">
        <v>716</v>
      </c>
      <c r="N377" t="s">
        <v>729</v>
      </c>
      <c r="O377" t="str" cm="1">
        <f t="array" ref="O377">_xlfn.IFS(S377&lt;=_xlfn.PERCENTILE.INC(IF(N377:N1007=N377, S377:S1007), 0.33), "Low", S377&lt;=_xlfn.PERCENTILE.INC(IF(N377:N1007=N377, S377:S1007), 0.66), "Medium", S377 &gt; _xlfn.PERCENTILE.INC(IF(N377:N1007=N377, S377:S1007), 0.66), "High")</f>
        <v>High</v>
      </c>
      <c r="P377" t="s">
        <v>1110</v>
      </c>
      <c r="Q377" s="6">
        <v>1227.7</v>
      </c>
      <c r="R377" s="6">
        <v>2197.23</v>
      </c>
      <c r="S377" s="6">
        <v>2197.23</v>
      </c>
      <c r="T377" s="9">
        <v>9.9000000000000005E-2</v>
      </c>
      <c r="U377" s="9">
        <f>IF(T377&gt;0.3, $AO$4, T377)</f>
        <v>9.9000000000000005E-2</v>
      </c>
      <c r="V377" s="7" t="str">
        <f t="shared" si="74"/>
        <v>Less than 20%</v>
      </c>
      <c r="W377" s="11">
        <v>22</v>
      </c>
      <c r="X377" s="6">
        <f t="shared" si="71"/>
        <v>43553.493060000001</v>
      </c>
      <c r="Y377" s="6">
        <f t="shared" si="72"/>
        <v>27009.4</v>
      </c>
      <c r="Z377" s="6">
        <f t="shared" si="75"/>
        <v>16544.093059999999</v>
      </c>
      <c r="AA377" s="9">
        <f t="shared" si="76"/>
        <v>0.37985685871873898</v>
      </c>
      <c r="AB377" s="9">
        <f>IF(U377&gt;'What-If Analysis'!$F$16, 'What-If Analysis'!$F$16,T377)</f>
        <v>9.9000000000000005E-2</v>
      </c>
      <c r="AC377" s="42">
        <f>S377*(1-AB377)</f>
        <v>1979.7042300000001</v>
      </c>
      <c r="AD377" s="42">
        <f>Q377*(1+'What-If Analysis'!F392)</f>
        <v>1227.7</v>
      </c>
      <c r="AE377" s="41">
        <f>W377*(1+'What-If Analysis'!$F$18)</f>
        <v>25.74</v>
      </c>
      <c r="AF377" s="42">
        <f t="shared" si="77"/>
        <v>50957.586880199997</v>
      </c>
      <c r="AG377" s="42">
        <f t="shared" si="78"/>
        <v>31600.998</v>
      </c>
      <c r="AH377" s="42">
        <f t="shared" si="79"/>
        <v>19356.588880199997</v>
      </c>
      <c r="AI377" s="44">
        <f t="shared" si="80"/>
        <v>0.37985685871873898</v>
      </c>
      <c r="AJ377" s="42">
        <f t="shared" si="81"/>
        <v>7404.0938201999961</v>
      </c>
      <c r="AK377" s="42">
        <f t="shared" si="82"/>
        <v>16544.093059999999</v>
      </c>
      <c r="AL377" s="9">
        <f t="shared" si="83"/>
        <v>0</v>
      </c>
      <c r="AM377" s="42"/>
    </row>
    <row r="378" spans="1:39" x14ac:dyDescent="0.25">
      <c r="A378" t="s">
        <v>391</v>
      </c>
      <c r="B378" s="20">
        <v>44998</v>
      </c>
      <c r="C378" s="4">
        <v>45020</v>
      </c>
      <c r="D378" s="4" t="s">
        <v>1436</v>
      </c>
      <c r="E378" s="4">
        <v>45020</v>
      </c>
      <c r="F378" s="11">
        <f t="shared" si="70"/>
        <v>22</v>
      </c>
      <c r="G378" s="11" t="str">
        <f t="shared" si="73"/>
        <v>Does not Meet Target</v>
      </c>
      <c r="H378" t="s">
        <v>646</v>
      </c>
      <c r="I378" t="s">
        <v>661</v>
      </c>
      <c r="J378" t="s">
        <v>687</v>
      </c>
      <c r="K378" t="s">
        <v>705</v>
      </c>
      <c r="L378" t="s">
        <v>707</v>
      </c>
      <c r="M378" t="s">
        <v>720</v>
      </c>
      <c r="N378" t="s">
        <v>727</v>
      </c>
      <c r="O378" t="str" cm="1">
        <f t="array" ref="O378">_xlfn.IFS(S378&lt;=_xlfn.PERCENTILE.INC(IF(N378:N1008=N378, S378:S1008), 0.33), "Low", S378&lt;=_xlfn.PERCENTILE.INC(IF(N378:N1008=N378, S378:S1008), 0.66), "Medium", S378 &gt; _xlfn.PERCENTILE.INC(IF(N378:N1008=N378, S378:S1008), 0.66), "High")</f>
        <v>Medium</v>
      </c>
      <c r="P378" t="s">
        <v>1111</v>
      </c>
      <c r="Q378" s="6">
        <v>1113.7</v>
      </c>
      <c r="R378" s="6">
        <v>1620.6</v>
      </c>
      <c r="S378" s="6">
        <v>1620.6</v>
      </c>
      <c r="T378" s="9">
        <v>0.13900000000000001</v>
      </c>
      <c r="U378" s="9">
        <f>IF(T378&gt;0.3, $AO$4, T378)</f>
        <v>0.13900000000000001</v>
      </c>
      <c r="V378" s="7" t="str">
        <f t="shared" si="74"/>
        <v>Less than 20%</v>
      </c>
      <c r="W378" s="11">
        <v>11</v>
      </c>
      <c r="X378" s="6">
        <f t="shared" si="71"/>
        <v>15348.702599999999</v>
      </c>
      <c r="Y378" s="6">
        <f t="shared" si="72"/>
        <v>12250.7</v>
      </c>
      <c r="Z378" s="6">
        <f t="shared" si="75"/>
        <v>3098.002599999998</v>
      </c>
      <c r="AA378" s="9">
        <f t="shared" si="76"/>
        <v>0.20184133348182787</v>
      </c>
      <c r="AB378" s="9">
        <f>IF(U378&gt;'What-If Analysis'!$F$16, 'What-If Analysis'!$F$16,T378)</f>
        <v>0.13900000000000001</v>
      </c>
      <c r="AC378" s="42">
        <f>S378*(1-AB378)</f>
        <v>1395.3365999999999</v>
      </c>
      <c r="AD378" s="42">
        <f>Q378*(1+'What-If Analysis'!F393)</f>
        <v>1113.7</v>
      </c>
      <c r="AE378" s="41">
        <f>W378*(1+'What-If Analysis'!$F$18)</f>
        <v>12.87</v>
      </c>
      <c r="AF378" s="42">
        <f t="shared" si="77"/>
        <v>17957.982041999996</v>
      </c>
      <c r="AG378" s="42">
        <f t="shared" si="78"/>
        <v>14333.319</v>
      </c>
      <c r="AH378" s="42">
        <f t="shared" si="79"/>
        <v>3624.6630419999965</v>
      </c>
      <c r="AI378" s="44">
        <f t="shared" si="80"/>
        <v>0.20184133348182781</v>
      </c>
      <c r="AJ378" s="42">
        <f t="shared" si="81"/>
        <v>2609.2794419999973</v>
      </c>
      <c r="AK378" s="42">
        <f t="shared" si="82"/>
        <v>3098.002599999998</v>
      </c>
      <c r="AL378" s="9">
        <f t="shared" si="83"/>
        <v>0</v>
      </c>
      <c r="AM378" s="42"/>
    </row>
    <row r="379" spans="1:39" x14ac:dyDescent="0.25">
      <c r="A379" t="s">
        <v>392</v>
      </c>
      <c r="B379" s="20">
        <v>45664</v>
      </c>
      <c r="C379" s="4">
        <v>45677</v>
      </c>
      <c r="D379" s="4" t="s">
        <v>1437</v>
      </c>
      <c r="E379" s="4">
        <v>45677</v>
      </c>
      <c r="F379" s="11">
        <f t="shared" si="70"/>
        <v>13</v>
      </c>
      <c r="G379" s="11" t="str">
        <f t="shared" si="73"/>
        <v>Does not Meet Target</v>
      </c>
      <c r="H379" t="s">
        <v>646</v>
      </c>
      <c r="I379" t="s">
        <v>661</v>
      </c>
      <c r="J379" t="s">
        <v>695</v>
      </c>
      <c r="K379" t="s">
        <v>701</v>
      </c>
      <c r="L379" t="s">
        <v>711</v>
      </c>
      <c r="M379" t="s">
        <v>723</v>
      </c>
      <c r="N379" t="s">
        <v>729</v>
      </c>
      <c r="O379" t="str" cm="1">
        <f t="array" ref="O379">_xlfn.IFS(S379&lt;=_xlfn.PERCENTILE.INC(IF(N379:N1009=N379, S379:S1009), 0.33), "Low", S379&lt;=_xlfn.PERCENTILE.INC(IF(N379:N1009=N379, S379:S1009), 0.66), "Medium", S379 &gt; _xlfn.PERCENTILE.INC(IF(N379:N1009=N379, S379:S1009), 0.66), "High")</f>
        <v>Medium</v>
      </c>
      <c r="P379" t="s">
        <v>1112</v>
      </c>
      <c r="Q379" s="6">
        <v>432.13</v>
      </c>
      <c r="R379" s="6">
        <v>1034.6600000000001</v>
      </c>
      <c r="S379" s="6">
        <v>1034.6600000000001</v>
      </c>
      <c r="T379" s="9">
        <v>9.1999999999999998E-2</v>
      </c>
      <c r="U379" s="9">
        <f>IF(T379&gt;0.3, $AO$4, T379)</f>
        <v>9.1999999999999998E-2</v>
      </c>
      <c r="V379" s="7" t="str">
        <f t="shared" si="74"/>
        <v>Less than 20%</v>
      </c>
      <c r="W379" s="11">
        <v>7</v>
      </c>
      <c r="X379" s="6">
        <f t="shared" si="71"/>
        <v>6576.298960000001</v>
      </c>
      <c r="Y379" s="6">
        <f t="shared" si="72"/>
        <v>3024.91</v>
      </c>
      <c r="Z379" s="6">
        <f t="shared" si="75"/>
        <v>3551.3889600000011</v>
      </c>
      <c r="AA379" s="9">
        <f t="shared" si="76"/>
        <v>0.54002851476204794</v>
      </c>
      <c r="AB379" s="9">
        <f>IF(U379&gt;'What-If Analysis'!$F$16, 'What-If Analysis'!$F$16,T379)</f>
        <v>9.1999999999999998E-2</v>
      </c>
      <c r="AC379" s="42">
        <f>S379*(1-AB379)</f>
        <v>939.47128000000009</v>
      </c>
      <c r="AD379" s="42">
        <f>Q379*(1+'What-If Analysis'!F394)</f>
        <v>432.13</v>
      </c>
      <c r="AE379" s="41">
        <f>W379*(1+'What-If Analysis'!$F$18)</f>
        <v>8.19</v>
      </c>
      <c r="AF379" s="42">
        <f t="shared" si="77"/>
        <v>7694.2697832000003</v>
      </c>
      <c r="AG379" s="42">
        <f t="shared" si="78"/>
        <v>3539.1446999999998</v>
      </c>
      <c r="AH379" s="42">
        <f t="shared" si="79"/>
        <v>4155.1250832000005</v>
      </c>
      <c r="AI379" s="44">
        <f t="shared" si="80"/>
        <v>0.54002851476204794</v>
      </c>
      <c r="AJ379" s="42">
        <f t="shared" si="81"/>
        <v>1117.9708231999994</v>
      </c>
      <c r="AK379" s="42">
        <f t="shared" si="82"/>
        <v>3551.3889600000011</v>
      </c>
      <c r="AL379" s="9">
        <f t="shared" si="83"/>
        <v>0</v>
      </c>
      <c r="AM379" s="42"/>
    </row>
    <row r="380" spans="1:39" x14ac:dyDescent="0.25">
      <c r="A380" t="s">
        <v>393</v>
      </c>
      <c r="B380" s="20">
        <v>45694</v>
      </c>
      <c r="C380" s="4">
        <v>45703</v>
      </c>
      <c r="D380" s="4" t="s">
        <v>1437</v>
      </c>
      <c r="E380" s="4">
        <v>45703</v>
      </c>
      <c r="F380" s="11">
        <f t="shared" si="70"/>
        <v>9</v>
      </c>
      <c r="G380" s="11" t="str">
        <f t="shared" si="73"/>
        <v>Does not Meet Target</v>
      </c>
      <c r="H380" t="s">
        <v>648</v>
      </c>
      <c r="I380" t="s">
        <v>655</v>
      </c>
      <c r="J380" t="s">
        <v>670</v>
      </c>
      <c r="K380" t="s">
        <v>703</v>
      </c>
      <c r="L380" t="s">
        <v>710</v>
      </c>
      <c r="M380" t="s">
        <v>721</v>
      </c>
      <c r="N380" t="s">
        <v>729</v>
      </c>
      <c r="O380" t="str" cm="1">
        <f t="array" ref="O380">_xlfn.IFS(S380&lt;=_xlfn.PERCENTILE.INC(IF(N380:N1010=N380, S380:S1010), 0.33), "Low", S380&lt;=_xlfn.PERCENTILE.INC(IF(N380:N1010=N380, S380:S1010), 0.66), "Medium", S380 &gt; _xlfn.PERCENTILE.INC(IF(N380:N1010=N380, S380:S1010), 0.66), "High")</f>
        <v>Medium</v>
      </c>
      <c r="P380" t="s">
        <v>1113</v>
      </c>
      <c r="Q380" s="6">
        <v>837.39</v>
      </c>
      <c r="R380" s="6">
        <v>1905.42</v>
      </c>
      <c r="S380" s="6">
        <v>1905.42</v>
      </c>
      <c r="T380" s="9">
        <v>3.2000000000000001E-2</v>
      </c>
      <c r="U380" s="9">
        <f>IF(T380&gt;0.3, $AO$4, T380)</f>
        <v>3.2000000000000001E-2</v>
      </c>
      <c r="V380" s="7" t="str">
        <f t="shared" si="74"/>
        <v>Less than 20%</v>
      </c>
      <c r="W380" s="11">
        <v>18</v>
      </c>
      <c r="X380" s="6">
        <f t="shared" si="71"/>
        <v>33200.038079999998</v>
      </c>
      <c r="Y380" s="6">
        <f t="shared" si="72"/>
        <v>15073.02</v>
      </c>
      <c r="Z380" s="6">
        <f t="shared" si="75"/>
        <v>18127.018079999998</v>
      </c>
      <c r="AA380" s="9">
        <f t="shared" si="76"/>
        <v>0.54599389423350919</v>
      </c>
      <c r="AB380" s="9">
        <f>IF(U380&gt;'What-If Analysis'!$F$16, 'What-If Analysis'!$F$16,T380)</f>
        <v>3.2000000000000001E-2</v>
      </c>
      <c r="AC380" s="42">
        <f>S380*(1-AB380)</f>
        <v>1844.4465600000001</v>
      </c>
      <c r="AD380" s="42">
        <f>Q380*(1+'What-If Analysis'!F395)</f>
        <v>837.39</v>
      </c>
      <c r="AE380" s="41">
        <f>W380*(1+'What-If Analysis'!$F$18)</f>
        <v>21.06</v>
      </c>
      <c r="AF380" s="42">
        <f t="shared" si="77"/>
        <v>38844.044553599997</v>
      </c>
      <c r="AG380" s="42">
        <f t="shared" si="78"/>
        <v>17635.433399999998</v>
      </c>
      <c r="AH380" s="42">
        <f t="shared" si="79"/>
        <v>21208.611153599999</v>
      </c>
      <c r="AI380" s="44">
        <f t="shared" si="80"/>
        <v>0.5459938942335093</v>
      </c>
      <c r="AJ380" s="42">
        <f t="shared" si="81"/>
        <v>5644.0064735999986</v>
      </c>
      <c r="AK380" s="42">
        <f t="shared" si="82"/>
        <v>18127.018079999998</v>
      </c>
      <c r="AL380" s="9">
        <f t="shared" si="83"/>
        <v>0</v>
      </c>
      <c r="AM380" s="42"/>
    </row>
    <row r="381" spans="1:39" x14ac:dyDescent="0.25">
      <c r="A381" t="s">
        <v>394</v>
      </c>
      <c r="B381" s="20">
        <v>45688</v>
      </c>
      <c r="C381" s="4">
        <v>45705</v>
      </c>
      <c r="D381" s="4" t="s">
        <v>1437</v>
      </c>
      <c r="E381" s="4">
        <v>45705</v>
      </c>
      <c r="F381" s="11">
        <f t="shared" si="70"/>
        <v>17</v>
      </c>
      <c r="G381" s="11" t="str">
        <f t="shared" si="73"/>
        <v>Does not Meet Target</v>
      </c>
      <c r="H381" t="s">
        <v>649</v>
      </c>
      <c r="I381" t="s">
        <v>658</v>
      </c>
      <c r="J381" t="s">
        <v>683</v>
      </c>
      <c r="K381" t="s">
        <v>706</v>
      </c>
      <c r="L381" t="s">
        <v>707</v>
      </c>
      <c r="M381" t="s">
        <v>722</v>
      </c>
      <c r="N381" t="s">
        <v>727</v>
      </c>
      <c r="O381" t="str" cm="1">
        <f t="array" ref="O381">_xlfn.IFS(S381&lt;=_xlfn.PERCENTILE.INC(IF(N381:N1011=N381, S381:S1011), 0.33), "Low", S381&lt;=_xlfn.PERCENTILE.INC(IF(N381:N1011=N381, S381:S1011), 0.66), "Medium", S381 &gt; _xlfn.PERCENTILE.INC(IF(N381:N1011=N381, S381:S1011), 0.66), "High")</f>
        <v>Low</v>
      </c>
      <c r="P381" t="s">
        <v>812</v>
      </c>
      <c r="Q381" s="6">
        <v>378.26</v>
      </c>
      <c r="R381" s="6">
        <v>541.55999999999995</v>
      </c>
      <c r="S381" s="6">
        <v>541.55999999999995</v>
      </c>
      <c r="T381" s="9">
        <v>0.16300000000000001</v>
      </c>
      <c r="U381" s="9">
        <f>IF(T381&gt;0.3, $AO$4, T381)</f>
        <v>0.16300000000000001</v>
      </c>
      <c r="V381" s="7" t="str">
        <f t="shared" si="74"/>
        <v>Less than 20%</v>
      </c>
      <c r="W381" s="11">
        <v>25</v>
      </c>
      <c r="X381" s="6">
        <f t="shared" si="71"/>
        <v>11332.142999999998</v>
      </c>
      <c r="Y381" s="6">
        <f t="shared" si="72"/>
        <v>9456.5</v>
      </c>
      <c r="Z381" s="6">
        <f t="shared" si="75"/>
        <v>1875.6429999999982</v>
      </c>
      <c r="AA381" s="9">
        <f t="shared" si="76"/>
        <v>0.16551529573885526</v>
      </c>
      <c r="AB381" s="9">
        <f>IF(U381&gt;'What-If Analysis'!$F$16, 'What-If Analysis'!$F$16,T381)</f>
        <v>0.16300000000000001</v>
      </c>
      <c r="AC381" s="42">
        <f>S381*(1-AB381)</f>
        <v>453.28571999999991</v>
      </c>
      <c r="AD381" s="42">
        <f>Q381*(1+'What-If Analysis'!F396)</f>
        <v>378.26</v>
      </c>
      <c r="AE381" s="41">
        <f>W381*(1+'What-If Analysis'!$F$18)</f>
        <v>29.25</v>
      </c>
      <c r="AF381" s="42">
        <f t="shared" si="77"/>
        <v>13258.607309999998</v>
      </c>
      <c r="AG381" s="42">
        <f t="shared" si="78"/>
        <v>11064.105</v>
      </c>
      <c r="AH381" s="42">
        <f t="shared" si="79"/>
        <v>2194.502309999998</v>
      </c>
      <c r="AI381" s="44">
        <f t="shared" si="80"/>
        <v>0.16551529573885529</v>
      </c>
      <c r="AJ381" s="42">
        <f t="shared" si="81"/>
        <v>1926.4643099999994</v>
      </c>
      <c r="AK381" s="42">
        <f t="shared" si="82"/>
        <v>1875.6429999999982</v>
      </c>
      <c r="AL381" s="9">
        <f t="shared" si="83"/>
        <v>0</v>
      </c>
      <c r="AM381" s="42"/>
    </row>
    <row r="382" spans="1:39" x14ac:dyDescent="0.25">
      <c r="A382" t="s">
        <v>395</v>
      </c>
      <c r="B382" s="20">
        <v>45876</v>
      </c>
      <c r="C382" s="4">
        <v>45906</v>
      </c>
      <c r="D382" s="4" t="s">
        <v>1441</v>
      </c>
      <c r="E382" s="4">
        <v>45906</v>
      </c>
      <c r="F382" s="11">
        <f t="shared" si="70"/>
        <v>30</v>
      </c>
      <c r="G382" s="11" t="str">
        <f t="shared" si="73"/>
        <v>Does not Meet Target</v>
      </c>
      <c r="H382" t="s">
        <v>648</v>
      </c>
      <c r="I382" t="s">
        <v>653</v>
      </c>
      <c r="J382" t="s">
        <v>681</v>
      </c>
      <c r="K382" t="s">
        <v>702</v>
      </c>
      <c r="L382" t="s">
        <v>711</v>
      </c>
      <c r="M382" t="s">
        <v>724</v>
      </c>
      <c r="N382" t="s">
        <v>729</v>
      </c>
      <c r="O382" t="str" cm="1">
        <f t="array" ref="O382">_xlfn.IFS(S382&lt;=_xlfn.PERCENTILE.INC(IF(N382:N1012=N382, S382:S1012), 0.33), "Low", S382&lt;=_xlfn.PERCENTILE.INC(IF(N382:N1012=N382, S382:S1012), 0.66), "Medium", S382 &gt; _xlfn.PERCENTILE.INC(IF(N382:N1012=N382, S382:S1012), 0.66), "High")</f>
        <v>Medium</v>
      </c>
      <c r="P382" t="s">
        <v>1114</v>
      </c>
      <c r="Q382" s="6">
        <v>833.73</v>
      </c>
      <c r="R382" s="6">
        <v>1116.5999999999999</v>
      </c>
      <c r="S382" s="6">
        <v>1116.5999999999999</v>
      </c>
      <c r="T382" s="9">
        <v>0.17599999999999999</v>
      </c>
      <c r="U382" s="9">
        <f>IF(T382&gt;0.3, $AO$4, T382)</f>
        <v>0.17599999999999999</v>
      </c>
      <c r="V382" s="7" t="str">
        <f t="shared" si="74"/>
        <v>Less than 20%</v>
      </c>
      <c r="W382" s="11">
        <v>14</v>
      </c>
      <c r="X382" s="6">
        <f t="shared" si="71"/>
        <v>12881.097599999999</v>
      </c>
      <c r="Y382" s="6">
        <f t="shared" si="72"/>
        <v>11672.220000000001</v>
      </c>
      <c r="Z382" s="6">
        <f t="shared" si="75"/>
        <v>1208.877599999998</v>
      </c>
      <c r="AA382" s="9">
        <f t="shared" si="76"/>
        <v>9.3848958958279924E-2</v>
      </c>
      <c r="AB382" s="9">
        <f>IF(U382&gt;'What-If Analysis'!$F$16, 'What-If Analysis'!$F$16,T382)</f>
        <v>0.17</v>
      </c>
      <c r="AC382" s="42">
        <f>S382*(1-AB382)</f>
        <v>926.77799999999991</v>
      </c>
      <c r="AD382" s="42">
        <f>Q382*(1+'What-If Analysis'!F397)</f>
        <v>833.73</v>
      </c>
      <c r="AE382" s="41">
        <f>W382*(1+'What-If Analysis'!$F$18)</f>
        <v>16.38</v>
      </c>
      <c r="AF382" s="42">
        <f t="shared" si="77"/>
        <v>15180.623639999998</v>
      </c>
      <c r="AG382" s="42">
        <f t="shared" si="78"/>
        <v>13656.4974</v>
      </c>
      <c r="AH382" s="42">
        <f t="shared" si="79"/>
        <v>1524.1262399999978</v>
      </c>
      <c r="AI382" s="44">
        <f t="shared" si="80"/>
        <v>0.10039944841159358</v>
      </c>
      <c r="AJ382" s="42">
        <f t="shared" si="81"/>
        <v>2299.5260399999988</v>
      </c>
      <c r="AK382" s="42">
        <f t="shared" si="82"/>
        <v>1208.877599999998</v>
      </c>
      <c r="AL382" s="9">
        <f t="shared" si="83"/>
        <v>6.5504894533136571E-3</v>
      </c>
      <c r="AM382" s="42"/>
    </row>
    <row r="383" spans="1:39" x14ac:dyDescent="0.25">
      <c r="A383" t="s">
        <v>396</v>
      </c>
      <c r="B383" s="20">
        <v>45861</v>
      </c>
      <c r="C383" s="4">
        <v>45886</v>
      </c>
      <c r="D383" s="4" t="s">
        <v>1441</v>
      </c>
      <c r="E383" s="4">
        <v>45886</v>
      </c>
      <c r="F383" s="11">
        <f t="shared" si="70"/>
        <v>25</v>
      </c>
      <c r="G383" s="11" t="str">
        <f t="shared" si="73"/>
        <v>Does not Meet Target</v>
      </c>
      <c r="H383" t="s">
        <v>649</v>
      </c>
      <c r="I383" t="s">
        <v>658</v>
      </c>
      <c r="J383" t="s">
        <v>674</v>
      </c>
      <c r="K383" t="s">
        <v>702</v>
      </c>
      <c r="L383" t="s">
        <v>708</v>
      </c>
      <c r="M383" t="s">
        <v>714</v>
      </c>
      <c r="N383" t="s">
        <v>728</v>
      </c>
      <c r="O383" t="str" cm="1">
        <f t="array" ref="O383">_xlfn.IFS(S383&lt;=_xlfn.PERCENTILE.INC(IF(N383:N1013=N383, S383:S1013), 0.33), "Low", S383&lt;=_xlfn.PERCENTILE.INC(IF(N383:N1013=N383, S383:S1013), 0.66), "Medium", S383 &gt; _xlfn.PERCENTILE.INC(IF(N383:N1013=N383, S383:S1013), 0.66), "High")</f>
        <v>High</v>
      </c>
      <c r="P383" t="s">
        <v>1115</v>
      </c>
      <c r="Q383" s="6">
        <v>1142.06</v>
      </c>
      <c r="R383" s="6">
        <v>1455</v>
      </c>
      <c r="S383" s="6">
        <v>1455</v>
      </c>
      <c r="T383" s="9">
        <v>7.8E-2</v>
      </c>
      <c r="U383" s="9">
        <f>IF(T383&gt;0.3, $AO$4, T383)</f>
        <v>7.8E-2</v>
      </c>
      <c r="V383" s="7" t="str">
        <f t="shared" si="74"/>
        <v>Less than 20%</v>
      </c>
      <c r="W383" s="11">
        <v>28</v>
      </c>
      <c r="X383" s="6">
        <f t="shared" si="71"/>
        <v>37562.28</v>
      </c>
      <c r="Y383" s="6">
        <f t="shared" si="72"/>
        <v>31977.68</v>
      </c>
      <c r="Z383" s="6">
        <f t="shared" si="75"/>
        <v>5584.5999999999985</v>
      </c>
      <c r="AA383" s="9">
        <f t="shared" si="76"/>
        <v>0.1486757459877302</v>
      </c>
      <c r="AB383" s="9">
        <f>IF(U383&gt;'What-If Analysis'!$F$16, 'What-If Analysis'!$F$16,T383)</f>
        <v>7.8E-2</v>
      </c>
      <c r="AC383" s="42">
        <f>S383*(1-AB383)</f>
        <v>1341.51</v>
      </c>
      <c r="AD383" s="42">
        <f>Q383*(1+'What-If Analysis'!F398)</f>
        <v>1142.06</v>
      </c>
      <c r="AE383" s="41">
        <f>W383*(1+'What-If Analysis'!$F$18)</f>
        <v>32.76</v>
      </c>
      <c r="AF383" s="42">
        <f t="shared" si="77"/>
        <v>43947.867599999998</v>
      </c>
      <c r="AG383" s="42">
        <f t="shared" si="78"/>
        <v>37413.885599999994</v>
      </c>
      <c r="AH383" s="42">
        <f t="shared" si="79"/>
        <v>6533.9820000000036</v>
      </c>
      <c r="AI383" s="44">
        <f t="shared" si="80"/>
        <v>0.14867574598773034</v>
      </c>
      <c r="AJ383" s="42">
        <f t="shared" si="81"/>
        <v>6385.5875999999989</v>
      </c>
      <c r="AK383" s="42">
        <f t="shared" si="82"/>
        <v>5584.5999999999985</v>
      </c>
      <c r="AL383" s="9">
        <f t="shared" si="83"/>
        <v>0</v>
      </c>
      <c r="AM383" s="42"/>
    </row>
    <row r="384" spans="1:39" x14ac:dyDescent="0.25">
      <c r="A384" t="s">
        <v>397</v>
      </c>
      <c r="B384" s="20">
        <v>45097</v>
      </c>
      <c r="C384" s="4">
        <v>45115</v>
      </c>
      <c r="D384" s="4" t="s">
        <v>1442</v>
      </c>
      <c r="E384" s="4">
        <v>45115</v>
      </c>
      <c r="F384" s="11">
        <f t="shared" si="70"/>
        <v>18</v>
      </c>
      <c r="G384" s="11" t="str">
        <f t="shared" si="73"/>
        <v>Does not Meet Target</v>
      </c>
      <c r="H384" t="s">
        <v>648</v>
      </c>
      <c r="I384" t="s">
        <v>660</v>
      </c>
      <c r="J384" t="s">
        <v>700</v>
      </c>
      <c r="K384" t="s">
        <v>704</v>
      </c>
      <c r="L384" t="s">
        <v>709</v>
      </c>
      <c r="M384" t="s">
        <v>719</v>
      </c>
      <c r="N384" t="s">
        <v>729</v>
      </c>
      <c r="O384" t="str" cm="1">
        <f t="array" ref="O384">_xlfn.IFS(S384&lt;=_xlfn.PERCENTILE.INC(IF(N384:N1014=N384, S384:S1014), 0.33), "Low", S384&lt;=_xlfn.PERCENTILE.INC(IF(N384:N1014=N384, S384:S1014), 0.66), "Medium", S384 &gt; _xlfn.PERCENTILE.INC(IF(N384:N1014=N384, S384:S1014), 0.66), "High")</f>
        <v>Medium</v>
      </c>
      <c r="P384" t="s">
        <v>1116</v>
      </c>
      <c r="Q384" s="6">
        <v>1145.53</v>
      </c>
      <c r="R384" s="6">
        <v>1278.3</v>
      </c>
      <c r="S384" s="6">
        <v>1278.3</v>
      </c>
      <c r="T384" s="9">
        <v>0.09</v>
      </c>
      <c r="U384" s="9">
        <f>IF(T384&gt;0.3, $AO$4, T384)</f>
        <v>0.09</v>
      </c>
      <c r="V384" s="7" t="str">
        <f t="shared" si="74"/>
        <v>Less than 20%</v>
      </c>
      <c r="W384" s="11">
        <v>41</v>
      </c>
      <c r="X384" s="6">
        <f t="shared" si="71"/>
        <v>47693.373</v>
      </c>
      <c r="Y384" s="6">
        <f t="shared" si="72"/>
        <v>46966.729999999996</v>
      </c>
      <c r="Z384" s="6">
        <f t="shared" si="75"/>
        <v>726.64300000000367</v>
      </c>
      <c r="AA384" s="9">
        <f t="shared" si="76"/>
        <v>1.5235722581416158E-2</v>
      </c>
      <c r="AB384" s="9">
        <f>IF(U384&gt;'What-If Analysis'!$F$16, 'What-If Analysis'!$F$16,T384)</f>
        <v>0.09</v>
      </c>
      <c r="AC384" s="42">
        <f>S384*(1-AB384)</f>
        <v>1163.2529999999999</v>
      </c>
      <c r="AD384" s="42">
        <f>Q384*(1+'What-If Analysis'!F399)</f>
        <v>1145.53</v>
      </c>
      <c r="AE384" s="41">
        <f>W384*(1+'What-If Analysis'!$F$18)</f>
        <v>47.97</v>
      </c>
      <c r="AF384" s="42">
        <f t="shared" si="77"/>
        <v>55801.246409999992</v>
      </c>
      <c r="AG384" s="42">
        <f t="shared" si="78"/>
        <v>54951.074099999998</v>
      </c>
      <c r="AH384" s="42">
        <f t="shared" si="79"/>
        <v>850.17230999999447</v>
      </c>
      <c r="AI384" s="44">
        <f t="shared" si="80"/>
        <v>1.5235722581415983E-2</v>
      </c>
      <c r="AJ384" s="42">
        <f t="shared" si="81"/>
        <v>8107.8734099999929</v>
      </c>
      <c r="AK384" s="42">
        <f t="shared" si="82"/>
        <v>726.64300000000367</v>
      </c>
      <c r="AL384" s="9">
        <f t="shared" si="83"/>
        <v>-1.7520707107365752E-16</v>
      </c>
      <c r="AM384" s="42"/>
    </row>
    <row r="385" spans="1:39" x14ac:dyDescent="0.25">
      <c r="A385" t="s">
        <v>398</v>
      </c>
      <c r="B385" s="20">
        <v>45491</v>
      </c>
      <c r="C385" s="4">
        <v>45511</v>
      </c>
      <c r="D385" s="4" t="s">
        <v>1443</v>
      </c>
      <c r="E385" s="4">
        <v>45511</v>
      </c>
      <c r="F385" s="11">
        <f t="shared" si="70"/>
        <v>20</v>
      </c>
      <c r="G385" s="11" t="str">
        <f t="shared" si="73"/>
        <v>Does not Meet Target</v>
      </c>
      <c r="H385" t="s">
        <v>649</v>
      </c>
      <c r="I385" t="s">
        <v>657</v>
      </c>
      <c r="J385" t="s">
        <v>673</v>
      </c>
      <c r="K385" t="s">
        <v>701</v>
      </c>
      <c r="L385" t="s">
        <v>707</v>
      </c>
      <c r="M385" t="s">
        <v>721</v>
      </c>
      <c r="N385" t="s">
        <v>732</v>
      </c>
      <c r="O385" t="str" cm="1">
        <f t="array" ref="O385">_xlfn.IFS(S385&lt;=_xlfn.PERCENTILE.INC(IF(N385:N1015=N385, S385:S1015), 0.33), "Low", S385&lt;=_xlfn.PERCENTILE.INC(IF(N385:N1015=N385, S385:S1015), 0.66), "Medium", S385 &gt; _xlfn.PERCENTILE.INC(IF(N385:N1015=N385, S385:S1015), 0.66), "High")</f>
        <v>Medium</v>
      </c>
      <c r="P385" t="s">
        <v>1117</v>
      </c>
      <c r="Q385" s="6">
        <v>941.35</v>
      </c>
      <c r="R385" s="6">
        <v>899.83</v>
      </c>
      <c r="S385" s="6">
        <v>899.83</v>
      </c>
      <c r="T385" s="9">
        <v>5.8000000000000003E-2</v>
      </c>
      <c r="U385" s="9">
        <f>IF(T385&gt;0.3, $AO$4, T385)</f>
        <v>5.8000000000000003E-2</v>
      </c>
      <c r="V385" s="7" t="str">
        <f t="shared" si="74"/>
        <v>Less than 20%</v>
      </c>
      <c r="W385" s="11">
        <v>18</v>
      </c>
      <c r="X385" s="6">
        <f t="shared" si="71"/>
        <v>15257.51748</v>
      </c>
      <c r="Y385" s="6">
        <f t="shared" si="72"/>
        <v>16944.3</v>
      </c>
      <c r="Z385" s="6">
        <f t="shared" si="75"/>
        <v>-1686.7825199999988</v>
      </c>
      <c r="AA385" s="9">
        <f t="shared" si="76"/>
        <v>-0.11055419220139073</v>
      </c>
      <c r="AB385" s="9">
        <f>IF(U385&gt;'What-If Analysis'!$F$16, 'What-If Analysis'!$F$16,T385)</f>
        <v>5.8000000000000003E-2</v>
      </c>
      <c r="AC385" s="42">
        <f>S385*(1-AB385)</f>
        <v>847.63986</v>
      </c>
      <c r="AD385" s="42">
        <f>Q385*(1+'What-If Analysis'!F400)</f>
        <v>941.35</v>
      </c>
      <c r="AE385" s="41">
        <f>W385*(1+'What-If Analysis'!$F$18)</f>
        <v>21.06</v>
      </c>
      <c r="AF385" s="42">
        <f t="shared" si="77"/>
        <v>17851.295451599999</v>
      </c>
      <c r="AG385" s="42">
        <f t="shared" si="78"/>
        <v>19824.830999999998</v>
      </c>
      <c r="AH385" s="42">
        <f t="shared" si="79"/>
        <v>-1973.5355483999992</v>
      </c>
      <c r="AI385" s="44">
        <f t="shared" si="80"/>
        <v>-0.11055419220139077</v>
      </c>
      <c r="AJ385" s="42">
        <f t="shared" si="81"/>
        <v>2593.7779715999986</v>
      </c>
      <c r="AK385" s="42">
        <f t="shared" si="82"/>
        <v>-1686.7825199999988</v>
      </c>
      <c r="AL385" s="9">
        <f t="shared" si="83"/>
        <v>0</v>
      </c>
      <c r="AM385" s="42"/>
    </row>
    <row r="386" spans="1:39" x14ac:dyDescent="0.25">
      <c r="A386" t="s">
        <v>399</v>
      </c>
      <c r="B386" s="20">
        <v>45066</v>
      </c>
      <c r="C386" s="4">
        <v>45096</v>
      </c>
      <c r="D386" s="4" t="s">
        <v>1442</v>
      </c>
      <c r="E386" s="4">
        <v>45096</v>
      </c>
      <c r="F386" s="11">
        <f t="shared" ref="F386:F449" si="84">E386-B386</f>
        <v>30</v>
      </c>
      <c r="G386" s="11" t="str">
        <f t="shared" si="73"/>
        <v>Does not Meet Target</v>
      </c>
      <c r="H386" t="s">
        <v>647</v>
      </c>
      <c r="I386" t="s">
        <v>654</v>
      </c>
      <c r="J386" t="s">
        <v>680</v>
      </c>
      <c r="K386" t="s">
        <v>703</v>
      </c>
      <c r="L386" t="s">
        <v>709</v>
      </c>
      <c r="M386" t="s">
        <v>722</v>
      </c>
      <c r="N386" t="s">
        <v>731</v>
      </c>
      <c r="O386" t="str" cm="1">
        <f t="array" ref="O386">_xlfn.IFS(S386&lt;=_xlfn.PERCENTILE.INC(IF(N386:N1016=N386, S386:S1016), 0.33), "Low", S386&lt;=_xlfn.PERCENTILE.INC(IF(N386:N1016=N386, S386:S1016), 0.66), "Medium", S386 &gt; _xlfn.PERCENTILE.INC(IF(N386:N1016=N386, S386:S1016), 0.66), "High")</f>
        <v>Low</v>
      </c>
      <c r="P386" t="s">
        <v>1118</v>
      </c>
      <c r="Q386" s="6">
        <v>1161.2</v>
      </c>
      <c r="R386" s="6">
        <v>878.73</v>
      </c>
      <c r="S386" s="6">
        <v>878.73</v>
      </c>
      <c r="T386" s="9">
        <v>0.19</v>
      </c>
      <c r="U386" s="9">
        <f>IF(T386&gt;0.3, $AO$4, T386)</f>
        <v>0.19</v>
      </c>
      <c r="V386" s="7" t="str">
        <f t="shared" si="74"/>
        <v>Less than 20%</v>
      </c>
      <c r="W386" s="11">
        <v>31</v>
      </c>
      <c r="X386" s="6">
        <f t="shared" ref="X386:X449" si="85">S386*W386*(1-U386)</f>
        <v>22064.910300000003</v>
      </c>
      <c r="Y386" s="6">
        <f t="shared" ref="Y386:Y449" si="86">Q386*W386</f>
        <v>35997.200000000004</v>
      </c>
      <c r="Z386" s="6">
        <f t="shared" si="75"/>
        <v>-13932.289700000001</v>
      </c>
      <c r="AA386" s="9">
        <f t="shared" si="76"/>
        <v>-0.63142290227212028</v>
      </c>
      <c r="AB386" s="9">
        <f>IF(U386&gt;'What-If Analysis'!$F$16, 'What-If Analysis'!$F$16,T386)</f>
        <v>0.17</v>
      </c>
      <c r="AC386" s="42">
        <f>S386*(1-AB386)</f>
        <v>729.34590000000003</v>
      </c>
      <c r="AD386" s="42">
        <f>Q386*(1+'What-If Analysis'!F401)</f>
        <v>1161.2</v>
      </c>
      <c r="AE386" s="41">
        <f>W386*(1+'What-If Analysis'!$F$18)</f>
        <v>36.269999999999996</v>
      </c>
      <c r="AF386" s="42">
        <f t="shared" si="77"/>
        <v>26453.375792999999</v>
      </c>
      <c r="AG386" s="42">
        <f t="shared" si="78"/>
        <v>42116.723999999995</v>
      </c>
      <c r="AH386" s="42">
        <f t="shared" si="79"/>
        <v>-15663.348206999995</v>
      </c>
      <c r="AI386" s="44">
        <f t="shared" si="80"/>
        <v>-0.59211150703664739</v>
      </c>
      <c r="AJ386" s="42">
        <f t="shared" si="81"/>
        <v>4388.4654929999961</v>
      </c>
      <c r="AK386" s="42">
        <f t="shared" si="82"/>
        <v>-13932.289700000001</v>
      </c>
      <c r="AL386" s="9">
        <f t="shared" si="83"/>
        <v>3.931139523547289E-2</v>
      </c>
      <c r="AM386" s="42"/>
    </row>
    <row r="387" spans="1:39" x14ac:dyDescent="0.25">
      <c r="A387" t="s">
        <v>400</v>
      </c>
      <c r="B387" s="20">
        <v>45789</v>
      </c>
      <c r="C387" s="4">
        <v>45803</v>
      </c>
      <c r="D387" s="4" t="s">
        <v>1440</v>
      </c>
      <c r="E387" s="4">
        <v>45803</v>
      </c>
      <c r="F387" s="11">
        <f t="shared" si="84"/>
        <v>14</v>
      </c>
      <c r="G387" s="11" t="str">
        <f t="shared" ref="G387:G450" si="87">IF(F387&lt;=7, "Meets Target", "Does not Meet Target")</f>
        <v>Does not Meet Target</v>
      </c>
      <c r="H387" t="s">
        <v>647</v>
      </c>
      <c r="I387" t="s">
        <v>654</v>
      </c>
      <c r="J387" t="s">
        <v>696</v>
      </c>
      <c r="K387" t="s">
        <v>701</v>
      </c>
      <c r="L387" t="s">
        <v>709</v>
      </c>
      <c r="M387" t="s">
        <v>715</v>
      </c>
      <c r="N387" t="s">
        <v>728</v>
      </c>
      <c r="O387" t="str" cm="1">
        <f t="array" ref="O387">_xlfn.IFS(S387&lt;=_xlfn.PERCENTILE.INC(IF(N387:N1017=N387, S387:S1017), 0.33), "Low", S387&lt;=_xlfn.PERCENTILE.INC(IF(N387:N1017=N387, S387:S1017), 0.66), "Medium", S387 &gt; _xlfn.PERCENTILE.INC(IF(N387:N1017=N387, S387:S1017), 0.66), "High")</f>
        <v>Low</v>
      </c>
      <c r="P387" t="s">
        <v>1119</v>
      </c>
      <c r="Q387" s="6">
        <v>320.12</v>
      </c>
      <c r="R387" s="6">
        <v>594.41999999999996</v>
      </c>
      <c r="S387" s="6">
        <v>594.41999999999996</v>
      </c>
      <c r="T387" s="9">
        <v>0.104</v>
      </c>
      <c r="U387" s="9">
        <f>IF(T387&gt;0.3, $AO$4, T387)</f>
        <v>0.104</v>
      </c>
      <c r="V387" s="7" t="str">
        <f t="shared" ref="V387:V450" si="88">IF(U387&gt;20%, "Greater than 20%", "Less than 20%")</f>
        <v>Less than 20%</v>
      </c>
      <c r="W387" s="11">
        <v>18</v>
      </c>
      <c r="X387" s="6">
        <f t="shared" si="85"/>
        <v>9586.8057599999993</v>
      </c>
      <c r="Y387" s="6">
        <f t="shared" si="86"/>
        <v>5762.16</v>
      </c>
      <c r="Z387" s="6">
        <f t="shared" ref="Z387:Z450" si="89">X387-Y387</f>
        <v>3824.6457599999994</v>
      </c>
      <c r="AA387" s="9">
        <f t="shared" ref="AA387:AA450" si="90">IF(X387=0, 0, Z387/X387)</f>
        <v>0.39894891538931104</v>
      </c>
      <c r="AB387" s="9">
        <f>IF(U387&gt;'What-If Analysis'!$F$16, 'What-If Analysis'!$F$16,T387)</f>
        <v>0.104</v>
      </c>
      <c r="AC387" s="42">
        <f>S387*(1-AB387)</f>
        <v>532.60032000000001</v>
      </c>
      <c r="AD387" s="42">
        <f>Q387*(1+'What-If Analysis'!F402)</f>
        <v>320.12</v>
      </c>
      <c r="AE387" s="41">
        <f>W387*(1+'What-If Analysis'!$F$18)</f>
        <v>21.06</v>
      </c>
      <c r="AF387" s="42">
        <f t="shared" ref="AF387:AF450" si="91">AC387*AE387</f>
        <v>11216.562739199999</v>
      </c>
      <c r="AG387" s="42">
        <f t="shared" ref="AG387:AG450" si="92">AD387*AE387</f>
        <v>6741.7271999999994</v>
      </c>
      <c r="AH387" s="42">
        <f t="shared" ref="AH387:AH450" si="93">AF387-AG387</f>
        <v>4474.8355391999994</v>
      </c>
      <c r="AI387" s="44">
        <f t="shared" ref="AI387:AI450" si="94">IF(AF387=0, 0, AH387/AF387)</f>
        <v>0.39894891538931104</v>
      </c>
      <c r="AJ387" s="42">
        <f t="shared" ref="AJ387:AJ450" si="95">AF387-X387</f>
        <v>1629.7569791999995</v>
      </c>
      <c r="AK387" s="42">
        <f t="shared" ref="AK387:AK450" si="96">Z387</f>
        <v>3824.6457599999994</v>
      </c>
      <c r="AL387" s="9">
        <f t="shared" ref="AL387:AL450" si="97">AI387-AA387</f>
        <v>0</v>
      </c>
      <c r="AM387" s="42"/>
    </row>
    <row r="388" spans="1:39" x14ac:dyDescent="0.25">
      <c r="A388" t="s">
        <v>401</v>
      </c>
      <c r="B388" s="20">
        <v>45419</v>
      </c>
      <c r="C388" s="4">
        <v>45424</v>
      </c>
      <c r="D388" s="4" t="s">
        <v>1439</v>
      </c>
      <c r="E388" s="4">
        <v>45424</v>
      </c>
      <c r="F388" s="11">
        <f t="shared" si="84"/>
        <v>5</v>
      </c>
      <c r="G388" s="11" t="str">
        <f t="shared" si="87"/>
        <v>Meets Target</v>
      </c>
      <c r="H388" t="s">
        <v>646</v>
      </c>
      <c r="I388" t="s">
        <v>651</v>
      </c>
      <c r="J388" t="s">
        <v>669</v>
      </c>
      <c r="K388" t="s">
        <v>703</v>
      </c>
      <c r="L388" t="s">
        <v>710</v>
      </c>
      <c r="M388" t="s">
        <v>716</v>
      </c>
      <c r="N388" t="s">
        <v>731</v>
      </c>
      <c r="O388" t="str" cm="1">
        <f t="array" ref="O388">_xlfn.IFS(S388&lt;=_xlfn.PERCENTILE.INC(IF(N388:N1018=N388, S388:S1018), 0.33), "Low", S388&lt;=_xlfn.PERCENTILE.INC(IF(N388:N1018=N388, S388:S1018), 0.66), "Medium", S388 &gt; _xlfn.PERCENTILE.INC(IF(N388:N1018=N388, S388:S1018), 0.66), "High")</f>
        <v>Medium</v>
      </c>
      <c r="P388" t="s">
        <v>1120</v>
      </c>
      <c r="Q388" s="6">
        <v>1163.99</v>
      </c>
      <c r="R388" s="6">
        <v>1617.85</v>
      </c>
      <c r="S388" s="6">
        <v>1617.85</v>
      </c>
      <c r="T388" s="9">
        <v>0.127</v>
      </c>
      <c r="U388" s="9">
        <f>IF(T388&gt;0.3, $AO$4, T388)</f>
        <v>0.127</v>
      </c>
      <c r="V388" s="7" t="str">
        <f t="shared" si="88"/>
        <v>Less than 20%</v>
      </c>
      <c r="W388" s="11">
        <v>14</v>
      </c>
      <c r="X388" s="6">
        <f t="shared" si="85"/>
        <v>19773.362699999998</v>
      </c>
      <c r="Y388" s="6">
        <f t="shared" si="86"/>
        <v>16295.86</v>
      </c>
      <c r="Z388" s="6">
        <f t="shared" si="89"/>
        <v>3477.5026999999973</v>
      </c>
      <c r="AA388" s="9">
        <f t="shared" si="90"/>
        <v>0.17586804797749436</v>
      </c>
      <c r="AB388" s="9">
        <f>IF(U388&gt;'What-If Analysis'!$F$16, 'What-If Analysis'!$F$16,T388)</f>
        <v>0.127</v>
      </c>
      <c r="AC388" s="42">
        <f>S388*(1-AB388)</f>
        <v>1412.3830499999999</v>
      </c>
      <c r="AD388" s="42">
        <f>Q388*(1+'What-If Analysis'!F403)</f>
        <v>1163.99</v>
      </c>
      <c r="AE388" s="41">
        <f>W388*(1+'What-If Analysis'!$F$18)</f>
        <v>16.38</v>
      </c>
      <c r="AF388" s="42">
        <f t="shared" si="91"/>
        <v>23134.834358999997</v>
      </c>
      <c r="AG388" s="42">
        <f t="shared" si="92"/>
        <v>19066.156199999998</v>
      </c>
      <c r="AH388" s="42">
        <f t="shared" si="93"/>
        <v>4068.6781589999991</v>
      </c>
      <c r="AI388" s="44">
        <f t="shared" si="94"/>
        <v>0.17586804797749447</v>
      </c>
      <c r="AJ388" s="42">
        <f t="shared" si="95"/>
        <v>3361.4716589999989</v>
      </c>
      <c r="AK388" s="42">
        <f t="shared" si="96"/>
        <v>3477.5026999999973</v>
      </c>
      <c r="AL388" s="9">
        <f t="shared" si="97"/>
        <v>0</v>
      </c>
      <c r="AM388" s="42"/>
    </row>
    <row r="389" spans="1:39" x14ac:dyDescent="0.25">
      <c r="A389" t="s">
        <v>402</v>
      </c>
      <c r="B389" s="20">
        <v>45199</v>
      </c>
      <c r="C389" s="4">
        <v>45202</v>
      </c>
      <c r="D389" s="4" t="s">
        <v>1444</v>
      </c>
      <c r="E389" s="4">
        <v>45202</v>
      </c>
      <c r="F389" s="11">
        <f t="shared" si="84"/>
        <v>3</v>
      </c>
      <c r="G389" s="11" t="str">
        <f t="shared" si="87"/>
        <v>Meets Target</v>
      </c>
      <c r="H389" t="s">
        <v>647</v>
      </c>
      <c r="I389" t="s">
        <v>659</v>
      </c>
      <c r="J389" t="s">
        <v>699</v>
      </c>
      <c r="K389" t="s">
        <v>703</v>
      </c>
      <c r="L389" t="s">
        <v>707</v>
      </c>
      <c r="M389" t="s">
        <v>713</v>
      </c>
      <c r="N389" t="s">
        <v>731</v>
      </c>
      <c r="O389" t="str" cm="1">
        <f t="array" ref="O389">_xlfn.IFS(S389&lt;=_xlfn.PERCENTILE.INC(IF(N389:N1019=N389, S389:S1019), 0.33), "Low", S389&lt;=_xlfn.PERCENTILE.INC(IF(N389:N1019=N389, S389:S1019), 0.66), "Medium", S389 &gt; _xlfn.PERCENTILE.INC(IF(N389:N1019=N389, S389:S1019), 0.66), "High")</f>
        <v>Low</v>
      </c>
      <c r="P389" t="s">
        <v>1121</v>
      </c>
      <c r="Q389" s="6">
        <v>1019.36</v>
      </c>
      <c r="R389" s="6">
        <v>972.91</v>
      </c>
      <c r="S389" s="6">
        <v>972.91</v>
      </c>
      <c r="T389" s="9">
        <v>0.14699999999999999</v>
      </c>
      <c r="U389" s="9">
        <f>IF(T389&gt;0.3, $AO$4, T389)</f>
        <v>0.14699999999999999</v>
      </c>
      <c r="V389" s="7" t="str">
        <f t="shared" si="88"/>
        <v>Less than 20%</v>
      </c>
      <c r="W389" s="11">
        <v>17</v>
      </c>
      <c r="X389" s="6">
        <f t="shared" si="85"/>
        <v>14108.16791</v>
      </c>
      <c r="Y389" s="6">
        <f t="shared" si="86"/>
        <v>17329.12</v>
      </c>
      <c r="Z389" s="6">
        <f t="shared" si="89"/>
        <v>-3220.9520899999989</v>
      </c>
      <c r="AA389" s="9">
        <f t="shared" si="90"/>
        <v>-0.22830406545678819</v>
      </c>
      <c r="AB389" s="9">
        <f>IF(U389&gt;'What-If Analysis'!$F$16, 'What-If Analysis'!$F$16,T389)</f>
        <v>0.14699999999999999</v>
      </c>
      <c r="AC389" s="42">
        <f>S389*(1-AB389)</f>
        <v>829.89222999999993</v>
      </c>
      <c r="AD389" s="42">
        <f>Q389*(1+'What-If Analysis'!F404)</f>
        <v>1019.36</v>
      </c>
      <c r="AE389" s="41">
        <f>W389*(1+'What-If Analysis'!$F$18)</f>
        <v>19.89</v>
      </c>
      <c r="AF389" s="42">
        <f t="shared" si="91"/>
        <v>16506.556454699999</v>
      </c>
      <c r="AG389" s="42">
        <f t="shared" si="92"/>
        <v>20275.070400000001</v>
      </c>
      <c r="AH389" s="42">
        <f t="shared" si="93"/>
        <v>-3768.5139453000011</v>
      </c>
      <c r="AI389" s="44">
        <f t="shared" si="94"/>
        <v>-0.22830406545678836</v>
      </c>
      <c r="AJ389" s="42">
        <f t="shared" si="95"/>
        <v>2398.3885446999993</v>
      </c>
      <c r="AK389" s="42">
        <f t="shared" si="96"/>
        <v>-3220.9520899999989</v>
      </c>
      <c r="AL389" s="9">
        <f t="shared" si="97"/>
        <v>0</v>
      </c>
      <c r="AM389" s="42"/>
    </row>
    <row r="390" spans="1:39" x14ac:dyDescent="0.25">
      <c r="A390" t="s">
        <v>403</v>
      </c>
      <c r="B390" s="20">
        <v>45225</v>
      </c>
      <c r="C390" s="4">
        <v>45235</v>
      </c>
      <c r="D390" s="4" t="s">
        <v>1438</v>
      </c>
      <c r="E390" s="4">
        <v>45235</v>
      </c>
      <c r="F390" s="11">
        <f t="shared" si="84"/>
        <v>10</v>
      </c>
      <c r="G390" s="11" t="str">
        <f t="shared" si="87"/>
        <v>Does not Meet Target</v>
      </c>
      <c r="H390" t="s">
        <v>646</v>
      </c>
      <c r="I390" t="s">
        <v>661</v>
      </c>
      <c r="J390" t="s">
        <v>695</v>
      </c>
      <c r="K390" t="s">
        <v>703</v>
      </c>
      <c r="L390" t="s">
        <v>708</v>
      </c>
      <c r="M390" t="s">
        <v>714</v>
      </c>
      <c r="N390" t="s">
        <v>731</v>
      </c>
      <c r="O390" t="str" cm="1">
        <f t="array" ref="O390">_xlfn.IFS(S390&lt;=_xlfn.PERCENTILE.INC(IF(N390:N1020=N390, S390:S1020), 0.33), "Low", S390&lt;=_xlfn.PERCENTILE.INC(IF(N390:N1020=N390, S390:S1020), 0.66), "Medium", S390 &gt; _xlfn.PERCENTILE.INC(IF(N390:N1020=N390, S390:S1020), 0.66), "High")</f>
        <v>Low</v>
      </c>
      <c r="P390" t="s">
        <v>1122</v>
      </c>
      <c r="Q390" s="6">
        <v>20.38</v>
      </c>
      <c r="R390" s="6">
        <v>42.56</v>
      </c>
      <c r="S390" s="6">
        <v>42.56</v>
      </c>
      <c r="T390" s="9">
        <v>7.1999999999999995E-2</v>
      </c>
      <c r="U390" s="9">
        <f>IF(T390&gt;0.3, $AO$4, T390)</f>
        <v>7.1999999999999995E-2</v>
      </c>
      <c r="V390" s="7" t="str">
        <f t="shared" si="88"/>
        <v>Less than 20%</v>
      </c>
      <c r="W390" s="11">
        <v>11</v>
      </c>
      <c r="X390" s="6">
        <f t="shared" si="85"/>
        <v>434.45248000000004</v>
      </c>
      <c r="Y390" s="6">
        <f t="shared" si="86"/>
        <v>224.17999999999998</v>
      </c>
      <c r="Z390" s="6">
        <f t="shared" si="89"/>
        <v>210.27248000000006</v>
      </c>
      <c r="AA390" s="9">
        <f t="shared" si="90"/>
        <v>0.48399419885921713</v>
      </c>
      <c r="AB390" s="9">
        <f>IF(U390&gt;'What-If Analysis'!$F$16, 'What-If Analysis'!$F$16,T390)</f>
        <v>7.1999999999999995E-2</v>
      </c>
      <c r="AC390" s="42">
        <f>S390*(1-AB390)</f>
        <v>39.495680000000007</v>
      </c>
      <c r="AD390" s="42">
        <f>Q390*(1+'What-If Analysis'!F405)</f>
        <v>20.38</v>
      </c>
      <c r="AE390" s="41">
        <f>W390*(1+'What-If Analysis'!$F$18)</f>
        <v>12.87</v>
      </c>
      <c r="AF390" s="42">
        <f t="shared" si="91"/>
        <v>508.30940160000006</v>
      </c>
      <c r="AG390" s="42">
        <f t="shared" si="92"/>
        <v>262.29059999999998</v>
      </c>
      <c r="AH390" s="42">
        <f t="shared" si="93"/>
        <v>246.01880160000007</v>
      </c>
      <c r="AI390" s="44">
        <f t="shared" si="94"/>
        <v>0.48399419885921707</v>
      </c>
      <c r="AJ390" s="42">
        <f t="shared" si="95"/>
        <v>73.856921600000021</v>
      </c>
      <c r="AK390" s="42">
        <f t="shared" si="96"/>
        <v>210.27248000000006</v>
      </c>
      <c r="AL390" s="9">
        <f t="shared" si="97"/>
        <v>0</v>
      </c>
      <c r="AM390" s="42"/>
    </row>
    <row r="391" spans="1:39" x14ac:dyDescent="0.25">
      <c r="A391" t="s">
        <v>404</v>
      </c>
      <c r="B391" s="20">
        <v>45823</v>
      </c>
      <c r="C391" s="4">
        <v>45838</v>
      </c>
      <c r="D391" s="4" t="s">
        <v>1440</v>
      </c>
      <c r="E391" s="4">
        <v>45838</v>
      </c>
      <c r="F391" s="11">
        <f t="shared" si="84"/>
        <v>15</v>
      </c>
      <c r="G391" s="11" t="str">
        <f t="shared" si="87"/>
        <v>Does not Meet Target</v>
      </c>
      <c r="H391" t="s">
        <v>646</v>
      </c>
      <c r="I391" t="s">
        <v>661</v>
      </c>
      <c r="J391" t="s">
        <v>682</v>
      </c>
      <c r="K391" t="s">
        <v>705</v>
      </c>
      <c r="L391" t="s">
        <v>711</v>
      </c>
      <c r="M391" t="s">
        <v>712</v>
      </c>
      <c r="N391" t="s">
        <v>732</v>
      </c>
      <c r="O391" t="str" cm="1">
        <f t="array" ref="O391">_xlfn.IFS(S391&lt;=_xlfn.PERCENTILE.INC(IF(N391:N1021=N391, S391:S1021), 0.33), "Low", S391&lt;=_xlfn.PERCENTILE.INC(IF(N391:N1021=N391, S391:S1021), 0.66), "Medium", S391 &gt; _xlfn.PERCENTILE.INC(IF(N391:N1021=N391, S391:S1021), 0.66), "High")</f>
        <v>Medium</v>
      </c>
      <c r="P391" t="s">
        <v>1123</v>
      </c>
      <c r="Q391" s="6">
        <v>1487.59</v>
      </c>
      <c r="R391" s="6">
        <v>1480.83</v>
      </c>
      <c r="S391" s="6">
        <v>1480.83</v>
      </c>
      <c r="T391" s="9">
        <v>8.9999999999999993E-3</v>
      </c>
      <c r="U391" s="9">
        <f>IF(T391&gt;0.3, $AO$4, T391)</f>
        <v>8.9999999999999993E-3</v>
      </c>
      <c r="V391" s="7" t="str">
        <f t="shared" si="88"/>
        <v>Less than 20%</v>
      </c>
      <c r="W391" s="11">
        <v>11</v>
      </c>
      <c r="X391" s="6">
        <f t="shared" si="85"/>
        <v>16142.527829999999</v>
      </c>
      <c r="Y391" s="6">
        <f t="shared" si="86"/>
        <v>16363.49</v>
      </c>
      <c r="Z391" s="6">
        <f t="shared" si="89"/>
        <v>-220.9621700000007</v>
      </c>
      <c r="AA391" s="9">
        <f t="shared" si="90"/>
        <v>-1.3688201273492908E-2</v>
      </c>
      <c r="AB391" s="9">
        <f>IF(U391&gt;'What-If Analysis'!$F$16, 'What-If Analysis'!$F$16,T391)</f>
        <v>8.9999999999999993E-3</v>
      </c>
      <c r="AC391" s="42">
        <f>S391*(1-AB391)</f>
        <v>1467.50253</v>
      </c>
      <c r="AD391" s="42">
        <f>Q391*(1+'What-If Analysis'!F406)</f>
        <v>1487.59</v>
      </c>
      <c r="AE391" s="41">
        <f>W391*(1+'What-If Analysis'!$F$18)</f>
        <v>12.87</v>
      </c>
      <c r="AF391" s="42">
        <f t="shared" si="91"/>
        <v>18886.757561099999</v>
      </c>
      <c r="AG391" s="42">
        <f t="shared" si="92"/>
        <v>19145.283299999999</v>
      </c>
      <c r="AH391" s="42">
        <f t="shared" si="93"/>
        <v>-258.52573889999985</v>
      </c>
      <c r="AI391" s="44">
        <f t="shared" si="94"/>
        <v>-1.3688201273492857E-2</v>
      </c>
      <c r="AJ391" s="42">
        <f t="shared" si="95"/>
        <v>2744.2297311000002</v>
      </c>
      <c r="AK391" s="42">
        <f t="shared" si="96"/>
        <v>-220.9621700000007</v>
      </c>
      <c r="AL391" s="9">
        <f t="shared" si="97"/>
        <v>5.0306980803327406E-17</v>
      </c>
      <c r="AM391" s="42"/>
    </row>
    <row r="392" spans="1:39" x14ac:dyDescent="0.25">
      <c r="A392" t="s">
        <v>405</v>
      </c>
      <c r="B392" s="20">
        <v>45514</v>
      </c>
      <c r="C392" s="4">
        <v>45542</v>
      </c>
      <c r="D392" s="4" t="s">
        <v>1443</v>
      </c>
      <c r="E392" s="4">
        <v>45542</v>
      </c>
      <c r="F392" s="11">
        <f t="shared" si="84"/>
        <v>28</v>
      </c>
      <c r="G392" s="11" t="str">
        <f t="shared" si="87"/>
        <v>Does not Meet Target</v>
      </c>
      <c r="H392" t="s">
        <v>649</v>
      </c>
      <c r="I392" t="s">
        <v>657</v>
      </c>
      <c r="J392" t="s">
        <v>673</v>
      </c>
      <c r="K392" t="s">
        <v>703</v>
      </c>
      <c r="L392" t="s">
        <v>711</v>
      </c>
      <c r="M392" t="s">
        <v>721</v>
      </c>
      <c r="N392" t="s">
        <v>728</v>
      </c>
      <c r="O392" t="str" cm="1">
        <f t="array" ref="O392">_xlfn.IFS(S392&lt;=_xlfn.PERCENTILE.INC(IF(N392:N1022=N392, S392:S1022), 0.33), "Low", S392&lt;=_xlfn.PERCENTILE.INC(IF(N392:N1022=N392, S392:S1022), 0.66), "Medium", S392 &gt; _xlfn.PERCENTILE.INC(IF(N392:N1022=N392, S392:S1022), 0.66), "High")</f>
        <v>Low</v>
      </c>
      <c r="P392" t="s">
        <v>1124</v>
      </c>
      <c r="Q392" s="6">
        <v>229.96</v>
      </c>
      <c r="R392" s="6">
        <v>564.26</v>
      </c>
      <c r="S392" s="6">
        <v>564.26</v>
      </c>
      <c r="T392" s="9">
        <v>0.105</v>
      </c>
      <c r="U392" s="9">
        <f>IF(T392&gt;0.3, $AO$4, T392)</f>
        <v>0.105</v>
      </c>
      <c r="V392" s="7" t="str">
        <f t="shared" si="88"/>
        <v>Less than 20%</v>
      </c>
      <c r="W392" s="11">
        <v>5</v>
      </c>
      <c r="X392" s="6">
        <f t="shared" si="85"/>
        <v>2525.0635000000002</v>
      </c>
      <c r="Y392" s="6">
        <f t="shared" si="86"/>
        <v>1149.8</v>
      </c>
      <c r="Z392" s="6">
        <f t="shared" si="89"/>
        <v>1375.2635000000002</v>
      </c>
      <c r="AA392" s="9">
        <f t="shared" si="90"/>
        <v>0.54464511486542821</v>
      </c>
      <c r="AB392" s="9">
        <f>IF(U392&gt;'What-If Analysis'!$F$16, 'What-If Analysis'!$F$16,T392)</f>
        <v>0.105</v>
      </c>
      <c r="AC392" s="42">
        <f>S392*(1-AB392)</f>
        <v>505.0127</v>
      </c>
      <c r="AD392" s="42">
        <f>Q392*(1+'What-If Analysis'!F407)</f>
        <v>229.96</v>
      </c>
      <c r="AE392" s="41">
        <f>W392*(1+'What-If Analysis'!$F$18)</f>
        <v>5.85</v>
      </c>
      <c r="AF392" s="42">
        <f t="shared" si="91"/>
        <v>2954.3242949999999</v>
      </c>
      <c r="AG392" s="42">
        <f t="shared" si="92"/>
        <v>1345.2660000000001</v>
      </c>
      <c r="AH392" s="42">
        <f t="shared" si="93"/>
        <v>1609.0582949999998</v>
      </c>
      <c r="AI392" s="44">
        <f t="shared" si="94"/>
        <v>0.5446451148654281</v>
      </c>
      <c r="AJ392" s="42">
        <f t="shared" si="95"/>
        <v>429.26079499999969</v>
      </c>
      <c r="AK392" s="42">
        <f t="shared" si="96"/>
        <v>1375.2635000000002</v>
      </c>
      <c r="AL392" s="9">
        <f t="shared" si="97"/>
        <v>0</v>
      </c>
      <c r="AM392" s="42"/>
    </row>
    <row r="393" spans="1:39" x14ac:dyDescent="0.25">
      <c r="A393" t="s">
        <v>406</v>
      </c>
      <c r="B393" s="20">
        <v>45208</v>
      </c>
      <c r="C393" s="4">
        <v>45225</v>
      </c>
      <c r="D393" s="4" t="s">
        <v>1438</v>
      </c>
      <c r="E393" s="4">
        <v>45225</v>
      </c>
      <c r="F393" s="11">
        <f t="shared" si="84"/>
        <v>17</v>
      </c>
      <c r="G393" s="11" t="str">
        <f t="shared" si="87"/>
        <v>Does not Meet Target</v>
      </c>
      <c r="H393" t="s">
        <v>647</v>
      </c>
      <c r="I393" t="s">
        <v>659</v>
      </c>
      <c r="J393" t="s">
        <v>685</v>
      </c>
      <c r="K393" t="s">
        <v>704</v>
      </c>
      <c r="L393" t="s">
        <v>709</v>
      </c>
      <c r="M393" t="s">
        <v>712</v>
      </c>
      <c r="N393" t="s">
        <v>727</v>
      </c>
      <c r="O393" t="str" cm="1">
        <f t="array" ref="O393">_xlfn.IFS(S393&lt;=_xlfn.PERCENTILE.INC(IF(N393:N1023=N393, S393:S1023), 0.33), "Low", S393&lt;=_xlfn.PERCENTILE.INC(IF(N393:N1023=N393, S393:S1023), 0.66), "Medium", S393 &gt; _xlfn.PERCENTILE.INC(IF(N393:N1023=N393, S393:S1023), 0.66), "High")</f>
        <v>High</v>
      </c>
      <c r="P393" t="s">
        <v>1125</v>
      </c>
      <c r="Q393" s="6">
        <v>1132.03</v>
      </c>
      <c r="R393" s="6">
        <v>2137.21</v>
      </c>
      <c r="S393" s="6">
        <v>2137.21</v>
      </c>
      <c r="T393" s="9">
        <v>0.35699999999999998</v>
      </c>
      <c r="U393" s="9">
        <f>IF(T393&gt;0.3, $AO$4, T393)</f>
        <v>0.12</v>
      </c>
      <c r="V393" s="7" t="str">
        <f t="shared" si="88"/>
        <v>Less than 20%</v>
      </c>
      <c r="W393" s="11">
        <v>35</v>
      </c>
      <c r="X393" s="6">
        <f t="shared" si="85"/>
        <v>65826.067999999999</v>
      </c>
      <c r="Y393" s="6">
        <f t="shared" si="86"/>
        <v>39621.049999999996</v>
      </c>
      <c r="Z393" s="6">
        <f t="shared" si="89"/>
        <v>26205.018000000004</v>
      </c>
      <c r="AA393" s="9">
        <f t="shared" si="90"/>
        <v>0.39809483987407546</v>
      </c>
      <c r="AB393" s="9">
        <f>IF(U393&gt;'What-If Analysis'!$F$16, 'What-If Analysis'!$F$16,T393)</f>
        <v>0.35699999999999998</v>
      </c>
      <c r="AC393" s="42">
        <f>S393*(1-AB393)</f>
        <v>1374.22603</v>
      </c>
      <c r="AD393" s="42">
        <f>Q393*(1+'What-If Analysis'!F408)</f>
        <v>1132.03</v>
      </c>
      <c r="AE393" s="41">
        <f>W393*(1+'What-If Analysis'!$F$18)</f>
        <v>40.949999999999996</v>
      </c>
      <c r="AF393" s="42">
        <f t="shared" si="91"/>
        <v>56274.555928499998</v>
      </c>
      <c r="AG393" s="42">
        <f t="shared" si="92"/>
        <v>46356.628499999992</v>
      </c>
      <c r="AH393" s="42">
        <f t="shared" si="93"/>
        <v>9917.9274285000065</v>
      </c>
      <c r="AI393" s="44">
        <f t="shared" si="94"/>
        <v>0.17624177152284051</v>
      </c>
      <c r="AJ393" s="42">
        <f t="shared" si="95"/>
        <v>-9551.5120715000012</v>
      </c>
      <c r="AK393" s="42">
        <f t="shared" si="96"/>
        <v>26205.018000000004</v>
      </c>
      <c r="AL393" s="9">
        <f t="shared" si="97"/>
        <v>-0.22185306835123494</v>
      </c>
      <c r="AM393" s="42"/>
    </row>
    <row r="394" spans="1:39" x14ac:dyDescent="0.25">
      <c r="A394" t="s">
        <v>407</v>
      </c>
      <c r="B394" s="20">
        <v>45360</v>
      </c>
      <c r="C394" s="4">
        <v>45377</v>
      </c>
      <c r="D394" s="4" t="s">
        <v>1434</v>
      </c>
      <c r="E394" s="4">
        <v>45377</v>
      </c>
      <c r="F394" s="11">
        <f t="shared" si="84"/>
        <v>17</v>
      </c>
      <c r="G394" s="11" t="str">
        <f t="shared" si="87"/>
        <v>Does not Meet Target</v>
      </c>
      <c r="H394" t="s">
        <v>648</v>
      </c>
      <c r="I394" t="s">
        <v>660</v>
      </c>
      <c r="J394" t="s">
        <v>686</v>
      </c>
      <c r="K394" t="s">
        <v>702</v>
      </c>
      <c r="L394" t="s">
        <v>711</v>
      </c>
      <c r="M394" t="s">
        <v>714</v>
      </c>
      <c r="N394" t="s">
        <v>730</v>
      </c>
      <c r="O394" t="str" cm="1">
        <f t="array" ref="O394">_xlfn.IFS(S394&lt;=_xlfn.PERCENTILE.INC(IF(N394:N1024=N394, S394:S1024), 0.33), "Low", S394&lt;=_xlfn.PERCENTILE.INC(IF(N394:N1024=N394, S394:S1024), 0.66), "Medium", S394 &gt; _xlfn.PERCENTILE.INC(IF(N394:N1024=N394, S394:S1024), 0.66), "High")</f>
        <v>High</v>
      </c>
      <c r="P394" t="s">
        <v>1126</v>
      </c>
      <c r="Q394" s="6">
        <v>1137.4100000000001</v>
      </c>
      <c r="R394" s="6">
        <v>1680.93</v>
      </c>
      <c r="S394" s="6">
        <v>1680.93</v>
      </c>
      <c r="T394" s="9">
        <v>0.254</v>
      </c>
      <c r="U394" s="9">
        <f>IF(T394&gt;0.3, $AO$4, T394)</f>
        <v>0.254</v>
      </c>
      <c r="V394" s="7" t="str">
        <f t="shared" si="88"/>
        <v>Greater than 20%</v>
      </c>
      <c r="W394" s="11">
        <v>9</v>
      </c>
      <c r="X394" s="6">
        <f t="shared" si="85"/>
        <v>11285.764020000001</v>
      </c>
      <c r="Y394" s="6">
        <f t="shared" si="86"/>
        <v>10236.69</v>
      </c>
      <c r="Z394" s="6">
        <f t="shared" si="89"/>
        <v>1049.07402</v>
      </c>
      <c r="AA394" s="9">
        <f t="shared" si="90"/>
        <v>9.2955516183121464E-2</v>
      </c>
      <c r="AB394" s="9">
        <f>IF(U394&gt;'What-If Analysis'!$F$16, 'What-If Analysis'!$F$16,T394)</f>
        <v>0.17</v>
      </c>
      <c r="AC394" s="42">
        <f>S394*(1-AB394)</f>
        <v>1395.1719000000001</v>
      </c>
      <c r="AD394" s="42">
        <f>Q394*(1+'What-If Analysis'!F409)</f>
        <v>1137.4100000000001</v>
      </c>
      <c r="AE394" s="41">
        <f>W394*(1+'What-If Analysis'!$F$18)</f>
        <v>10.53</v>
      </c>
      <c r="AF394" s="42">
        <f t="shared" si="91"/>
        <v>14691.160107</v>
      </c>
      <c r="AG394" s="42">
        <f t="shared" si="92"/>
        <v>11976.927299999999</v>
      </c>
      <c r="AH394" s="42">
        <f t="shared" si="93"/>
        <v>2714.2328070000003</v>
      </c>
      <c r="AI394" s="44">
        <f t="shared" si="94"/>
        <v>0.18475278924410679</v>
      </c>
      <c r="AJ394" s="42">
        <f t="shared" si="95"/>
        <v>3405.3960869999992</v>
      </c>
      <c r="AK394" s="42">
        <f t="shared" si="96"/>
        <v>1049.07402</v>
      </c>
      <c r="AL394" s="9">
        <f t="shared" si="97"/>
        <v>9.1797273060985327E-2</v>
      </c>
      <c r="AM394" s="42"/>
    </row>
    <row r="395" spans="1:39" x14ac:dyDescent="0.25">
      <c r="A395" t="s">
        <v>408</v>
      </c>
      <c r="B395" s="20">
        <v>45075</v>
      </c>
      <c r="C395" s="4">
        <v>45097</v>
      </c>
      <c r="D395" s="4" t="s">
        <v>1442</v>
      </c>
      <c r="E395" s="4">
        <v>45097</v>
      </c>
      <c r="F395" s="11">
        <f t="shared" si="84"/>
        <v>22</v>
      </c>
      <c r="G395" s="11" t="str">
        <f t="shared" si="87"/>
        <v>Does not Meet Target</v>
      </c>
      <c r="H395" t="s">
        <v>649</v>
      </c>
      <c r="I395" t="s">
        <v>658</v>
      </c>
      <c r="J395" t="s">
        <v>683</v>
      </c>
      <c r="K395" t="s">
        <v>705</v>
      </c>
      <c r="L395" t="s">
        <v>711</v>
      </c>
      <c r="M395" t="s">
        <v>723</v>
      </c>
      <c r="N395" t="s">
        <v>727</v>
      </c>
      <c r="O395" t="str" cm="1">
        <f t="array" ref="O395">_xlfn.IFS(S395&lt;=_xlfn.PERCENTILE.INC(IF(N395:N1025=N395, S395:S1025), 0.33), "Low", S395&lt;=_xlfn.PERCENTILE.INC(IF(N395:N1025=N395, S395:S1025), 0.66), "Medium", S395 &gt; _xlfn.PERCENTILE.INC(IF(N395:N1025=N395, S395:S1025), 0.66), "High")</f>
        <v>High</v>
      </c>
      <c r="P395" t="s">
        <v>1127</v>
      </c>
      <c r="Q395" s="6">
        <v>1295.3900000000001</v>
      </c>
      <c r="R395" s="6">
        <v>2905.06</v>
      </c>
      <c r="S395" s="6">
        <v>2905.06</v>
      </c>
      <c r="T395" s="9">
        <v>0.14799999999999999</v>
      </c>
      <c r="U395" s="9">
        <f>IF(T395&gt;0.3, $AO$4, T395)</f>
        <v>0.14799999999999999</v>
      </c>
      <c r="V395" s="7" t="str">
        <f t="shared" si="88"/>
        <v>Less than 20%</v>
      </c>
      <c r="W395" s="11">
        <v>8</v>
      </c>
      <c r="X395" s="6">
        <f t="shared" si="85"/>
        <v>19800.88896</v>
      </c>
      <c r="Y395" s="6">
        <f t="shared" si="86"/>
        <v>10363.120000000001</v>
      </c>
      <c r="Z395" s="6">
        <f t="shared" si="89"/>
        <v>9437.7689599999994</v>
      </c>
      <c r="AA395" s="9">
        <f t="shared" si="90"/>
        <v>0.47663359857556614</v>
      </c>
      <c r="AB395" s="9">
        <f>IF(U395&gt;'What-If Analysis'!$F$16, 'What-If Analysis'!$F$16,T395)</f>
        <v>0.14799999999999999</v>
      </c>
      <c r="AC395" s="42">
        <f>S395*(1-AB395)</f>
        <v>2475.11112</v>
      </c>
      <c r="AD395" s="42">
        <f>Q395*(1+'What-If Analysis'!F410)</f>
        <v>1295.3900000000001</v>
      </c>
      <c r="AE395" s="41">
        <f>W395*(1+'What-If Analysis'!$F$18)</f>
        <v>9.36</v>
      </c>
      <c r="AF395" s="42">
        <f t="shared" si="91"/>
        <v>23167.040083199998</v>
      </c>
      <c r="AG395" s="42">
        <f t="shared" si="92"/>
        <v>12124.850399999999</v>
      </c>
      <c r="AH395" s="42">
        <f t="shared" si="93"/>
        <v>11042.189683199998</v>
      </c>
      <c r="AI395" s="44">
        <f t="shared" si="94"/>
        <v>0.47663359857556614</v>
      </c>
      <c r="AJ395" s="42">
        <f t="shared" si="95"/>
        <v>3366.1511231999975</v>
      </c>
      <c r="AK395" s="42">
        <f t="shared" si="96"/>
        <v>9437.7689599999994</v>
      </c>
      <c r="AL395" s="9">
        <f t="shared" si="97"/>
        <v>0</v>
      </c>
      <c r="AM395" s="42"/>
    </row>
    <row r="396" spans="1:39" x14ac:dyDescent="0.25">
      <c r="A396" t="s">
        <v>409</v>
      </c>
      <c r="B396" s="20">
        <v>45804</v>
      </c>
      <c r="C396" s="4">
        <v>45816</v>
      </c>
      <c r="D396" s="4" t="s">
        <v>1440</v>
      </c>
      <c r="E396" s="4">
        <v>45816</v>
      </c>
      <c r="F396" s="11">
        <f t="shared" si="84"/>
        <v>12</v>
      </c>
      <c r="G396" s="11" t="str">
        <f t="shared" si="87"/>
        <v>Does not Meet Target</v>
      </c>
      <c r="H396" t="s">
        <v>647</v>
      </c>
      <c r="I396" t="s">
        <v>652</v>
      </c>
      <c r="J396" t="s">
        <v>666</v>
      </c>
      <c r="K396" t="s">
        <v>701</v>
      </c>
      <c r="L396" t="s">
        <v>707</v>
      </c>
      <c r="M396" t="s">
        <v>722</v>
      </c>
      <c r="N396" t="s">
        <v>733</v>
      </c>
      <c r="O396" t="str" cm="1">
        <f t="array" ref="O396">_xlfn.IFS(S396&lt;=_xlfn.PERCENTILE.INC(IF(N396:N1026=N396, S396:S1026), 0.33), "Low", S396&lt;=_xlfn.PERCENTILE.INC(IF(N396:N1026=N396, S396:S1026), 0.66), "Medium", S396 &gt; _xlfn.PERCENTILE.INC(IF(N396:N1026=N396, S396:S1026), 0.66), "High")</f>
        <v>Medium</v>
      </c>
      <c r="P396" t="s">
        <v>1128</v>
      </c>
      <c r="Q396" s="6">
        <v>653.6</v>
      </c>
      <c r="R396" s="6">
        <v>842.09</v>
      </c>
      <c r="S396" s="6">
        <v>842.09</v>
      </c>
      <c r="T396" s="9">
        <v>9.8000000000000004E-2</v>
      </c>
      <c r="U396" s="9">
        <f>IF(T396&gt;0.3, $AO$4, T396)</f>
        <v>9.8000000000000004E-2</v>
      </c>
      <c r="V396" s="7" t="str">
        <f t="shared" si="88"/>
        <v>Less than 20%</v>
      </c>
      <c r="W396" s="11">
        <v>19</v>
      </c>
      <c r="X396" s="6">
        <f t="shared" si="85"/>
        <v>14431.738420000001</v>
      </c>
      <c r="Y396" s="6">
        <f t="shared" si="86"/>
        <v>12418.4</v>
      </c>
      <c r="Z396" s="6">
        <f t="shared" si="89"/>
        <v>2013.3384200000019</v>
      </c>
      <c r="AA396" s="9">
        <f t="shared" si="90"/>
        <v>0.13950768517324622</v>
      </c>
      <c r="AB396" s="9">
        <f>IF(U396&gt;'What-If Analysis'!$F$16, 'What-If Analysis'!$F$16,T396)</f>
        <v>9.8000000000000004E-2</v>
      </c>
      <c r="AC396" s="42">
        <f>S396*(1-AB396)</f>
        <v>759.56518000000005</v>
      </c>
      <c r="AD396" s="42">
        <f>Q396*(1+'What-If Analysis'!F411)</f>
        <v>653.6</v>
      </c>
      <c r="AE396" s="41">
        <f>W396*(1+'What-If Analysis'!$F$18)</f>
        <v>22.229999999999997</v>
      </c>
      <c r="AF396" s="42">
        <f t="shared" si="91"/>
        <v>16885.133951399999</v>
      </c>
      <c r="AG396" s="42">
        <f t="shared" si="92"/>
        <v>14529.527999999998</v>
      </c>
      <c r="AH396" s="42">
        <f t="shared" si="93"/>
        <v>2355.6059514000008</v>
      </c>
      <c r="AI396" s="44">
        <f t="shared" si="94"/>
        <v>0.13950768517324613</v>
      </c>
      <c r="AJ396" s="42">
        <f t="shared" si="95"/>
        <v>2453.3955313999977</v>
      </c>
      <c r="AK396" s="42">
        <f t="shared" si="96"/>
        <v>2013.3384200000019</v>
      </c>
      <c r="AL396" s="9">
        <f t="shared" si="97"/>
        <v>0</v>
      </c>
      <c r="AM396" s="42"/>
    </row>
    <row r="397" spans="1:39" x14ac:dyDescent="0.25">
      <c r="A397" t="s">
        <v>410</v>
      </c>
      <c r="B397" s="20">
        <v>45890</v>
      </c>
      <c r="C397" s="4">
        <v>45914</v>
      </c>
      <c r="D397" s="4" t="s">
        <v>1441</v>
      </c>
      <c r="E397" s="4">
        <v>45914</v>
      </c>
      <c r="F397" s="11">
        <f t="shared" si="84"/>
        <v>24</v>
      </c>
      <c r="G397" s="11" t="str">
        <f t="shared" si="87"/>
        <v>Does not Meet Target</v>
      </c>
      <c r="H397" t="s">
        <v>649</v>
      </c>
      <c r="I397" t="s">
        <v>656</v>
      </c>
      <c r="J397" t="s">
        <v>671</v>
      </c>
      <c r="K397" t="s">
        <v>703</v>
      </c>
      <c r="L397" t="s">
        <v>708</v>
      </c>
      <c r="M397" t="s">
        <v>720</v>
      </c>
      <c r="N397" t="s">
        <v>732</v>
      </c>
      <c r="O397" t="str" cm="1">
        <f t="array" ref="O397">_xlfn.IFS(S397&lt;=_xlfn.PERCENTILE.INC(IF(N397:N1027=N397, S397:S1027), 0.33), "Low", S397&lt;=_xlfn.PERCENTILE.INC(IF(N397:N1027=N397, S397:S1027), 0.66), "Medium", S397 &gt; _xlfn.PERCENTILE.INC(IF(N397:N1027=N397, S397:S1027), 0.66), "High")</f>
        <v>High</v>
      </c>
      <c r="P397" t="s">
        <v>1129</v>
      </c>
      <c r="Q397" s="6">
        <v>1397.67</v>
      </c>
      <c r="R397" s="6">
        <v>3131.37</v>
      </c>
      <c r="S397" s="6">
        <v>3131.37</v>
      </c>
      <c r="T397" s="9">
        <v>0.10299999999999999</v>
      </c>
      <c r="U397" s="9">
        <f>IF(T397&gt;0.3, $AO$4, T397)</f>
        <v>0.10299999999999999</v>
      </c>
      <c r="V397" s="7" t="str">
        <f t="shared" si="88"/>
        <v>Less than 20%</v>
      </c>
      <c r="W397" s="11">
        <v>20</v>
      </c>
      <c r="X397" s="6">
        <f t="shared" si="85"/>
        <v>56176.777799999996</v>
      </c>
      <c r="Y397" s="6">
        <f t="shared" si="86"/>
        <v>27953.4</v>
      </c>
      <c r="Z397" s="6">
        <f t="shared" si="89"/>
        <v>28223.377799999995</v>
      </c>
      <c r="AA397" s="9">
        <f t="shared" si="90"/>
        <v>0.50240293062874808</v>
      </c>
      <c r="AB397" s="9">
        <f>IF(U397&gt;'What-If Analysis'!$F$16, 'What-If Analysis'!$F$16,T397)</f>
        <v>0.10299999999999999</v>
      </c>
      <c r="AC397" s="42">
        <f>S397*(1-AB397)</f>
        <v>2808.83889</v>
      </c>
      <c r="AD397" s="42">
        <f>Q397*(1+'What-If Analysis'!F412)</f>
        <v>1397.67</v>
      </c>
      <c r="AE397" s="41">
        <f>W397*(1+'What-If Analysis'!$F$18)</f>
        <v>23.4</v>
      </c>
      <c r="AF397" s="42">
        <f t="shared" si="91"/>
        <v>65726.830025999996</v>
      </c>
      <c r="AG397" s="42">
        <f t="shared" si="92"/>
        <v>32705.477999999999</v>
      </c>
      <c r="AH397" s="42">
        <f t="shared" si="93"/>
        <v>33021.352025999993</v>
      </c>
      <c r="AI397" s="44">
        <f t="shared" si="94"/>
        <v>0.50240293062874808</v>
      </c>
      <c r="AJ397" s="42">
        <f t="shared" si="95"/>
        <v>9550.0522259999998</v>
      </c>
      <c r="AK397" s="42">
        <f t="shared" si="96"/>
        <v>28223.377799999995</v>
      </c>
      <c r="AL397" s="9">
        <f t="shared" si="97"/>
        <v>0</v>
      </c>
      <c r="AM397" s="42"/>
    </row>
    <row r="398" spans="1:39" x14ac:dyDescent="0.25">
      <c r="A398" t="s">
        <v>411</v>
      </c>
      <c r="B398" s="20">
        <v>45638</v>
      </c>
      <c r="C398" s="4">
        <v>45646</v>
      </c>
      <c r="D398" s="4" t="s">
        <v>1435</v>
      </c>
      <c r="E398" s="4">
        <v>45646</v>
      </c>
      <c r="F398" s="11">
        <f t="shared" si="84"/>
        <v>8</v>
      </c>
      <c r="G398" s="11" t="str">
        <f t="shared" si="87"/>
        <v>Does not Meet Target</v>
      </c>
      <c r="H398" t="s">
        <v>647</v>
      </c>
      <c r="I398" t="s">
        <v>652</v>
      </c>
      <c r="J398" t="s">
        <v>689</v>
      </c>
      <c r="K398" t="s">
        <v>701</v>
      </c>
      <c r="L398" t="s">
        <v>707</v>
      </c>
      <c r="M398" t="s">
        <v>717</v>
      </c>
      <c r="N398" t="s">
        <v>731</v>
      </c>
      <c r="O398" t="str" cm="1">
        <f t="array" ref="O398">_xlfn.IFS(S398&lt;=_xlfn.PERCENTILE.INC(IF(N398:N1028=N398, S398:S1028), 0.33), "Low", S398&lt;=_xlfn.PERCENTILE.INC(IF(N398:N1028=N398, S398:S1028), 0.66), "Medium", S398 &gt; _xlfn.PERCENTILE.INC(IF(N398:N1028=N398, S398:S1028), 0.66), "High")</f>
        <v>Medium</v>
      </c>
      <c r="P398" t="s">
        <v>1130</v>
      </c>
      <c r="Q398" s="6">
        <v>1202.47</v>
      </c>
      <c r="R398" s="6">
        <v>1444.72</v>
      </c>
      <c r="S398" s="6">
        <v>1444.72</v>
      </c>
      <c r="T398" s="9">
        <v>0.24099999999999999</v>
      </c>
      <c r="U398" s="9">
        <f>IF(T398&gt;0.3, $AO$4, T398)</f>
        <v>0.24099999999999999</v>
      </c>
      <c r="V398" s="7" t="str">
        <f t="shared" si="88"/>
        <v>Greater than 20%</v>
      </c>
      <c r="W398" s="11">
        <v>17</v>
      </c>
      <c r="X398" s="6">
        <f t="shared" si="85"/>
        <v>18641.222160000001</v>
      </c>
      <c r="Y398" s="6">
        <f t="shared" si="86"/>
        <v>20441.990000000002</v>
      </c>
      <c r="Z398" s="6">
        <f t="shared" si="89"/>
        <v>-1800.7678400000004</v>
      </c>
      <c r="AA398" s="9">
        <f t="shared" si="90"/>
        <v>-9.6601382921343834E-2</v>
      </c>
      <c r="AB398" s="9">
        <f>IF(U398&gt;'What-If Analysis'!$F$16, 'What-If Analysis'!$F$16,T398)</f>
        <v>0.17</v>
      </c>
      <c r="AC398" s="42">
        <f>S398*(1-AB398)</f>
        <v>1199.1176</v>
      </c>
      <c r="AD398" s="42">
        <f>Q398*(1+'What-If Analysis'!F413)</f>
        <v>1202.47</v>
      </c>
      <c r="AE398" s="41">
        <f>W398*(1+'What-If Analysis'!$F$18)</f>
        <v>19.89</v>
      </c>
      <c r="AF398" s="42">
        <f t="shared" si="91"/>
        <v>23850.449064</v>
      </c>
      <c r="AG398" s="42">
        <f t="shared" si="92"/>
        <v>23917.1283</v>
      </c>
      <c r="AH398" s="42">
        <f t="shared" si="93"/>
        <v>-66.679235999999946</v>
      </c>
      <c r="AI398" s="44">
        <f t="shared" si="94"/>
        <v>-2.7957224545782644E-3</v>
      </c>
      <c r="AJ398" s="42">
        <f t="shared" si="95"/>
        <v>5209.2269039999992</v>
      </c>
      <c r="AK398" s="42">
        <f t="shared" si="96"/>
        <v>-1800.7678400000004</v>
      </c>
      <c r="AL398" s="9">
        <f t="shared" si="97"/>
        <v>9.380566046676557E-2</v>
      </c>
      <c r="AM398" s="42"/>
    </row>
    <row r="399" spans="1:39" x14ac:dyDescent="0.25">
      <c r="A399" t="s">
        <v>412</v>
      </c>
      <c r="B399" s="20">
        <v>45914</v>
      </c>
      <c r="C399" s="4">
        <v>45923</v>
      </c>
      <c r="D399" s="4" t="s">
        <v>1441</v>
      </c>
      <c r="E399" s="4">
        <v>45923</v>
      </c>
      <c r="F399" s="11">
        <f t="shared" si="84"/>
        <v>9</v>
      </c>
      <c r="G399" s="11" t="str">
        <f t="shared" si="87"/>
        <v>Does not Meet Target</v>
      </c>
      <c r="H399" t="s">
        <v>646</v>
      </c>
      <c r="I399" t="s">
        <v>661</v>
      </c>
      <c r="J399" t="s">
        <v>687</v>
      </c>
      <c r="K399" t="s">
        <v>703</v>
      </c>
      <c r="L399" t="s">
        <v>708</v>
      </c>
      <c r="M399" t="s">
        <v>726</v>
      </c>
      <c r="N399" t="s">
        <v>727</v>
      </c>
      <c r="O399" t="str" cm="1">
        <f t="array" ref="O399">_xlfn.IFS(S399&lt;=_xlfn.PERCENTILE.INC(IF(N399:N1029=N399, S399:S1029), 0.33), "Low", S399&lt;=_xlfn.PERCENTILE.INC(IF(N399:N1029=N399, S399:S1029), 0.66), "Medium", S399 &gt; _xlfn.PERCENTILE.INC(IF(N399:N1029=N399, S399:S1029), 0.66), "High")</f>
        <v>High</v>
      </c>
      <c r="P399" t="s">
        <v>1131</v>
      </c>
      <c r="Q399" s="6">
        <v>1310.3</v>
      </c>
      <c r="R399" s="6">
        <v>2875.8</v>
      </c>
      <c r="S399" s="6">
        <v>2875.8</v>
      </c>
      <c r="T399" s="9">
        <v>8.3000000000000004E-2</v>
      </c>
      <c r="U399" s="9">
        <f>IF(T399&gt;0.3, $AO$4, T399)</f>
        <v>8.3000000000000004E-2</v>
      </c>
      <c r="V399" s="7" t="str">
        <f t="shared" si="88"/>
        <v>Less than 20%</v>
      </c>
      <c r="W399" s="11">
        <v>5</v>
      </c>
      <c r="X399" s="6">
        <f t="shared" si="85"/>
        <v>13185.543</v>
      </c>
      <c r="Y399" s="6">
        <f t="shared" si="86"/>
        <v>6551.5</v>
      </c>
      <c r="Z399" s="6">
        <f t="shared" si="89"/>
        <v>6634.0429999999997</v>
      </c>
      <c r="AA399" s="9">
        <f t="shared" si="90"/>
        <v>0.50313005691157353</v>
      </c>
      <c r="AB399" s="9">
        <f>IF(U399&gt;'What-If Analysis'!$F$16, 'What-If Analysis'!$F$16,T399)</f>
        <v>8.3000000000000004E-2</v>
      </c>
      <c r="AC399" s="42">
        <f>S399*(1-AB399)</f>
        <v>2637.1086000000005</v>
      </c>
      <c r="AD399" s="42">
        <f>Q399*(1+'What-If Analysis'!F414)</f>
        <v>1310.3</v>
      </c>
      <c r="AE399" s="41">
        <f>W399*(1+'What-If Analysis'!$F$18)</f>
        <v>5.85</v>
      </c>
      <c r="AF399" s="42">
        <f t="shared" si="91"/>
        <v>15427.085310000002</v>
      </c>
      <c r="AG399" s="42">
        <f t="shared" si="92"/>
        <v>7665.2549999999992</v>
      </c>
      <c r="AH399" s="42">
        <f t="shared" si="93"/>
        <v>7761.830310000003</v>
      </c>
      <c r="AI399" s="44">
        <f t="shared" si="94"/>
        <v>0.50313005691157364</v>
      </c>
      <c r="AJ399" s="42">
        <f t="shared" si="95"/>
        <v>2241.5423100000025</v>
      </c>
      <c r="AK399" s="42">
        <f t="shared" si="96"/>
        <v>6634.0429999999997</v>
      </c>
      <c r="AL399" s="9">
        <f t="shared" si="97"/>
        <v>0</v>
      </c>
      <c r="AM399" s="42"/>
    </row>
    <row r="400" spans="1:39" x14ac:dyDescent="0.25">
      <c r="A400" t="s">
        <v>413</v>
      </c>
      <c r="B400" s="20">
        <v>45541</v>
      </c>
      <c r="C400" s="4">
        <v>45569</v>
      </c>
      <c r="D400" s="4" t="s">
        <v>1443</v>
      </c>
      <c r="E400" s="4">
        <v>45569</v>
      </c>
      <c r="F400" s="11">
        <f t="shared" si="84"/>
        <v>28</v>
      </c>
      <c r="G400" s="11" t="str">
        <f t="shared" si="87"/>
        <v>Does not Meet Target</v>
      </c>
      <c r="H400" t="s">
        <v>646</v>
      </c>
      <c r="I400" t="s">
        <v>661</v>
      </c>
      <c r="J400" t="s">
        <v>695</v>
      </c>
      <c r="K400" t="s">
        <v>701</v>
      </c>
      <c r="L400" t="s">
        <v>709</v>
      </c>
      <c r="M400" t="s">
        <v>726</v>
      </c>
      <c r="N400" t="s">
        <v>732</v>
      </c>
      <c r="O400" t="str" cm="1">
        <f t="array" ref="O400">_xlfn.IFS(S400&lt;=_xlfn.PERCENTILE.INC(IF(N400:N1030=N400, S400:S1030), 0.33), "Low", S400&lt;=_xlfn.PERCENTILE.INC(IF(N400:N1030=N400, S400:S1030), 0.66), "Medium", S400 &gt; _xlfn.PERCENTILE.INC(IF(N400:N1030=N400, S400:S1030), 0.66), "High")</f>
        <v>High</v>
      </c>
      <c r="P400" t="s">
        <v>1132</v>
      </c>
      <c r="Q400" s="6">
        <v>1174.17</v>
      </c>
      <c r="R400" s="6">
        <v>1641.61</v>
      </c>
      <c r="S400" s="6">
        <v>1641.61</v>
      </c>
      <c r="T400" s="9">
        <v>0.122</v>
      </c>
      <c r="U400" s="9">
        <f>IF(T400&gt;0.3, $AO$4, T400)</f>
        <v>0.122</v>
      </c>
      <c r="V400" s="7" t="str">
        <f t="shared" si="88"/>
        <v>Less than 20%</v>
      </c>
      <c r="W400" s="11">
        <v>9</v>
      </c>
      <c r="X400" s="6">
        <f t="shared" si="85"/>
        <v>12972.00222</v>
      </c>
      <c r="Y400" s="6">
        <f t="shared" si="86"/>
        <v>10567.53</v>
      </c>
      <c r="Z400" s="6">
        <f t="shared" si="89"/>
        <v>2404.4722199999997</v>
      </c>
      <c r="AA400" s="9">
        <f t="shared" si="90"/>
        <v>0.18535860380079394</v>
      </c>
      <c r="AB400" s="9">
        <f>IF(U400&gt;'What-If Analysis'!$F$16, 'What-If Analysis'!$F$16,T400)</f>
        <v>0.122</v>
      </c>
      <c r="AC400" s="42">
        <f>S400*(1-AB400)</f>
        <v>1441.33358</v>
      </c>
      <c r="AD400" s="42">
        <f>Q400*(1+'What-If Analysis'!F415)</f>
        <v>1174.17</v>
      </c>
      <c r="AE400" s="41">
        <f>W400*(1+'What-If Analysis'!$F$18)</f>
        <v>10.53</v>
      </c>
      <c r="AF400" s="42">
        <f t="shared" si="91"/>
        <v>15177.2425974</v>
      </c>
      <c r="AG400" s="42">
        <f t="shared" si="92"/>
        <v>12364.0101</v>
      </c>
      <c r="AH400" s="42">
        <f t="shared" si="93"/>
        <v>2813.2324974000003</v>
      </c>
      <c r="AI400" s="44">
        <f t="shared" si="94"/>
        <v>0.185358603800794</v>
      </c>
      <c r="AJ400" s="42">
        <f t="shared" si="95"/>
        <v>2205.2403773999995</v>
      </c>
      <c r="AK400" s="42">
        <f t="shared" si="96"/>
        <v>2404.4722199999997</v>
      </c>
      <c r="AL400" s="9">
        <f t="shared" si="97"/>
        <v>0</v>
      </c>
      <c r="AM400" s="42"/>
    </row>
    <row r="401" spans="1:39" x14ac:dyDescent="0.25">
      <c r="A401" t="s">
        <v>414</v>
      </c>
      <c r="B401" s="20">
        <v>45759</v>
      </c>
      <c r="C401" s="4">
        <v>45777</v>
      </c>
      <c r="D401" s="4" t="s">
        <v>1440</v>
      </c>
      <c r="E401" s="4">
        <v>45777</v>
      </c>
      <c r="F401" s="11">
        <f t="shared" si="84"/>
        <v>18</v>
      </c>
      <c r="G401" s="11" t="str">
        <f t="shared" si="87"/>
        <v>Does not Meet Target</v>
      </c>
      <c r="H401" t="s">
        <v>646</v>
      </c>
      <c r="I401" t="s">
        <v>650</v>
      </c>
      <c r="J401" t="s">
        <v>662</v>
      </c>
      <c r="K401" t="s">
        <v>701</v>
      </c>
      <c r="L401" t="s">
        <v>709</v>
      </c>
      <c r="M401" t="s">
        <v>721</v>
      </c>
      <c r="N401" t="s">
        <v>729</v>
      </c>
      <c r="O401" t="str" cm="1">
        <f t="array" ref="O401">_xlfn.IFS(S401&lt;=_xlfn.PERCENTILE.INC(IF(N401:N1031=N401, S401:S1031), 0.33), "Low", S401&lt;=_xlfn.PERCENTILE.INC(IF(N401:N1031=N401, S401:S1031), 0.66), "Medium", S401 &gt; _xlfn.PERCENTILE.INC(IF(N401:N1031=N401, S401:S1031), 0.66), "High")</f>
        <v>Medium</v>
      </c>
      <c r="P401" t="s">
        <v>1133</v>
      </c>
      <c r="Q401" s="6">
        <v>1119.04</v>
      </c>
      <c r="R401" s="6">
        <v>1299.02</v>
      </c>
      <c r="S401" s="6">
        <v>1299.02</v>
      </c>
      <c r="T401" s="9">
        <v>2.5000000000000001E-2</v>
      </c>
      <c r="U401" s="9">
        <f>IF(T401&gt;0.3, $AO$4, T401)</f>
        <v>2.5000000000000001E-2</v>
      </c>
      <c r="V401" s="7" t="str">
        <f t="shared" si="88"/>
        <v>Less than 20%</v>
      </c>
      <c r="W401" s="11">
        <v>14</v>
      </c>
      <c r="X401" s="6">
        <f t="shared" si="85"/>
        <v>17731.623</v>
      </c>
      <c r="Y401" s="6">
        <f t="shared" si="86"/>
        <v>15666.56</v>
      </c>
      <c r="Z401" s="6">
        <f t="shared" si="89"/>
        <v>2065.0630000000001</v>
      </c>
      <c r="AA401" s="9">
        <f t="shared" si="90"/>
        <v>0.11646215352085933</v>
      </c>
      <c r="AB401" s="9">
        <f>IF(U401&gt;'What-If Analysis'!$F$16, 'What-If Analysis'!$F$16,T401)</f>
        <v>2.5000000000000001E-2</v>
      </c>
      <c r="AC401" s="42">
        <f>S401*(1-AB401)</f>
        <v>1266.5445</v>
      </c>
      <c r="AD401" s="42">
        <f>Q401*(1+'What-If Analysis'!F416)</f>
        <v>1119.04</v>
      </c>
      <c r="AE401" s="41">
        <f>W401*(1+'What-If Analysis'!$F$18)</f>
        <v>16.38</v>
      </c>
      <c r="AF401" s="42">
        <f t="shared" si="91"/>
        <v>20745.998909999998</v>
      </c>
      <c r="AG401" s="42">
        <f t="shared" si="92"/>
        <v>18329.875199999999</v>
      </c>
      <c r="AH401" s="42">
        <f t="shared" si="93"/>
        <v>2416.1237099999998</v>
      </c>
      <c r="AI401" s="44">
        <f t="shared" si="94"/>
        <v>0.11646215352085931</v>
      </c>
      <c r="AJ401" s="42">
        <f t="shared" si="95"/>
        <v>3014.3759099999988</v>
      </c>
      <c r="AK401" s="42">
        <f t="shared" si="96"/>
        <v>2065.0630000000001</v>
      </c>
      <c r="AL401" s="9">
        <f t="shared" si="97"/>
        <v>0</v>
      </c>
      <c r="AM401" s="42"/>
    </row>
    <row r="402" spans="1:39" x14ac:dyDescent="0.25">
      <c r="A402" t="s">
        <v>415</v>
      </c>
      <c r="B402" s="20">
        <v>45516</v>
      </c>
      <c r="C402" s="4">
        <v>45519</v>
      </c>
      <c r="D402" s="4" t="s">
        <v>1443</v>
      </c>
      <c r="E402" s="4">
        <v>45519</v>
      </c>
      <c r="F402" s="11">
        <f t="shared" si="84"/>
        <v>3</v>
      </c>
      <c r="G402" s="11" t="str">
        <f t="shared" si="87"/>
        <v>Meets Target</v>
      </c>
      <c r="H402" t="s">
        <v>648</v>
      </c>
      <c r="I402" t="s">
        <v>660</v>
      </c>
      <c r="J402" t="s">
        <v>677</v>
      </c>
      <c r="K402" t="s">
        <v>701</v>
      </c>
      <c r="L402" t="s">
        <v>709</v>
      </c>
      <c r="M402" t="s">
        <v>726</v>
      </c>
      <c r="N402" t="s">
        <v>728</v>
      </c>
      <c r="O402" t="str" cm="1">
        <f t="array" ref="O402">_xlfn.IFS(S402&lt;=_xlfn.PERCENTILE.INC(IF(N402:N1032=N402, S402:S1032), 0.33), "Low", S402&lt;=_xlfn.PERCENTILE.INC(IF(N402:N1032=N402, S402:S1032), 0.66), "Medium", S402 &gt; _xlfn.PERCENTILE.INC(IF(N402:N1032=N402, S402:S1032), 0.66), "High")</f>
        <v>Medium</v>
      </c>
      <c r="P402" t="s">
        <v>1134</v>
      </c>
      <c r="Q402" s="6">
        <v>850.7</v>
      </c>
      <c r="R402" s="6">
        <v>1118.56</v>
      </c>
      <c r="S402" s="6">
        <v>1118.56</v>
      </c>
      <c r="T402" s="9">
        <v>0.18</v>
      </c>
      <c r="U402" s="9">
        <f>IF(T402&gt;0.3, $AO$4, T402)</f>
        <v>0.18</v>
      </c>
      <c r="V402" s="7" t="str">
        <f t="shared" si="88"/>
        <v>Less than 20%</v>
      </c>
      <c r="W402" s="11">
        <v>19</v>
      </c>
      <c r="X402" s="6">
        <f t="shared" si="85"/>
        <v>17427.164800000002</v>
      </c>
      <c r="Y402" s="6">
        <f t="shared" si="86"/>
        <v>16163.300000000001</v>
      </c>
      <c r="Z402" s="6">
        <f t="shared" si="89"/>
        <v>1263.8648000000012</v>
      </c>
      <c r="AA402" s="9">
        <f t="shared" si="90"/>
        <v>7.2522685962090688E-2</v>
      </c>
      <c r="AB402" s="9">
        <f>IF(U402&gt;'What-If Analysis'!$F$16, 'What-If Analysis'!$F$16,T402)</f>
        <v>0.17</v>
      </c>
      <c r="AC402" s="42">
        <f>S402*(1-AB402)</f>
        <v>928.40479999999991</v>
      </c>
      <c r="AD402" s="42">
        <f>Q402*(1+'What-If Analysis'!F417)</f>
        <v>850.7</v>
      </c>
      <c r="AE402" s="41">
        <f>W402*(1+'What-If Analysis'!$F$18)</f>
        <v>22.229999999999997</v>
      </c>
      <c r="AF402" s="42">
        <f t="shared" si="91"/>
        <v>20638.438703999997</v>
      </c>
      <c r="AG402" s="42">
        <f t="shared" si="92"/>
        <v>18911.060999999998</v>
      </c>
      <c r="AH402" s="42">
        <f t="shared" si="93"/>
        <v>1727.3777039999986</v>
      </c>
      <c r="AI402" s="44">
        <f t="shared" si="94"/>
        <v>8.3697111432426835E-2</v>
      </c>
      <c r="AJ402" s="42">
        <f t="shared" si="95"/>
        <v>3211.2739039999942</v>
      </c>
      <c r="AK402" s="42">
        <f t="shared" si="96"/>
        <v>1263.8648000000012</v>
      </c>
      <c r="AL402" s="9">
        <f t="shared" si="97"/>
        <v>1.1174425470336147E-2</v>
      </c>
      <c r="AM402" s="42"/>
    </row>
    <row r="403" spans="1:39" x14ac:dyDescent="0.25">
      <c r="A403" t="s">
        <v>416</v>
      </c>
      <c r="B403" s="20">
        <v>45601</v>
      </c>
      <c r="C403" s="4">
        <v>45604</v>
      </c>
      <c r="D403" s="4" t="s">
        <v>1435</v>
      </c>
      <c r="E403" s="4">
        <v>45604</v>
      </c>
      <c r="F403" s="11">
        <f t="shared" si="84"/>
        <v>3</v>
      </c>
      <c r="G403" s="11" t="str">
        <f t="shared" si="87"/>
        <v>Meets Target</v>
      </c>
      <c r="H403" t="s">
        <v>648</v>
      </c>
      <c r="I403" t="s">
        <v>653</v>
      </c>
      <c r="J403" t="s">
        <v>667</v>
      </c>
      <c r="K403" t="s">
        <v>702</v>
      </c>
      <c r="L403" t="s">
        <v>709</v>
      </c>
      <c r="M403" t="s">
        <v>719</v>
      </c>
      <c r="N403" t="s">
        <v>727</v>
      </c>
      <c r="O403" t="str" cm="1">
        <f t="array" ref="O403">_xlfn.IFS(S403&lt;=_xlfn.PERCENTILE.INC(IF(N403:N1033=N403, S403:S1033), 0.33), "Low", S403&lt;=_xlfn.PERCENTILE.INC(IF(N403:N1033=N403, S403:S1033), 0.66), "Medium", S403 &gt; _xlfn.PERCENTILE.INC(IF(N403:N1033=N403, S403:S1033), 0.66), "High")</f>
        <v>Medium</v>
      </c>
      <c r="P403" t="s">
        <v>1135</v>
      </c>
      <c r="Q403" s="6">
        <v>1020.4</v>
      </c>
      <c r="R403" s="6">
        <v>1184.71</v>
      </c>
      <c r="S403" s="6">
        <v>1184.71</v>
      </c>
      <c r="T403" s="9">
        <v>0.106</v>
      </c>
      <c r="U403" s="9">
        <f>IF(T403&gt;0.3, $AO$4, T403)</f>
        <v>0.106</v>
      </c>
      <c r="V403" s="7" t="str">
        <f t="shared" si="88"/>
        <v>Less than 20%</v>
      </c>
      <c r="W403" s="11">
        <v>16</v>
      </c>
      <c r="X403" s="6">
        <f t="shared" si="85"/>
        <v>16946.091840000001</v>
      </c>
      <c r="Y403" s="6">
        <f t="shared" si="86"/>
        <v>16326.4</v>
      </c>
      <c r="Z403" s="6">
        <f t="shared" si="89"/>
        <v>619.69184000000132</v>
      </c>
      <c r="AA403" s="9">
        <f t="shared" si="90"/>
        <v>3.6568422138328345E-2</v>
      </c>
      <c r="AB403" s="9">
        <f>IF(U403&gt;'What-If Analysis'!$F$16, 'What-If Analysis'!$F$16,T403)</f>
        <v>0.106</v>
      </c>
      <c r="AC403" s="42">
        <f>S403*(1-AB403)</f>
        <v>1059.1307400000001</v>
      </c>
      <c r="AD403" s="42">
        <f>Q403*(1+'What-If Analysis'!F418)</f>
        <v>1020.4</v>
      </c>
      <c r="AE403" s="41">
        <f>W403*(1+'What-If Analysis'!$F$18)</f>
        <v>18.72</v>
      </c>
      <c r="AF403" s="42">
        <f t="shared" si="91"/>
        <v>19826.927452799999</v>
      </c>
      <c r="AG403" s="42">
        <f t="shared" si="92"/>
        <v>19101.887999999999</v>
      </c>
      <c r="AH403" s="42">
        <f t="shared" si="93"/>
        <v>725.03945279999971</v>
      </c>
      <c r="AI403" s="44">
        <f t="shared" si="94"/>
        <v>3.6568422138328255E-2</v>
      </c>
      <c r="AJ403" s="42">
        <f t="shared" si="95"/>
        <v>2880.8356127999978</v>
      </c>
      <c r="AK403" s="42">
        <f t="shared" si="96"/>
        <v>619.69184000000132</v>
      </c>
      <c r="AL403" s="9">
        <f t="shared" si="97"/>
        <v>-9.0205620750793969E-17</v>
      </c>
      <c r="AM403" s="42"/>
    </row>
    <row r="404" spans="1:39" x14ac:dyDescent="0.25">
      <c r="A404" t="s">
        <v>417</v>
      </c>
      <c r="B404" s="20">
        <v>45497</v>
      </c>
      <c r="C404" s="4">
        <v>45512</v>
      </c>
      <c r="D404" s="4" t="s">
        <v>1443</v>
      </c>
      <c r="E404" s="4">
        <v>45512</v>
      </c>
      <c r="F404" s="11">
        <f t="shared" si="84"/>
        <v>15</v>
      </c>
      <c r="G404" s="11" t="str">
        <f t="shared" si="87"/>
        <v>Does not Meet Target</v>
      </c>
      <c r="H404" t="s">
        <v>649</v>
      </c>
      <c r="I404" t="s">
        <v>657</v>
      </c>
      <c r="J404" t="s">
        <v>673</v>
      </c>
      <c r="K404" t="s">
        <v>706</v>
      </c>
      <c r="L404" t="s">
        <v>709</v>
      </c>
      <c r="M404" t="s">
        <v>722</v>
      </c>
      <c r="N404" t="s">
        <v>731</v>
      </c>
      <c r="O404" t="str" cm="1">
        <f t="array" ref="O404">_xlfn.IFS(S404&lt;=_xlfn.PERCENTILE.INC(IF(N404:N1034=N404, S404:S1034), 0.33), "Low", S404&lt;=_xlfn.PERCENTILE.INC(IF(N404:N1034=N404, S404:S1034), 0.66), "Medium", S404 &gt; _xlfn.PERCENTILE.INC(IF(N404:N1034=N404, S404:S1034), 0.66), "High")</f>
        <v>Medium</v>
      </c>
      <c r="P404" t="s">
        <v>1136</v>
      </c>
      <c r="Q404" s="6">
        <v>501.5</v>
      </c>
      <c r="R404" s="6">
        <v>1201.47</v>
      </c>
      <c r="S404" s="6">
        <v>1201.47</v>
      </c>
      <c r="T404" s="9">
        <v>0.126</v>
      </c>
      <c r="U404" s="9">
        <f>IF(T404&gt;0.3, $AO$4, T404)</f>
        <v>0.126</v>
      </c>
      <c r="V404" s="7" t="str">
        <f t="shared" si="88"/>
        <v>Less than 20%</v>
      </c>
      <c r="W404" s="11">
        <v>5</v>
      </c>
      <c r="X404" s="6">
        <f t="shared" si="85"/>
        <v>5250.4239000000007</v>
      </c>
      <c r="Y404" s="6">
        <f t="shared" si="86"/>
        <v>2507.5</v>
      </c>
      <c r="Z404" s="6">
        <f t="shared" si="89"/>
        <v>2742.9239000000007</v>
      </c>
      <c r="AA404" s="9">
        <f t="shared" si="90"/>
        <v>0.52241951359394057</v>
      </c>
      <c r="AB404" s="9">
        <f>IF(U404&gt;'What-If Analysis'!$F$16, 'What-If Analysis'!$F$16,T404)</f>
        <v>0.126</v>
      </c>
      <c r="AC404" s="42">
        <f>S404*(1-AB404)</f>
        <v>1050.0847799999999</v>
      </c>
      <c r="AD404" s="42">
        <f>Q404*(1+'What-If Analysis'!F419)</f>
        <v>501.5</v>
      </c>
      <c r="AE404" s="41">
        <f>W404*(1+'What-If Analysis'!$F$18)</f>
        <v>5.85</v>
      </c>
      <c r="AF404" s="42">
        <f t="shared" si="91"/>
        <v>6142.9959629999994</v>
      </c>
      <c r="AG404" s="42">
        <f t="shared" si="92"/>
        <v>2933.7749999999996</v>
      </c>
      <c r="AH404" s="42">
        <f t="shared" si="93"/>
        <v>3209.2209629999998</v>
      </c>
      <c r="AI404" s="44">
        <f t="shared" si="94"/>
        <v>0.52241951359394045</v>
      </c>
      <c r="AJ404" s="42">
        <f t="shared" si="95"/>
        <v>892.57206299999871</v>
      </c>
      <c r="AK404" s="42">
        <f t="shared" si="96"/>
        <v>2742.9239000000007</v>
      </c>
      <c r="AL404" s="9">
        <f t="shared" si="97"/>
        <v>0</v>
      </c>
      <c r="AM404" s="42"/>
    </row>
    <row r="405" spans="1:39" x14ac:dyDescent="0.25">
      <c r="A405" t="s">
        <v>418</v>
      </c>
      <c r="B405" s="20">
        <v>45677</v>
      </c>
      <c r="C405" s="4">
        <v>45691</v>
      </c>
      <c r="D405" s="4" t="s">
        <v>1437</v>
      </c>
      <c r="E405" s="4">
        <v>45691</v>
      </c>
      <c r="F405" s="11">
        <f t="shared" si="84"/>
        <v>14</v>
      </c>
      <c r="G405" s="11" t="str">
        <f t="shared" si="87"/>
        <v>Does not Meet Target</v>
      </c>
      <c r="H405" t="s">
        <v>648</v>
      </c>
      <c r="I405" t="s">
        <v>655</v>
      </c>
      <c r="J405" t="s">
        <v>672</v>
      </c>
      <c r="K405" t="s">
        <v>706</v>
      </c>
      <c r="L405" t="s">
        <v>709</v>
      </c>
      <c r="M405" t="s">
        <v>721</v>
      </c>
      <c r="N405" t="s">
        <v>727</v>
      </c>
      <c r="O405" t="str" cm="1">
        <f t="array" ref="O405">_xlfn.IFS(S405&lt;=_xlfn.PERCENTILE.INC(IF(N405:N1035=N405, S405:S1035), 0.33), "Low", S405&lt;=_xlfn.PERCENTILE.INC(IF(N405:N1035=N405, S405:S1035), 0.66), "Medium", S405 &gt; _xlfn.PERCENTILE.INC(IF(N405:N1035=N405, S405:S1035), 0.66), "High")</f>
        <v>Medium</v>
      </c>
      <c r="P405" t="s">
        <v>1137</v>
      </c>
      <c r="Q405" s="6">
        <v>974.11</v>
      </c>
      <c r="R405" s="6">
        <v>880.99</v>
      </c>
      <c r="S405" s="6">
        <v>880.99</v>
      </c>
      <c r="T405" s="9">
        <v>0.111</v>
      </c>
      <c r="U405" s="9">
        <f>IF(T405&gt;0.3, $AO$4, T405)</f>
        <v>0.111</v>
      </c>
      <c r="V405" s="7" t="str">
        <f t="shared" si="88"/>
        <v>Less than 20%</v>
      </c>
      <c r="W405" s="11">
        <v>10</v>
      </c>
      <c r="X405" s="6">
        <f t="shared" si="85"/>
        <v>7832.0010999999995</v>
      </c>
      <c r="Y405" s="6">
        <f t="shared" si="86"/>
        <v>9741.1</v>
      </c>
      <c r="Z405" s="6">
        <f t="shared" si="89"/>
        <v>-1909.0989000000009</v>
      </c>
      <c r="AA405" s="9">
        <f t="shared" si="90"/>
        <v>-0.2437562093805121</v>
      </c>
      <c r="AB405" s="9">
        <f>IF(U405&gt;'What-If Analysis'!$F$16, 'What-If Analysis'!$F$16,T405)</f>
        <v>0.111</v>
      </c>
      <c r="AC405" s="42">
        <f>S405*(1-AB405)</f>
        <v>783.20011</v>
      </c>
      <c r="AD405" s="42">
        <f>Q405*(1+'What-If Analysis'!F420)</f>
        <v>974.11</v>
      </c>
      <c r="AE405" s="41">
        <f>W405*(1+'What-If Analysis'!$F$18)</f>
        <v>11.7</v>
      </c>
      <c r="AF405" s="42">
        <f t="shared" si="91"/>
        <v>9163.4412869999996</v>
      </c>
      <c r="AG405" s="42">
        <f t="shared" si="92"/>
        <v>11397.087</v>
      </c>
      <c r="AH405" s="42">
        <f t="shared" si="93"/>
        <v>-2233.6457129999999</v>
      </c>
      <c r="AI405" s="44">
        <f t="shared" si="94"/>
        <v>-0.24375620938051196</v>
      </c>
      <c r="AJ405" s="42">
        <f t="shared" si="95"/>
        <v>1331.4401870000002</v>
      </c>
      <c r="AK405" s="42">
        <f t="shared" si="96"/>
        <v>-1909.0989000000009</v>
      </c>
      <c r="AL405" s="9">
        <f t="shared" si="97"/>
        <v>0</v>
      </c>
      <c r="AM405" s="42"/>
    </row>
    <row r="406" spans="1:39" x14ac:dyDescent="0.25">
      <c r="A406" t="s">
        <v>419</v>
      </c>
      <c r="B406" s="20">
        <v>44991</v>
      </c>
      <c r="C406" s="4">
        <v>45020</v>
      </c>
      <c r="D406" s="4" t="s">
        <v>1436</v>
      </c>
      <c r="E406" s="4">
        <v>45020</v>
      </c>
      <c r="F406" s="11">
        <f t="shared" si="84"/>
        <v>29</v>
      </c>
      <c r="G406" s="11" t="str">
        <f t="shared" si="87"/>
        <v>Does not Meet Target</v>
      </c>
      <c r="H406" t="s">
        <v>647</v>
      </c>
      <c r="I406" t="s">
        <v>659</v>
      </c>
      <c r="J406" t="s">
        <v>699</v>
      </c>
      <c r="K406" t="s">
        <v>705</v>
      </c>
      <c r="L406" t="s">
        <v>711</v>
      </c>
      <c r="M406" t="s">
        <v>712</v>
      </c>
      <c r="N406" t="s">
        <v>732</v>
      </c>
      <c r="O406" t="str" cm="1">
        <f t="array" ref="O406">_xlfn.IFS(S406&lt;=_xlfn.PERCENTILE.INC(IF(N406:N1036=N406, S406:S1036), 0.33), "Low", S406&lt;=_xlfn.PERCENTILE.INC(IF(N406:N1036=N406, S406:S1036), 0.66), "Medium", S406 &gt; _xlfn.PERCENTILE.INC(IF(N406:N1036=N406, S406:S1036), 0.66), "High")</f>
        <v>High</v>
      </c>
      <c r="P406" t="s">
        <v>1138</v>
      </c>
      <c r="Q406" s="6">
        <v>1126.29</v>
      </c>
      <c r="R406" s="6">
        <v>2050.87</v>
      </c>
      <c r="S406" s="6">
        <v>2050.87</v>
      </c>
      <c r="T406" s="9">
        <v>6.4000000000000001E-2</v>
      </c>
      <c r="U406" s="9">
        <f>IF(T406&gt;0.3, $AO$4, T406)</f>
        <v>6.4000000000000001E-2</v>
      </c>
      <c r="V406" s="7" t="str">
        <f t="shared" si="88"/>
        <v>Less than 20%</v>
      </c>
      <c r="W406" s="11">
        <v>7</v>
      </c>
      <c r="X406" s="6">
        <f t="shared" si="85"/>
        <v>13437.300239999999</v>
      </c>
      <c r="Y406" s="6">
        <f t="shared" si="86"/>
        <v>7884.03</v>
      </c>
      <c r="Z406" s="6">
        <f t="shared" si="89"/>
        <v>5553.2702399999989</v>
      </c>
      <c r="AA406" s="9">
        <f t="shared" si="90"/>
        <v>0.41327276616690373</v>
      </c>
      <c r="AB406" s="9">
        <f>IF(U406&gt;'What-If Analysis'!$F$16, 'What-If Analysis'!$F$16,T406)</f>
        <v>6.4000000000000001E-2</v>
      </c>
      <c r="AC406" s="42">
        <f>S406*(1-AB406)</f>
        <v>1919.6143199999997</v>
      </c>
      <c r="AD406" s="42">
        <f>Q406*(1+'What-If Analysis'!F421)</f>
        <v>1126.29</v>
      </c>
      <c r="AE406" s="41">
        <f>W406*(1+'What-If Analysis'!$F$18)</f>
        <v>8.19</v>
      </c>
      <c r="AF406" s="42">
        <f t="shared" si="91"/>
        <v>15721.641280799997</v>
      </c>
      <c r="AG406" s="42">
        <f t="shared" si="92"/>
        <v>9224.3150999999998</v>
      </c>
      <c r="AH406" s="42">
        <f t="shared" si="93"/>
        <v>6497.326180799997</v>
      </c>
      <c r="AI406" s="44">
        <f t="shared" si="94"/>
        <v>0.41327276616690367</v>
      </c>
      <c r="AJ406" s="42">
        <f t="shared" si="95"/>
        <v>2284.3410407999982</v>
      </c>
      <c r="AK406" s="42">
        <f t="shared" si="96"/>
        <v>5553.2702399999989</v>
      </c>
      <c r="AL406" s="9">
        <f t="shared" si="97"/>
        <v>0</v>
      </c>
      <c r="AM406" s="42"/>
    </row>
    <row r="407" spans="1:39" x14ac:dyDescent="0.25">
      <c r="A407" t="s">
        <v>420</v>
      </c>
      <c r="B407" s="20">
        <v>45646</v>
      </c>
      <c r="C407" s="4">
        <v>45671</v>
      </c>
      <c r="D407" s="4" t="s">
        <v>1435</v>
      </c>
      <c r="E407" s="4">
        <v>45671</v>
      </c>
      <c r="F407" s="11">
        <f t="shared" si="84"/>
        <v>25</v>
      </c>
      <c r="G407" s="11" t="str">
        <f t="shared" si="87"/>
        <v>Does not Meet Target</v>
      </c>
      <c r="H407" t="s">
        <v>647</v>
      </c>
      <c r="I407" t="s">
        <v>654</v>
      </c>
      <c r="J407" t="s">
        <v>680</v>
      </c>
      <c r="K407" t="s">
        <v>705</v>
      </c>
      <c r="L407" t="s">
        <v>707</v>
      </c>
      <c r="M407" t="s">
        <v>724</v>
      </c>
      <c r="N407" t="s">
        <v>728</v>
      </c>
      <c r="O407" t="str" cm="1">
        <f t="array" ref="O407">_xlfn.IFS(S407&lt;=_xlfn.PERCENTILE.INC(IF(N407:N1037=N407, S407:S1037), 0.33), "Low", S407&lt;=_xlfn.PERCENTILE.INC(IF(N407:N1037=N407, S407:S1037), 0.66), "Medium", S407 &gt; _xlfn.PERCENTILE.INC(IF(N407:N1037=N407, S407:S1037), 0.66), "High")</f>
        <v>High</v>
      </c>
      <c r="P407" t="s">
        <v>1139</v>
      </c>
      <c r="Q407" s="6">
        <v>1361.34</v>
      </c>
      <c r="R407" s="6">
        <v>1737.9</v>
      </c>
      <c r="S407" s="6">
        <v>1737.9</v>
      </c>
      <c r="T407" s="9">
        <v>7.6999999999999999E-2</v>
      </c>
      <c r="U407" s="9">
        <f>IF(T407&gt;0.3, $AO$4, T407)</f>
        <v>7.6999999999999999E-2</v>
      </c>
      <c r="V407" s="7" t="str">
        <f t="shared" si="88"/>
        <v>Less than 20%</v>
      </c>
      <c r="W407" s="11">
        <v>14</v>
      </c>
      <c r="X407" s="6">
        <f t="shared" si="85"/>
        <v>22457.143800000002</v>
      </c>
      <c r="Y407" s="6">
        <f t="shared" si="86"/>
        <v>19058.759999999998</v>
      </c>
      <c r="Z407" s="6">
        <f t="shared" si="89"/>
        <v>3398.3838000000032</v>
      </c>
      <c r="AA407" s="9">
        <f t="shared" si="90"/>
        <v>0.15132751654731813</v>
      </c>
      <c r="AB407" s="9">
        <f>IF(U407&gt;'What-If Analysis'!$F$16, 'What-If Analysis'!$F$16,T407)</f>
        <v>7.6999999999999999E-2</v>
      </c>
      <c r="AC407" s="42">
        <f>S407*(1-AB407)</f>
        <v>1604.0817000000002</v>
      </c>
      <c r="AD407" s="42">
        <f>Q407*(1+'What-If Analysis'!F422)</f>
        <v>1361.34</v>
      </c>
      <c r="AE407" s="41">
        <f>W407*(1+'What-If Analysis'!$F$18)</f>
        <v>16.38</v>
      </c>
      <c r="AF407" s="42">
        <f t="shared" si="91"/>
        <v>26274.858246</v>
      </c>
      <c r="AG407" s="42">
        <f t="shared" si="92"/>
        <v>22298.749199999998</v>
      </c>
      <c r="AH407" s="42">
        <f t="shared" si="93"/>
        <v>3976.1090460000014</v>
      </c>
      <c r="AI407" s="44">
        <f t="shared" si="94"/>
        <v>0.15132751654731808</v>
      </c>
      <c r="AJ407" s="42">
        <f t="shared" si="95"/>
        <v>3817.7144459999981</v>
      </c>
      <c r="AK407" s="42">
        <f t="shared" si="96"/>
        <v>3398.3838000000032</v>
      </c>
      <c r="AL407" s="9">
        <f t="shared" si="97"/>
        <v>0</v>
      </c>
      <c r="AM407" s="42"/>
    </row>
    <row r="408" spans="1:39" x14ac:dyDescent="0.25">
      <c r="A408" t="s">
        <v>421</v>
      </c>
      <c r="B408" s="20">
        <v>45709</v>
      </c>
      <c r="C408" s="4">
        <v>45737</v>
      </c>
      <c r="D408" s="4" t="s">
        <v>1437</v>
      </c>
      <c r="E408" s="4">
        <v>45737</v>
      </c>
      <c r="F408" s="11">
        <f t="shared" si="84"/>
        <v>28</v>
      </c>
      <c r="G408" s="11" t="str">
        <f t="shared" si="87"/>
        <v>Does not Meet Target</v>
      </c>
      <c r="H408" t="s">
        <v>646</v>
      </c>
      <c r="I408" t="s">
        <v>651</v>
      </c>
      <c r="J408" t="s">
        <v>669</v>
      </c>
      <c r="K408" t="s">
        <v>706</v>
      </c>
      <c r="L408" t="s">
        <v>709</v>
      </c>
      <c r="M408" t="s">
        <v>714</v>
      </c>
      <c r="N408" t="s">
        <v>730</v>
      </c>
      <c r="O408" t="str" cm="1">
        <f t="array" ref="O408">_xlfn.IFS(S408&lt;=_xlfn.PERCENTILE.INC(IF(N408:N1038=N408, S408:S1038), 0.33), "Low", S408&lt;=_xlfn.PERCENTILE.INC(IF(N408:N1038=N408, S408:S1038), 0.66), "Medium", S408 &gt; _xlfn.PERCENTILE.INC(IF(N408:N1038=N408, S408:S1038), 0.66), "High")</f>
        <v>Medium</v>
      </c>
      <c r="P408" t="s">
        <v>1140</v>
      </c>
      <c r="Q408" s="6">
        <v>1437.39</v>
      </c>
      <c r="R408" s="6">
        <v>1388.31</v>
      </c>
      <c r="S408" s="6">
        <v>1388.31</v>
      </c>
      <c r="T408" s="9">
        <v>0.13800000000000001</v>
      </c>
      <c r="U408" s="9">
        <f>IF(T408&gt;0.3, $AO$4, T408)</f>
        <v>0.13800000000000001</v>
      </c>
      <c r="V408" s="7" t="str">
        <f t="shared" si="88"/>
        <v>Less than 20%</v>
      </c>
      <c r="W408" s="11">
        <v>18</v>
      </c>
      <c r="X408" s="6">
        <f t="shared" si="85"/>
        <v>21541.017959999997</v>
      </c>
      <c r="Y408" s="6">
        <f t="shared" si="86"/>
        <v>25873.02</v>
      </c>
      <c r="Z408" s="6">
        <f t="shared" si="89"/>
        <v>-4332.002040000003</v>
      </c>
      <c r="AA408" s="9">
        <f t="shared" si="90"/>
        <v>-0.20110479681341872</v>
      </c>
      <c r="AB408" s="9">
        <f>IF(U408&gt;'What-If Analysis'!$F$16, 'What-If Analysis'!$F$16,T408)</f>
        <v>0.13800000000000001</v>
      </c>
      <c r="AC408" s="42">
        <f>S408*(1-AB408)</f>
        <v>1196.7232199999999</v>
      </c>
      <c r="AD408" s="42">
        <f>Q408*(1+'What-If Analysis'!F423)</f>
        <v>1437.39</v>
      </c>
      <c r="AE408" s="41">
        <f>W408*(1+'What-If Analysis'!$F$18)</f>
        <v>21.06</v>
      </c>
      <c r="AF408" s="42">
        <f t="shared" si="91"/>
        <v>25202.991013199997</v>
      </c>
      <c r="AG408" s="42">
        <f t="shared" si="92"/>
        <v>30271.433400000002</v>
      </c>
      <c r="AH408" s="42">
        <f t="shared" si="93"/>
        <v>-5068.4423868000049</v>
      </c>
      <c r="AI408" s="44">
        <f t="shared" si="94"/>
        <v>-0.20110479681341878</v>
      </c>
      <c r="AJ408" s="42">
        <f t="shared" si="95"/>
        <v>3661.9730531999994</v>
      </c>
      <c r="AK408" s="42">
        <f t="shared" si="96"/>
        <v>-4332.002040000003</v>
      </c>
      <c r="AL408" s="9">
        <f t="shared" si="97"/>
        <v>0</v>
      </c>
      <c r="AM408" s="42"/>
    </row>
    <row r="409" spans="1:39" x14ac:dyDescent="0.25">
      <c r="A409" t="s">
        <v>422</v>
      </c>
      <c r="B409" s="20">
        <v>45724</v>
      </c>
      <c r="C409" s="4">
        <v>45731</v>
      </c>
      <c r="D409" s="4" t="s">
        <v>1437</v>
      </c>
      <c r="E409" s="4">
        <v>45731</v>
      </c>
      <c r="F409" s="11">
        <f t="shared" si="84"/>
        <v>7</v>
      </c>
      <c r="G409" s="11" t="str">
        <f t="shared" si="87"/>
        <v>Meets Target</v>
      </c>
      <c r="H409" t="s">
        <v>647</v>
      </c>
      <c r="I409" t="s">
        <v>654</v>
      </c>
      <c r="J409" t="s">
        <v>668</v>
      </c>
      <c r="K409" t="s">
        <v>701</v>
      </c>
      <c r="L409" t="s">
        <v>710</v>
      </c>
      <c r="M409" t="s">
        <v>723</v>
      </c>
      <c r="N409" t="s">
        <v>731</v>
      </c>
      <c r="O409" t="str" cm="1">
        <f t="array" ref="O409">_xlfn.IFS(S409&lt;=_xlfn.PERCENTILE.INC(IF(N409:N1039=N409, S409:S1039), 0.33), "Low", S409&lt;=_xlfn.PERCENTILE.INC(IF(N409:N1039=N409, S409:S1039), 0.66), "Medium", S409 &gt; _xlfn.PERCENTILE.INC(IF(N409:N1039=N409, S409:S1039), 0.66), "High")</f>
        <v>Low</v>
      </c>
      <c r="P409" t="s">
        <v>1141</v>
      </c>
      <c r="Q409" s="6">
        <v>475.66</v>
      </c>
      <c r="R409" s="6">
        <v>529.14</v>
      </c>
      <c r="S409" s="6">
        <v>529.14</v>
      </c>
      <c r="T409" s="9">
        <v>0.19600000000000001</v>
      </c>
      <c r="U409" s="9">
        <f>IF(T409&gt;0.3, $AO$4, T409)</f>
        <v>0.19600000000000001</v>
      </c>
      <c r="V409" s="7" t="str">
        <f t="shared" si="88"/>
        <v>Less than 20%</v>
      </c>
      <c r="W409" s="11">
        <v>11</v>
      </c>
      <c r="X409" s="6">
        <f t="shared" si="85"/>
        <v>4679.7141600000004</v>
      </c>
      <c r="Y409" s="6">
        <f t="shared" si="86"/>
        <v>5232.26</v>
      </c>
      <c r="Z409" s="6">
        <f t="shared" si="89"/>
        <v>-552.54583999999977</v>
      </c>
      <c r="AA409" s="9">
        <f t="shared" si="90"/>
        <v>-0.11807256193613323</v>
      </c>
      <c r="AB409" s="9">
        <f>IF(U409&gt;'What-If Analysis'!$F$16, 'What-If Analysis'!$F$16,T409)</f>
        <v>0.17</v>
      </c>
      <c r="AC409" s="42">
        <f>S409*(1-AB409)</f>
        <v>439.18619999999999</v>
      </c>
      <c r="AD409" s="42">
        <f>Q409*(1+'What-If Analysis'!F424)</f>
        <v>475.66</v>
      </c>
      <c r="AE409" s="41">
        <f>W409*(1+'What-If Analysis'!$F$18)</f>
        <v>12.87</v>
      </c>
      <c r="AF409" s="42">
        <f t="shared" si="91"/>
        <v>5652.3263939999997</v>
      </c>
      <c r="AG409" s="42">
        <f t="shared" si="92"/>
        <v>6121.7442000000001</v>
      </c>
      <c r="AH409" s="42">
        <f t="shared" si="93"/>
        <v>-469.41780600000038</v>
      </c>
      <c r="AI409" s="44">
        <f t="shared" si="94"/>
        <v>-8.3048602164640037E-2</v>
      </c>
      <c r="AJ409" s="42">
        <f t="shared" si="95"/>
        <v>972.61223399999926</v>
      </c>
      <c r="AK409" s="42">
        <f t="shared" si="96"/>
        <v>-552.54583999999977</v>
      </c>
      <c r="AL409" s="9">
        <f t="shared" si="97"/>
        <v>3.5023959771493196E-2</v>
      </c>
      <c r="AM409" s="42"/>
    </row>
    <row r="410" spans="1:39" x14ac:dyDescent="0.25">
      <c r="A410" t="s">
        <v>423</v>
      </c>
      <c r="B410" s="20">
        <v>45276</v>
      </c>
      <c r="C410" s="4">
        <v>45279</v>
      </c>
      <c r="D410" s="4" t="s">
        <v>1438</v>
      </c>
      <c r="E410" s="4">
        <v>45279</v>
      </c>
      <c r="F410" s="11">
        <f t="shared" si="84"/>
        <v>3</v>
      </c>
      <c r="G410" s="11" t="str">
        <f t="shared" si="87"/>
        <v>Meets Target</v>
      </c>
      <c r="H410" t="s">
        <v>647</v>
      </c>
      <c r="I410" t="s">
        <v>659</v>
      </c>
      <c r="J410" t="s">
        <v>699</v>
      </c>
      <c r="K410" t="s">
        <v>702</v>
      </c>
      <c r="L410" t="s">
        <v>707</v>
      </c>
      <c r="M410" t="s">
        <v>720</v>
      </c>
      <c r="N410" t="s">
        <v>733</v>
      </c>
      <c r="O410" t="str" cm="1">
        <f t="array" ref="O410">_xlfn.IFS(S410&lt;=_xlfn.PERCENTILE.INC(IF(N410:N1040=N410, S410:S1040), 0.33), "Low", S410&lt;=_xlfn.PERCENTILE.INC(IF(N410:N1040=N410, S410:S1040), 0.66), "Medium", S410 &gt; _xlfn.PERCENTILE.INC(IF(N410:N1040=N410, S410:S1040), 0.66), "High")</f>
        <v>High</v>
      </c>
      <c r="P410" t="s">
        <v>1142</v>
      </c>
      <c r="Q410" s="6">
        <v>1415.05</v>
      </c>
      <c r="R410" s="6">
        <v>1972.38</v>
      </c>
      <c r="S410" s="6">
        <v>1972.38</v>
      </c>
      <c r="T410" s="9">
        <v>0</v>
      </c>
      <c r="U410" s="9">
        <f>IF(T410&gt;0.3, $AO$4, T410)</f>
        <v>0</v>
      </c>
      <c r="V410" s="7" t="str">
        <f t="shared" si="88"/>
        <v>Less than 20%</v>
      </c>
      <c r="W410" s="11">
        <v>12</v>
      </c>
      <c r="X410" s="6">
        <f t="shared" si="85"/>
        <v>23668.560000000001</v>
      </c>
      <c r="Y410" s="6">
        <f t="shared" si="86"/>
        <v>16980.599999999999</v>
      </c>
      <c r="Z410" s="6">
        <f t="shared" si="89"/>
        <v>6687.9600000000028</v>
      </c>
      <c r="AA410" s="9">
        <f t="shared" si="90"/>
        <v>0.28256725377462771</v>
      </c>
      <c r="AB410" s="9">
        <f>IF(U410&gt;'What-If Analysis'!$F$16, 'What-If Analysis'!$F$16,T410)</f>
        <v>0</v>
      </c>
      <c r="AC410" s="42">
        <f>S410*(1-AB410)</f>
        <v>1972.38</v>
      </c>
      <c r="AD410" s="42">
        <f>Q410*(1+'What-If Analysis'!F425)</f>
        <v>1415.05</v>
      </c>
      <c r="AE410" s="41">
        <f>W410*(1+'What-If Analysis'!$F$18)</f>
        <v>14.04</v>
      </c>
      <c r="AF410" s="42">
        <f t="shared" si="91"/>
        <v>27692.215199999999</v>
      </c>
      <c r="AG410" s="42">
        <f t="shared" si="92"/>
        <v>19867.302</v>
      </c>
      <c r="AH410" s="42">
        <f t="shared" si="93"/>
        <v>7824.9131999999991</v>
      </c>
      <c r="AI410" s="44">
        <f t="shared" si="94"/>
        <v>0.2825672537746276</v>
      </c>
      <c r="AJ410" s="42">
        <f t="shared" si="95"/>
        <v>4023.6551999999974</v>
      </c>
      <c r="AK410" s="42">
        <f t="shared" si="96"/>
        <v>6687.9600000000028</v>
      </c>
      <c r="AL410" s="9">
        <f t="shared" si="97"/>
        <v>0</v>
      </c>
      <c r="AM410" s="42"/>
    </row>
    <row r="411" spans="1:39" x14ac:dyDescent="0.25">
      <c r="A411" t="s">
        <v>424</v>
      </c>
      <c r="B411" s="20">
        <v>45534</v>
      </c>
      <c r="C411" s="4">
        <v>45540</v>
      </c>
      <c r="D411" s="4" t="s">
        <v>1443</v>
      </c>
      <c r="E411" s="4">
        <v>45540</v>
      </c>
      <c r="F411" s="11">
        <f t="shared" si="84"/>
        <v>6</v>
      </c>
      <c r="G411" s="11" t="str">
        <f t="shared" si="87"/>
        <v>Meets Target</v>
      </c>
      <c r="H411" t="s">
        <v>647</v>
      </c>
      <c r="I411" t="s">
        <v>652</v>
      </c>
      <c r="J411" t="s">
        <v>694</v>
      </c>
      <c r="K411" t="s">
        <v>702</v>
      </c>
      <c r="L411" t="s">
        <v>708</v>
      </c>
      <c r="M411" t="s">
        <v>725</v>
      </c>
      <c r="N411" t="s">
        <v>731</v>
      </c>
      <c r="O411" t="str" cm="1">
        <f t="array" ref="O411">_xlfn.IFS(S411&lt;=_xlfn.PERCENTILE.INC(IF(N411:N1041=N411, S411:S1041), 0.33), "Low", S411&lt;=_xlfn.PERCENTILE.INC(IF(N411:N1041=N411, S411:S1041), 0.66), "Medium", S411 &gt; _xlfn.PERCENTILE.INC(IF(N411:N1041=N411, S411:S1041), 0.66), "High")</f>
        <v>Low</v>
      </c>
      <c r="P411" t="s">
        <v>1143</v>
      </c>
      <c r="Q411" s="6">
        <v>466.16</v>
      </c>
      <c r="R411" s="6">
        <v>876.81</v>
      </c>
      <c r="S411" s="6">
        <v>876.81</v>
      </c>
      <c r="T411" s="9">
        <v>0.24099999999999999</v>
      </c>
      <c r="U411" s="9">
        <f>IF(T411&gt;0.3, $AO$4, T411)</f>
        <v>0.24099999999999999</v>
      </c>
      <c r="V411" s="7" t="str">
        <f t="shared" si="88"/>
        <v>Greater than 20%</v>
      </c>
      <c r="W411" s="11">
        <v>8</v>
      </c>
      <c r="X411" s="6">
        <f t="shared" si="85"/>
        <v>5323.9903199999999</v>
      </c>
      <c r="Y411" s="6">
        <f t="shared" si="86"/>
        <v>3729.28</v>
      </c>
      <c r="Z411" s="6">
        <f t="shared" si="89"/>
        <v>1594.7103199999997</v>
      </c>
      <c r="AA411" s="9">
        <f t="shared" si="90"/>
        <v>0.29953291124691594</v>
      </c>
      <c r="AB411" s="9">
        <f>IF(U411&gt;'What-If Analysis'!$F$16, 'What-If Analysis'!$F$16,T411)</f>
        <v>0.17</v>
      </c>
      <c r="AC411" s="42">
        <f>S411*(1-AB411)</f>
        <v>727.75229999999988</v>
      </c>
      <c r="AD411" s="42">
        <f>Q411*(1+'What-If Analysis'!F426)</f>
        <v>466.16</v>
      </c>
      <c r="AE411" s="41">
        <f>W411*(1+'What-If Analysis'!$F$18)</f>
        <v>9.36</v>
      </c>
      <c r="AF411" s="42">
        <f t="shared" si="91"/>
        <v>6811.7615279999982</v>
      </c>
      <c r="AG411" s="42">
        <f t="shared" si="92"/>
        <v>4363.2575999999999</v>
      </c>
      <c r="AH411" s="42">
        <f t="shared" si="93"/>
        <v>2448.5039279999983</v>
      </c>
      <c r="AI411" s="44">
        <f t="shared" si="94"/>
        <v>0.35945238510410737</v>
      </c>
      <c r="AJ411" s="42">
        <f t="shared" si="95"/>
        <v>1487.7712079999983</v>
      </c>
      <c r="AK411" s="42">
        <f t="shared" si="96"/>
        <v>1594.7103199999997</v>
      </c>
      <c r="AL411" s="9">
        <f t="shared" si="97"/>
        <v>5.991947385719143E-2</v>
      </c>
      <c r="AM411" s="42"/>
    </row>
    <row r="412" spans="1:39" x14ac:dyDescent="0.25">
      <c r="A412" t="s">
        <v>425</v>
      </c>
      <c r="B412" s="20">
        <v>45430</v>
      </c>
      <c r="C412" s="4">
        <v>45433</v>
      </c>
      <c r="D412" s="4" t="s">
        <v>1439</v>
      </c>
      <c r="E412" s="4">
        <v>45433</v>
      </c>
      <c r="F412" s="11">
        <f t="shared" si="84"/>
        <v>3</v>
      </c>
      <c r="G412" s="11" t="str">
        <f t="shared" si="87"/>
        <v>Meets Target</v>
      </c>
      <c r="H412" t="s">
        <v>649</v>
      </c>
      <c r="I412" t="s">
        <v>657</v>
      </c>
      <c r="J412" t="s">
        <v>673</v>
      </c>
      <c r="K412" t="s">
        <v>703</v>
      </c>
      <c r="L412" t="s">
        <v>709</v>
      </c>
      <c r="M412" t="s">
        <v>726</v>
      </c>
      <c r="N412" t="s">
        <v>728</v>
      </c>
      <c r="O412" t="str" cm="1">
        <f t="array" ref="O412">_xlfn.IFS(S412&lt;=_xlfn.PERCENTILE.INC(IF(N412:N1042=N412, S412:S1042), 0.33), "Low", S412&lt;=_xlfn.PERCENTILE.INC(IF(N412:N1042=N412, S412:S1042), 0.66), "Medium", S412 &gt; _xlfn.PERCENTILE.INC(IF(N412:N1042=N412, S412:S1042), 0.66), "High")</f>
        <v>Low</v>
      </c>
      <c r="P412" t="s">
        <v>1144</v>
      </c>
      <c r="Q412" s="6">
        <v>663.66</v>
      </c>
      <c r="R412" s="6">
        <v>824.26</v>
      </c>
      <c r="S412" s="6">
        <v>824.26</v>
      </c>
      <c r="T412" s="9">
        <v>0.23899999999999999</v>
      </c>
      <c r="U412" s="9">
        <f>IF(T412&gt;0.3, $AO$4, T412)</f>
        <v>0.23899999999999999</v>
      </c>
      <c r="V412" s="7" t="str">
        <f t="shared" si="88"/>
        <v>Greater than 20%</v>
      </c>
      <c r="W412" s="11">
        <v>11</v>
      </c>
      <c r="X412" s="6">
        <f t="shared" si="85"/>
        <v>6899.8804600000003</v>
      </c>
      <c r="Y412" s="6">
        <f t="shared" si="86"/>
        <v>7300.2599999999993</v>
      </c>
      <c r="Z412" s="6">
        <f t="shared" si="89"/>
        <v>-400.379539999999</v>
      </c>
      <c r="AA412" s="9">
        <f t="shared" si="90"/>
        <v>-5.8027025587048933E-2</v>
      </c>
      <c r="AB412" s="9">
        <f>IF(U412&gt;'What-If Analysis'!$F$16, 'What-If Analysis'!$F$16,T412)</f>
        <v>0.17</v>
      </c>
      <c r="AC412" s="42">
        <f>S412*(1-AB412)</f>
        <v>684.1357999999999</v>
      </c>
      <c r="AD412" s="42">
        <f>Q412*(1+'What-If Analysis'!F427)</f>
        <v>663.66</v>
      </c>
      <c r="AE412" s="41">
        <f>W412*(1+'What-If Analysis'!$F$18)</f>
        <v>12.87</v>
      </c>
      <c r="AF412" s="42">
        <f t="shared" si="91"/>
        <v>8804.827745999999</v>
      </c>
      <c r="AG412" s="42">
        <f t="shared" si="92"/>
        <v>8541.3041999999987</v>
      </c>
      <c r="AH412" s="42">
        <f t="shared" si="93"/>
        <v>263.52354600000035</v>
      </c>
      <c r="AI412" s="44">
        <f t="shared" si="94"/>
        <v>2.9929437985850221E-2</v>
      </c>
      <c r="AJ412" s="42">
        <f t="shared" si="95"/>
        <v>1904.9472859999987</v>
      </c>
      <c r="AK412" s="42">
        <f t="shared" si="96"/>
        <v>-400.379539999999</v>
      </c>
      <c r="AL412" s="9">
        <f t="shared" si="97"/>
        <v>8.7956463572899157E-2</v>
      </c>
      <c r="AM412" s="42"/>
    </row>
    <row r="413" spans="1:39" x14ac:dyDescent="0.25">
      <c r="A413" t="s">
        <v>426</v>
      </c>
      <c r="B413" s="20">
        <v>45002</v>
      </c>
      <c r="C413" s="4">
        <v>45022</v>
      </c>
      <c r="D413" s="4" t="s">
        <v>1436</v>
      </c>
      <c r="E413" s="4">
        <v>45022</v>
      </c>
      <c r="F413" s="11">
        <f t="shared" si="84"/>
        <v>20</v>
      </c>
      <c r="G413" s="11" t="str">
        <f t="shared" si="87"/>
        <v>Does not Meet Target</v>
      </c>
      <c r="H413" t="s">
        <v>649</v>
      </c>
      <c r="I413" t="s">
        <v>656</v>
      </c>
      <c r="J413" t="s">
        <v>684</v>
      </c>
      <c r="K413" t="s">
        <v>704</v>
      </c>
      <c r="L413" t="s">
        <v>707</v>
      </c>
      <c r="M413" t="s">
        <v>719</v>
      </c>
      <c r="N413" t="s">
        <v>730</v>
      </c>
      <c r="O413" t="str" cm="1">
        <f t="array" ref="O413">_xlfn.IFS(S413&lt;=_xlfn.PERCENTILE.INC(IF(N413:N1043=N413, S413:S1043), 0.33), "Low", S413&lt;=_xlfn.PERCENTILE.INC(IF(N413:N1043=N413, S413:S1043), 0.66), "Medium", S413 &gt; _xlfn.PERCENTILE.INC(IF(N413:N1043=N413, S413:S1043), 0.66), "High")</f>
        <v>Medium</v>
      </c>
      <c r="P413" t="s">
        <v>1145</v>
      </c>
      <c r="Q413" s="6">
        <v>692.18</v>
      </c>
      <c r="R413" s="6">
        <v>1159.3499999999999</v>
      </c>
      <c r="S413" s="6">
        <v>1159.3499999999999</v>
      </c>
      <c r="T413" s="9">
        <v>0.112</v>
      </c>
      <c r="U413" s="9">
        <f>IF(T413&gt;0.3, $AO$4, T413)</f>
        <v>0.112</v>
      </c>
      <c r="V413" s="7" t="str">
        <f t="shared" si="88"/>
        <v>Less than 20%</v>
      </c>
      <c r="W413" s="11">
        <v>2</v>
      </c>
      <c r="X413" s="6">
        <f t="shared" si="85"/>
        <v>2059.0056</v>
      </c>
      <c r="Y413" s="6">
        <f t="shared" si="86"/>
        <v>1384.36</v>
      </c>
      <c r="Z413" s="6">
        <f t="shared" si="89"/>
        <v>674.64560000000006</v>
      </c>
      <c r="AA413" s="9">
        <f t="shared" si="90"/>
        <v>0.32765602968734037</v>
      </c>
      <c r="AB413" s="9">
        <f>IF(U413&gt;'What-If Analysis'!$F$16, 'What-If Analysis'!$F$16,T413)</f>
        <v>0.112</v>
      </c>
      <c r="AC413" s="42">
        <f>S413*(1-AB413)</f>
        <v>1029.5028</v>
      </c>
      <c r="AD413" s="42">
        <f>Q413*(1+'What-If Analysis'!F428)</f>
        <v>692.18</v>
      </c>
      <c r="AE413" s="41">
        <f>W413*(1+'What-If Analysis'!$F$18)</f>
        <v>2.34</v>
      </c>
      <c r="AF413" s="42">
        <f t="shared" si="91"/>
        <v>2409.036552</v>
      </c>
      <c r="AG413" s="42">
        <f t="shared" si="92"/>
        <v>1619.7011999999997</v>
      </c>
      <c r="AH413" s="42">
        <f t="shared" si="93"/>
        <v>789.33535200000028</v>
      </c>
      <c r="AI413" s="44">
        <f t="shared" si="94"/>
        <v>0.32765602968734042</v>
      </c>
      <c r="AJ413" s="42">
        <f t="shared" si="95"/>
        <v>350.03095200000007</v>
      </c>
      <c r="AK413" s="42">
        <f t="shared" si="96"/>
        <v>674.64560000000006</v>
      </c>
      <c r="AL413" s="9">
        <f t="shared" si="97"/>
        <v>0</v>
      </c>
      <c r="AM413" s="42"/>
    </row>
    <row r="414" spans="1:39" x14ac:dyDescent="0.25">
      <c r="A414" t="s">
        <v>427</v>
      </c>
      <c r="B414" s="20">
        <v>45163</v>
      </c>
      <c r="C414" s="4">
        <v>45185</v>
      </c>
      <c r="D414" s="4" t="s">
        <v>1444</v>
      </c>
      <c r="E414" s="4">
        <v>45185</v>
      </c>
      <c r="F414" s="11">
        <f t="shared" si="84"/>
        <v>22</v>
      </c>
      <c r="G414" s="11" t="str">
        <f t="shared" si="87"/>
        <v>Does not Meet Target</v>
      </c>
      <c r="H414" t="s">
        <v>646</v>
      </c>
      <c r="I414" t="s">
        <v>651</v>
      </c>
      <c r="J414" t="s">
        <v>669</v>
      </c>
      <c r="K414" t="s">
        <v>701</v>
      </c>
      <c r="L414" t="s">
        <v>709</v>
      </c>
      <c r="M414" t="s">
        <v>716</v>
      </c>
      <c r="N414" t="s">
        <v>730</v>
      </c>
      <c r="O414" t="str" cm="1">
        <f t="array" ref="O414">_xlfn.IFS(S414&lt;=_xlfn.PERCENTILE.INC(IF(N414:N1044=N414, S414:S1044), 0.33), "Low", S414&lt;=_xlfn.PERCENTILE.INC(IF(N414:N1044=N414, S414:S1044), 0.66), "Medium", S414 &gt; _xlfn.PERCENTILE.INC(IF(N414:N1044=N414, S414:S1044), 0.66), "High")</f>
        <v>High</v>
      </c>
      <c r="P414" t="s">
        <v>1146</v>
      </c>
      <c r="Q414" s="6">
        <v>1196.83</v>
      </c>
      <c r="R414" s="6">
        <v>2513.5100000000002</v>
      </c>
      <c r="S414" s="6">
        <v>2513.5100000000002</v>
      </c>
      <c r="T414" s="9">
        <v>8.3000000000000004E-2</v>
      </c>
      <c r="U414" s="9">
        <f>IF(T414&gt;0.3, $AO$4, T414)</f>
        <v>8.3000000000000004E-2</v>
      </c>
      <c r="V414" s="7" t="str">
        <f t="shared" si="88"/>
        <v>Less than 20%</v>
      </c>
      <c r="W414" s="11">
        <v>7</v>
      </c>
      <c r="X414" s="6">
        <f t="shared" si="85"/>
        <v>16134.22069</v>
      </c>
      <c r="Y414" s="6">
        <f t="shared" si="86"/>
        <v>8377.81</v>
      </c>
      <c r="Z414" s="6">
        <f t="shared" si="89"/>
        <v>7756.4106900000006</v>
      </c>
      <c r="AA414" s="9">
        <f t="shared" si="90"/>
        <v>0.48074281609445374</v>
      </c>
      <c r="AB414" s="9">
        <f>IF(U414&gt;'What-If Analysis'!$F$16, 'What-If Analysis'!$F$16,T414)</f>
        <v>8.3000000000000004E-2</v>
      </c>
      <c r="AC414" s="42">
        <f>S414*(1-AB414)</f>
        <v>2304.8886700000003</v>
      </c>
      <c r="AD414" s="42">
        <f>Q414*(1+'What-If Analysis'!F429)</f>
        <v>1196.83</v>
      </c>
      <c r="AE414" s="41">
        <f>W414*(1+'What-If Analysis'!$F$18)</f>
        <v>8.19</v>
      </c>
      <c r="AF414" s="42">
        <f t="shared" si="91"/>
        <v>18877.0382073</v>
      </c>
      <c r="AG414" s="42">
        <f t="shared" si="92"/>
        <v>9802.0376999999989</v>
      </c>
      <c r="AH414" s="42">
        <f t="shared" si="93"/>
        <v>9075.0005073000011</v>
      </c>
      <c r="AI414" s="44">
        <f t="shared" si="94"/>
        <v>0.48074281609445374</v>
      </c>
      <c r="AJ414" s="42">
        <f t="shared" si="95"/>
        <v>2742.8175173</v>
      </c>
      <c r="AK414" s="42">
        <f t="shared" si="96"/>
        <v>7756.4106900000006</v>
      </c>
      <c r="AL414" s="9">
        <f t="shared" si="97"/>
        <v>0</v>
      </c>
      <c r="AM414" s="42"/>
    </row>
    <row r="415" spans="1:39" x14ac:dyDescent="0.25">
      <c r="A415" t="s">
        <v>428</v>
      </c>
      <c r="B415" s="20">
        <v>45449</v>
      </c>
      <c r="C415" s="4">
        <v>45467</v>
      </c>
      <c r="D415" s="4" t="s">
        <v>1439</v>
      </c>
      <c r="E415" s="4">
        <v>45467</v>
      </c>
      <c r="F415" s="11">
        <f t="shared" si="84"/>
        <v>18</v>
      </c>
      <c r="G415" s="11" t="str">
        <f t="shared" si="87"/>
        <v>Does not Meet Target</v>
      </c>
      <c r="H415" t="s">
        <v>647</v>
      </c>
      <c r="I415" t="s">
        <v>654</v>
      </c>
      <c r="J415" t="s">
        <v>668</v>
      </c>
      <c r="K415" t="s">
        <v>705</v>
      </c>
      <c r="L415" t="s">
        <v>711</v>
      </c>
      <c r="M415" t="s">
        <v>722</v>
      </c>
      <c r="N415" t="s">
        <v>729</v>
      </c>
      <c r="O415" t="str" cm="1">
        <f t="array" ref="O415">_xlfn.IFS(S415&lt;=_xlfn.PERCENTILE.INC(IF(N415:N1045=N415, S415:S1045), 0.33), "Low", S415&lt;=_xlfn.PERCENTILE.INC(IF(N415:N1045=N415, S415:S1045), 0.66), "Medium", S415 &gt; _xlfn.PERCENTILE.INC(IF(N415:N1045=N415, S415:S1045), 0.66), "High")</f>
        <v>High</v>
      </c>
      <c r="P415" t="s">
        <v>1147</v>
      </c>
      <c r="Q415" s="6">
        <v>1253.25</v>
      </c>
      <c r="R415" s="6">
        <v>3087.13</v>
      </c>
      <c r="S415" s="6">
        <v>3087.13</v>
      </c>
      <c r="T415" s="9">
        <v>7.1999999999999995E-2</v>
      </c>
      <c r="U415" s="9">
        <f>IF(T415&gt;0.3, $AO$4, T415)</f>
        <v>7.1999999999999995E-2</v>
      </c>
      <c r="V415" s="7" t="str">
        <f t="shared" si="88"/>
        <v>Less than 20%</v>
      </c>
      <c r="W415" s="11">
        <v>11</v>
      </c>
      <c r="X415" s="6">
        <f t="shared" si="85"/>
        <v>31513.423040000001</v>
      </c>
      <c r="Y415" s="6">
        <f t="shared" si="86"/>
        <v>13785.75</v>
      </c>
      <c r="Z415" s="6">
        <f t="shared" si="89"/>
        <v>17727.673040000001</v>
      </c>
      <c r="AA415" s="9">
        <f t="shared" si="90"/>
        <v>0.562543555408064</v>
      </c>
      <c r="AB415" s="9">
        <f>IF(U415&gt;'What-If Analysis'!$F$16, 'What-If Analysis'!$F$16,T415)</f>
        <v>7.1999999999999995E-2</v>
      </c>
      <c r="AC415" s="42">
        <f>S415*(1-AB415)</f>
        <v>2864.8566400000004</v>
      </c>
      <c r="AD415" s="42">
        <f>Q415*(1+'What-If Analysis'!F430)</f>
        <v>1253.25</v>
      </c>
      <c r="AE415" s="41">
        <f>W415*(1+'What-If Analysis'!$F$18)</f>
        <v>12.87</v>
      </c>
      <c r="AF415" s="42">
        <f t="shared" si="91"/>
        <v>36870.7049568</v>
      </c>
      <c r="AG415" s="42">
        <f t="shared" si="92"/>
        <v>16129.327499999999</v>
      </c>
      <c r="AH415" s="42">
        <f t="shared" si="93"/>
        <v>20741.377456800001</v>
      </c>
      <c r="AI415" s="44">
        <f t="shared" si="94"/>
        <v>0.562543555408064</v>
      </c>
      <c r="AJ415" s="42">
        <f t="shared" si="95"/>
        <v>5357.2819167999987</v>
      </c>
      <c r="AK415" s="42">
        <f t="shared" si="96"/>
        <v>17727.673040000001</v>
      </c>
      <c r="AL415" s="9">
        <f t="shared" si="97"/>
        <v>0</v>
      </c>
      <c r="AM415" s="42"/>
    </row>
    <row r="416" spans="1:39" x14ac:dyDescent="0.25">
      <c r="A416" t="s">
        <v>429</v>
      </c>
      <c r="B416" s="20">
        <v>45167</v>
      </c>
      <c r="C416" s="4">
        <v>45182</v>
      </c>
      <c r="D416" s="4" t="s">
        <v>1444</v>
      </c>
      <c r="E416" s="4">
        <v>45182</v>
      </c>
      <c r="F416" s="11">
        <f t="shared" si="84"/>
        <v>15</v>
      </c>
      <c r="G416" s="11" t="str">
        <f t="shared" si="87"/>
        <v>Does not Meet Target</v>
      </c>
      <c r="H416" t="s">
        <v>648</v>
      </c>
      <c r="I416" t="s">
        <v>653</v>
      </c>
      <c r="J416" t="s">
        <v>688</v>
      </c>
      <c r="K416" t="s">
        <v>705</v>
      </c>
      <c r="L416" t="s">
        <v>709</v>
      </c>
      <c r="M416" t="s">
        <v>719</v>
      </c>
      <c r="N416" t="s">
        <v>728</v>
      </c>
      <c r="O416" t="str" cm="1">
        <f t="array" ref="O416">_xlfn.IFS(S416&lt;=_xlfn.PERCENTILE.INC(IF(N416:N1046=N416, S416:S1046), 0.33), "Low", S416&lt;=_xlfn.PERCENTILE.INC(IF(N416:N1046=N416, S416:S1046), 0.66), "Medium", S416 &gt; _xlfn.PERCENTILE.INC(IF(N416:N1046=N416, S416:S1046), 0.66), "High")</f>
        <v>High</v>
      </c>
      <c r="P416" t="s">
        <v>1148</v>
      </c>
      <c r="Q416" s="6">
        <v>1287.6400000000001</v>
      </c>
      <c r="R416" s="6">
        <v>2717.15</v>
      </c>
      <c r="S416" s="6">
        <v>2717.15</v>
      </c>
      <c r="T416" s="9">
        <v>3.2000000000000001E-2</v>
      </c>
      <c r="U416" s="9">
        <f>IF(T416&gt;0.3, $AO$4, T416)</f>
        <v>3.2000000000000001E-2</v>
      </c>
      <c r="V416" s="7" t="str">
        <f t="shared" si="88"/>
        <v>Less than 20%</v>
      </c>
      <c r="W416" s="11">
        <v>7</v>
      </c>
      <c r="X416" s="6">
        <f t="shared" si="85"/>
        <v>18411.4084</v>
      </c>
      <c r="Y416" s="6">
        <f t="shared" si="86"/>
        <v>9013.4800000000014</v>
      </c>
      <c r="Z416" s="6">
        <f t="shared" si="89"/>
        <v>9397.9283999999989</v>
      </c>
      <c r="AA416" s="9">
        <f t="shared" si="90"/>
        <v>0.51044049405802105</v>
      </c>
      <c r="AB416" s="9">
        <f>IF(U416&gt;'What-If Analysis'!$F$16, 'What-If Analysis'!$F$16,T416)</f>
        <v>3.2000000000000001E-2</v>
      </c>
      <c r="AC416" s="42">
        <f>S416*(1-AB416)</f>
        <v>2630.2012</v>
      </c>
      <c r="AD416" s="42">
        <f>Q416*(1+'What-If Analysis'!F431)</f>
        <v>1287.6400000000001</v>
      </c>
      <c r="AE416" s="41">
        <f>W416*(1+'What-If Analysis'!$F$18)</f>
        <v>8.19</v>
      </c>
      <c r="AF416" s="42">
        <f t="shared" si="91"/>
        <v>21541.347827999998</v>
      </c>
      <c r="AG416" s="42">
        <f t="shared" si="92"/>
        <v>10545.7716</v>
      </c>
      <c r="AH416" s="42">
        <f t="shared" si="93"/>
        <v>10995.576227999998</v>
      </c>
      <c r="AI416" s="44">
        <f t="shared" si="94"/>
        <v>0.51044049405802105</v>
      </c>
      <c r="AJ416" s="42">
        <f t="shared" si="95"/>
        <v>3129.9394279999979</v>
      </c>
      <c r="AK416" s="42">
        <f t="shared" si="96"/>
        <v>9397.9283999999989</v>
      </c>
      <c r="AL416" s="9">
        <f t="shared" si="97"/>
        <v>0</v>
      </c>
      <c r="AM416" s="42"/>
    </row>
    <row r="417" spans="1:39" x14ac:dyDescent="0.25">
      <c r="A417" t="s">
        <v>430</v>
      </c>
      <c r="B417" s="20">
        <v>45626</v>
      </c>
      <c r="C417" s="4">
        <v>45636</v>
      </c>
      <c r="D417" s="4" t="s">
        <v>1435</v>
      </c>
      <c r="E417" s="4">
        <v>45636</v>
      </c>
      <c r="F417" s="11">
        <f t="shared" si="84"/>
        <v>10</v>
      </c>
      <c r="G417" s="11" t="str">
        <f t="shared" si="87"/>
        <v>Does not Meet Target</v>
      </c>
      <c r="H417" t="s">
        <v>647</v>
      </c>
      <c r="I417" t="s">
        <v>654</v>
      </c>
      <c r="J417" t="s">
        <v>696</v>
      </c>
      <c r="K417" t="s">
        <v>705</v>
      </c>
      <c r="L417" t="s">
        <v>707</v>
      </c>
      <c r="M417" t="s">
        <v>721</v>
      </c>
      <c r="N417" t="s">
        <v>733</v>
      </c>
      <c r="O417" t="str" cm="1">
        <f t="array" ref="O417">_xlfn.IFS(S417&lt;=_xlfn.PERCENTILE.INC(IF(N417:N1047=N417, S417:S1047), 0.33), "Low", S417&lt;=_xlfn.PERCENTILE.INC(IF(N417:N1047=N417, S417:S1047), 0.66), "Medium", S417 &gt; _xlfn.PERCENTILE.INC(IF(N417:N1047=N417, S417:S1047), 0.66), "High")</f>
        <v>Medium</v>
      </c>
      <c r="P417" t="s">
        <v>1149</v>
      </c>
      <c r="Q417" s="6">
        <v>851.49</v>
      </c>
      <c r="R417" s="6">
        <v>901.79</v>
      </c>
      <c r="S417" s="6">
        <v>901.79</v>
      </c>
      <c r="T417" s="9">
        <v>0.245</v>
      </c>
      <c r="U417" s="9">
        <f>IF(T417&gt;0.3, $AO$4, T417)</f>
        <v>0.245</v>
      </c>
      <c r="V417" s="7" t="str">
        <f t="shared" si="88"/>
        <v>Greater than 20%</v>
      </c>
      <c r="W417" s="11">
        <v>16</v>
      </c>
      <c r="X417" s="6">
        <f t="shared" si="85"/>
        <v>10893.6232</v>
      </c>
      <c r="Y417" s="6">
        <f t="shared" si="86"/>
        <v>13623.84</v>
      </c>
      <c r="Z417" s="6">
        <f t="shared" si="89"/>
        <v>-2730.2168000000001</v>
      </c>
      <c r="AA417" s="9">
        <f t="shared" si="90"/>
        <v>-0.25062522816100341</v>
      </c>
      <c r="AB417" s="9">
        <f>IF(U417&gt;'What-If Analysis'!$F$16, 'What-If Analysis'!$F$16,T417)</f>
        <v>0.17</v>
      </c>
      <c r="AC417" s="42">
        <f>S417*(1-AB417)</f>
        <v>748.48569999999995</v>
      </c>
      <c r="AD417" s="42">
        <f>Q417*(1+'What-If Analysis'!F432)</f>
        <v>851.49</v>
      </c>
      <c r="AE417" s="41">
        <f>W417*(1+'What-If Analysis'!$F$18)</f>
        <v>18.72</v>
      </c>
      <c r="AF417" s="42">
        <f t="shared" si="91"/>
        <v>14011.652303999997</v>
      </c>
      <c r="AG417" s="42">
        <f t="shared" si="92"/>
        <v>15939.8928</v>
      </c>
      <c r="AH417" s="42">
        <f t="shared" si="93"/>
        <v>-1928.2404960000022</v>
      </c>
      <c r="AI417" s="44">
        <f t="shared" si="94"/>
        <v>-0.13761692441151532</v>
      </c>
      <c r="AJ417" s="42">
        <f t="shared" si="95"/>
        <v>3118.0291039999975</v>
      </c>
      <c r="AK417" s="42">
        <f t="shared" si="96"/>
        <v>-2730.2168000000001</v>
      </c>
      <c r="AL417" s="9">
        <f t="shared" si="97"/>
        <v>0.11300830374948809</v>
      </c>
      <c r="AM417" s="42"/>
    </row>
    <row r="418" spans="1:39" x14ac:dyDescent="0.25">
      <c r="A418" t="s">
        <v>431</v>
      </c>
      <c r="B418" s="20">
        <v>45813</v>
      </c>
      <c r="C418" s="4">
        <v>45822</v>
      </c>
      <c r="D418" s="4" t="s">
        <v>1440</v>
      </c>
      <c r="E418" s="4">
        <v>45822</v>
      </c>
      <c r="F418" s="11">
        <f t="shared" si="84"/>
        <v>9</v>
      </c>
      <c r="G418" s="11" t="str">
        <f t="shared" si="87"/>
        <v>Does not Meet Target</v>
      </c>
      <c r="H418" t="s">
        <v>647</v>
      </c>
      <c r="I418" t="s">
        <v>654</v>
      </c>
      <c r="J418" t="s">
        <v>680</v>
      </c>
      <c r="K418" t="s">
        <v>703</v>
      </c>
      <c r="L418" t="s">
        <v>707</v>
      </c>
      <c r="M418" t="s">
        <v>720</v>
      </c>
      <c r="N418" t="s">
        <v>733</v>
      </c>
      <c r="O418" t="str" cm="1">
        <f t="array" ref="O418">_xlfn.IFS(S418&lt;=_xlfn.PERCENTILE.INC(IF(N418:N1048=N418, S418:S1048), 0.33), "Low", S418&lt;=_xlfn.PERCENTILE.INC(IF(N418:N1048=N418, S418:S1048), 0.66), "Medium", S418 &gt; _xlfn.PERCENTILE.INC(IF(N418:N1048=N418, S418:S1048), 0.66), "High")</f>
        <v>Medium</v>
      </c>
      <c r="P418" t="s">
        <v>1150</v>
      </c>
      <c r="Q418" s="6">
        <v>618.69000000000005</v>
      </c>
      <c r="R418" s="6">
        <v>796.15</v>
      </c>
      <c r="S418" s="6">
        <v>796.15</v>
      </c>
      <c r="T418" s="9">
        <v>0.09</v>
      </c>
      <c r="U418" s="9">
        <f>IF(T418&gt;0.3, $AO$4, T418)</f>
        <v>0.09</v>
      </c>
      <c r="V418" s="7" t="str">
        <f t="shared" si="88"/>
        <v>Less than 20%</v>
      </c>
      <c r="W418" s="11">
        <v>11</v>
      </c>
      <c r="X418" s="6">
        <f t="shared" si="85"/>
        <v>7969.4615000000003</v>
      </c>
      <c r="Y418" s="6">
        <f t="shared" si="86"/>
        <v>6805.59</v>
      </c>
      <c r="Z418" s="6">
        <f t="shared" si="89"/>
        <v>1163.8715000000002</v>
      </c>
      <c r="AA418" s="9">
        <f t="shared" si="90"/>
        <v>0.14604142325049191</v>
      </c>
      <c r="AB418" s="9">
        <f>IF(U418&gt;'What-If Analysis'!$F$16, 'What-If Analysis'!$F$16,T418)</f>
        <v>0.09</v>
      </c>
      <c r="AC418" s="42">
        <f>S418*(1-AB418)</f>
        <v>724.49649999999997</v>
      </c>
      <c r="AD418" s="42">
        <f>Q418*(1+'What-If Analysis'!F433)</f>
        <v>618.69000000000005</v>
      </c>
      <c r="AE418" s="41">
        <f>W418*(1+'What-If Analysis'!$F$18)</f>
        <v>12.87</v>
      </c>
      <c r="AF418" s="42">
        <f t="shared" si="91"/>
        <v>9324.2699549999998</v>
      </c>
      <c r="AG418" s="42">
        <f t="shared" si="92"/>
        <v>7962.5403000000006</v>
      </c>
      <c r="AH418" s="42">
        <f t="shared" si="93"/>
        <v>1361.7296549999992</v>
      </c>
      <c r="AI418" s="44">
        <f t="shared" si="94"/>
        <v>0.1460414232504918</v>
      </c>
      <c r="AJ418" s="42">
        <f t="shared" si="95"/>
        <v>1354.8084549999994</v>
      </c>
      <c r="AK418" s="42">
        <f t="shared" si="96"/>
        <v>1163.8715000000002</v>
      </c>
      <c r="AL418" s="9">
        <f t="shared" si="97"/>
        <v>0</v>
      </c>
      <c r="AM418" s="42"/>
    </row>
    <row r="419" spans="1:39" x14ac:dyDescent="0.25">
      <c r="A419" t="s">
        <v>432</v>
      </c>
      <c r="B419" s="20">
        <v>45730</v>
      </c>
      <c r="C419" s="4">
        <v>45755</v>
      </c>
      <c r="D419" s="4" t="s">
        <v>1437</v>
      </c>
      <c r="E419" s="4">
        <v>45755</v>
      </c>
      <c r="F419" s="11">
        <f t="shared" si="84"/>
        <v>25</v>
      </c>
      <c r="G419" s="11" t="str">
        <f t="shared" si="87"/>
        <v>Does not Meet Target</v>
      </c>
      <c r="H419" t="s">
        <v>647</v>
      </c>
      <c r="I419" t="s">
        <v>659</v>
      </c>
      <c r="J419" t="s">
        <v>1422</v>
      </c>
      <c r="K419" t="s">
        <v>701</v>
      </c>
      <c r="L419" t="s">
        <v>710</v>
      </c>
      <c r="M419" t="s">
        <v>726</v>
      </c>
      <c r="N419" t="s">
        <v>728</v>
      </c>
      <c r="O419" t="str" cm="1">
        <f t="array" ref="O419">_xlfn.IFS(S419&lt;=_xlfn.PERCENTILE.INC(IF(N419:N1049=N419, S419:S1049), 0.33), "Low", S419&lt;=_xlfn.PERCENTILE.INC(IF(N419:N1049=N419, S419:S1049), 0.66), "Medium", S419 &gt; _xlfn.PERCENTILE.INC(IF(N419:N1049=N419, S419:S1049), 0.66), "High")</f>
        <v>Low</v>
      </c>
      <c r="P419" t="s">
        <v>1151</v>
      </c>
      <c r="Q419" s="6">
        <v>80.59</v>
      </c>
      <c r="R419" s="6">
        <v>157.82</v>
      </c>
      <c r="S419" s="6">
        <v>157.82</v>
      </c>
      <c r="T419" s="9">
        <v>0.217</v>
      </c>
      <c r="U419" s="9">
        <f>IF(T419&gt;0.3, $AO$4, T419)</f>
        <v>0.217</v>
      </c>
      <c r="V419" s="7" t="str">
        <f t="shared" si="88"/>
        <v>Greater than 20%</v>
      </c>
      <c r="W419" s="11">
        <v>6</v>
      </c>
      <c r="X419" s="6">
        <f t="shared" si="85"/>
        <v>741.43835999999999</v>
      </c>
      <c r="Y419" s="6">
        <f t="shared" si="86"/>
        <v>483.54</v>
      </c>
      <c r="Z419" s="6">
        <f t="shared" si="89"/>
        <v>257.89835999999997</v>
      </c>
      <c r="AA419" s="9">
        <f t="shared" si="90"/>
        <v>0.34783519967863541</v>
      </c>
      <c r="AB419" s="9">
        <f>IF(U419&gt;'What-If Analysis'!$F$16, 'What-If Analysis'!$F$16,T419)</f>
        <v>0.17</v>
      </c>
      <c r="AC419" s="42">
        <f>S419*(1-AB419)</f>
        <v>130.9906</v>
      </c>
      <c r="AD419" s="42">
        <f>Q419*(1+'What-If Analysis'!F434)</f>
        <v>80.59</v>
      </c>
      <c r="AE419" s="41">
        <f>W419*(1+'What-If Analysis'!$F$18)</f>
        <v>7.02</v>
      </c>
      <c r="AF419" s="42">
        <f t="shared" si="91"/>
        <v>919.55401199999994</v>
      </c>
      <c r="AG419" s="42">
        <f t="shared" si="92"/>
        <v>565.74180000000001</v>
      </c>
      <c r="AH419" s="42">
        <f t="shared" si="93"/>
        <v>353.81221199999993</v>
      </c>
      <c r="AI419" s="44">
        <f t="shared" si="94"/>
        <v>0.38476501367273674</v>
      </c>
      <c r="AJ419" s="42">
        <f t="shared" si="95"/>
        <v>178.11565199999995</v>
      </c>
      <c r="AK419" s="42">
        <f t="shared" si="96"/>
        <v>257.89835999999997</v>
      </c>
      <c r="AL419" s="9">
        <f t="shared" si="97"/>
        <v>3.6929813994101335E-2</v>
      </c>
      <c r="AM419" s="42"/>
    </row>
    <row r="420" spans="1:39" x14ac:dyDescent="0.25">
      <c r="A420" t="s">
        <v>433</v>
      </c>
      <c r="B420" s="20">
        <v>45307</v>
      </c>
      <c r="C420" s="4">
        <v>45333</v>
      </c>
      <c r="D420" s="4" t="s">
        <v>1434</v>
      </c>
      <c r="E420" s="4">
        <v>45333</v>
      </c>
      <c r="F420" s="11">
        <f t="shared" si="84"/>
        <v>26</v>
      </c>
      <c r="G420" s="11" t="str">
        <f t="shared" si="87"/>
        <v>Does not Meet Target</v>
      </c>
      <c r="H420" t="s">
        <v>649</v>
      </c>
      <c r="I420" t="s">
        <v>656</v>
      </c>
      <c r="J420" t="s">
        <v>698</v>
      </c>
      <c r="K420" t="s">
        <v>703</v>
      </c>
      <c r="L420" t="s">
        <v>710</v>
      </c>
      <c r="M420" t="s">
        <v>718</v>
      </c>
      <c r="N420" t="s">
        <v>732</v>
      </c>
      <c r="O420" t="str" cm="1">
        <f t="array" ref="O420">_xlfn.IFS(S420&lt;=_xlfn.PERCENTILE.INC(IF(N420:N1050=N420, S420:S1050), 0.33), "Low", S420&lt;=_xlfn.PERCENTILE.INC(IF(N420:N1050=N420, S420:S1050), 0.66), "Medium", S420 &gt; _xlfn.PERCENTILE.INC(IF(N420:N1050=N420, S420:S1050), 0.66), "High")</f>
        <v>Medium</v>
      </c>
      <c r="P420" t="s">
        <v>1152</v>
      </c>
      <c r="Q420" s="6">
        <v>504.93</v>
      </c>
      <c r="R420" s="6">
        <v>819.06</v>
      </c>
      <c r="S420" s="6">
        <v>819.06</v>
      </c>
      <c r="T420" s="9">
        <v>0.22600000000000001</v>
      </c>
      <c r="U420" s="9">
        <f>IF(T420&gt;0.3, $AO$4, T420)</f>
        <v>0.22600000000000001</v>
      </c>
      <c r="V420" s="7" t="str">
        <f t="shared" si="88"/>
        <v>Greater than 20%</v>
      </c>
      <c r="W420" s="11">
        <v>15</v>
      </c>
      <c r="X420" s="6">
        <f t="shared" si="85"/>
        <v>9509.2865999999995</v>
      </c>
      <c r="Y420" s="6">
        <f t="shared" si="86"/>
        <v>7573.95</v>
      </c>
      <c r="Z420" s="6">
        <f t="shared" si="89"/>
        <v>1935.3365999999996</v>
      </c>
      <c r="AA420" s="9">
        <f t="shared" si="90"/>
        <v>0.20352069312959814</v>
      </c>
      <c r="AB420" s="9">
        <f>IF(U420&gt;'What-If Analysis'!$F$16, 'What-If Analysis'!$F$16,T420)</f>
        <v>0.17</v>
      </c>
      <c r="AC420" s="42">
        <f>S420*(1-AB420)</f>
        <v>679.81979999999987</v>
      </c>
      <c r="AD420" s="42">
        <f>Q420*(1+'What-If Analysis'!F435)</f>
        <v>504.93</v>
      </c>
      <c r="AE420" s="41">
        <f>W420*(1+'What-If Analysis'!$F$18)</f>
        <v>17.549999999999997</v>
      </c>
      <c r="AF420" s="42">
        <f t="shared" si="91"/>
        <v>11930.837489999996</v>
      </c>
      <c r="AG420" s="42">
        <f t="shared" si="92"/>
        <v>8861.5214999999989</v>
      </c>
      <c r="AH420" s="42">
        <f t="shared" si="93"/>
        <v>3069.3159899999973</v>
      </c>
      <c r="AI420" s="44">
        <f t="shared" si="94"/>
        <v>0.25725905600278176</v>
      </c>
      <c r="AJ420" s="42">
        <f t="shared" si="95"/>
        <v>2421.5508899999968</v>
      </c>
      <c r="AK420" s="42">
        <f t="shared" si="96"/>
        <v>1935.3365999999996</v>
      </c>
      <c r="AL420" s="9">
        <f t="shared" si="97"/>
        <v>5.373836287318362E-2</v>
      </c>
      <c r="AM420" s="42"/>
    </row>
    <row r="421" spans="1:39" x14ac:dyDescent="0.25">
      <c r="A421" t="s">
        <v>434</v>
      </c>
      <c r="B421" s="20">
        <v>45211</v>
      </c>
      <c r="C421" s="4">
        <v>45228</v>
      </c>
      <c r="D421" s="4" t="s">
        <v>1438</v>
      </c>
      <c r="E421" s="4">
        <v>45228</v>
      </c>
      <c r="F421" s="11">
        <f t="shared" si="84"/>
        <v>17</v>
      </c>
      <c r="G421" s="11" t="str">
        <f t="shared" si="87"/>
        <v>Does not Meet Target</v>
      </c>
      <c r="H421" t="s">
        <v>647</v>
      </c>
      <c r="I421" t="s">
        <v>652</v>
      </c>
      <c r="J421" t="s">
        <v>694</v>
      </c>
      <c r="K421" t="s">
        <v>703</v>
      </c>
      <c r="L421" t="s">
        <v>711</v>
      </c>
      <c r="M421" t="s">
        <v>722</v>
      </c>
      <c r="N421" t="s">
        <v>730</v>
      </c>
      <c r="O421" t="str" cm="1">
        <f t="array" ref="O421">_xlfn.IFS(S421&lt;=_xlfn.PERCENTILE.INC(IF(N421:N1051=N421, S421:S1051), 0.33), "Low", S421&lt;=_xlfn.PERCENTILE.INC(IF(N421:N1051=N421, S421:S1051), 0.66), "Medium", S421 &gt; _xlfn.PERCENTILE.INC(IF(N421:N1051=N421, S421:S1051), 0.66), "High")</f>
        <v>High</v>
      </c>
      <c r="P421" t="s">
        <v>1153</v>
      </c>
      <c r="Q421" s="6">
        <v>1102.19</v>
      </c>
      <c r="R421" s="6">
        <v>1711.16</v>
      </c>
      <c r="S421" s="6">
        <v>1711.16</v>
      </c>
      <c r="T421" s="9">
        <v>0.151</v>
      </c>
      <c r="U421" s="9">
        <f>IF(T421&gt;0.3, $AO$4, T421)</f>
        <v>0.151</v>
      </c>
      <c r="V421" s="7" t="str">
        <f t="shared" si="88"/>
        <v>Less than 20%</v>
      </c>
      <c r="W421" s="11">
        <v>10</v>
      </c>
      <c r="X421" s="6">
        <f t="shared" si="85"/>
        <v>14527.748400000002</v>
      </c>
      <c r="Y421" s="6">
        <f t="shared" si="86"/>
        <v>11021.900000000001</v>
      </c>
      <c r="Z421" s="6">
        <f t="shared" si="89"/>
        <v>3505.8484000000008</v>
      </c>
      <c r="AA421" s="9">
        <f t="shared" si="90"/>
        <v>0.24132083675127525</v>
      </c>
      <c r="AB421" s="9">
        <f>IF(U421&gt;'What-If Analysis'!$F$16, 'What-If Analysis'!$F$16,T421)</f>
        <v>0.151</v>
      </c>
      <c r="AC421" s="42">
        <f>S421*(1-AB421)</f>
        <v>1452.77484</v>
      </c>
      <c r="AD421" s="42">
        <f>Q421*(1+'What-If Analysis'!F436)</f>
        <v>1102.19</v>
      </c>
      <c r="AE421" s="41">
        <f>W421*(1+'What-If Analysis'!$F$18)</f>
        <v>11.7</v>
      </c>
      <c r="AF421" s="42">
        <f t="shared" si="91"/>
        <v>16997.465627999998</v>
      </c>
      <c r="AG421" s="42">
        <f t="shared" si="92"/>
        <v>12895.623</v>
      </c>
      <c r="AH421" s="42">
        <f t="shared" si="93"/>
        <v>4101.8426279999985</v>
      </c>
      <c r="AI421" s="44">
        <f t="shared" si="94"/>
        <v>0.24132083675127516</v>
      </c>
      <c r="AJ421" s="42">
        <f t="shared" si="95"/>
        <v>2469.7172279999959</v>
      </c>
      <c r="AK421" s="42">
        <f t="shared" si="96"/>
        <v>3505.8484000000008</v>
      </c>
      <c r="AL421" s="9">
        <f t="shared" si="97"/>
        <v>0</v>
      </c>
      <c r="AM421" s="42"/>
    </row>
    <row r="422" spans="1:39" x14ac:dyDescent="0.25">
      <c r="A422" t="s">
        <v>435</v>
      </c>
      <c r="B422" s="20">
        <v>45713</v>
      </c>
      <c r="C422" s="4">
        <v>45733</v>
      </c>
      <c r="D422" s="4" t="s">
        <v>1437</v>
      </c>
      <c r="E422" s="4">
        <v>45733</v>
      </c>
      <c r="F422" s="11">
        <f t="shared" si="84"/>
        <v>20</v>
      </c>
      <c r="G422" s="11" t="str">
        <f t="shared" si="87"/>
        <v>Does not Meet Target</v>
      </c>
      <c r="H422" t="s">
        <v>648</v>
      </c>
      <c r="I422" t="s">
        <v>660</v>
      </c>
      <c r="J422" t="s">
        <v>686</v>
      </c>
      <c r="K422" t="s">
        <v>703</v>
      </c>
      <c r="L422" t="s">
        <v>709</v>
      </c>
      <c r="M422" t="s">
        <v>722</v>
      </c>
      <c r="N422" t="s">
        <v>730</v>
      </c>
      <c r="O422" t="str" cm="1">
        <f t="array" ref="O422">_xlfn.IFS(S422&lt;=_xlfn.PERCENTILE.INC(IF(N422:N1052=N422, S422:S1052), 0.33), "Low", S422&lt;=_xlfn.PERCENTILE.INC(IF(N422:N1052=N422, S422:S1052), 0.66), "Medium", S422 &gt; _xlfn.PERCENTILE.INC(IF(N422:N1052=N422, S422:S1052), 0.66), "High")</f>
        <v>High</v>
      </c>
      <c r="P422" t="s">
        <v>1154</v>
      </c>
      <c r="Q422" s="6">
        <v>1205.26</v>
      </c>
      <c r="R422" s="6">
        <v>1696.35</v>
      </c>
      <c r="S422" s="6">
        <v>1696.35</v>
      </c>
      <c r="T422" s="9">
        <v>1.9E-2</v>
      </c>
      <c r="U422" s="9">
        <f>IF(T422&gt;0.3, $AO$4, T422)</f>
        <v>1.9E-2</v>
      </c>
      <c r="V422" s="7" t="str">
        <f t="shared" si="88"/>
        <v>Less than 20%</v>
      </c>
      <c r="W422" s="11">
        <v>6</v>
      </c>
      <c r="X422" s="6">
        <f t="shared" si="85"/>
        <v>9984.7160999999978</v>
      </c>
      <c r="Y422" s="6">
        <f t="shared" si="86"/>
        <v>7231.5599999999995</v>
      </c>
      <c r="Z422" s="6">
        <f t="shared" si="89"/>
        <v>2753.1560999999983</v>
      </c>
      <c r="AA422" s="9">
        <f t="shared" si="90"/>
        <v>0.27573704374028213</v>
      </c>
      <c r="AB422" s="9">
        <f>IF(U422&gt;'What-If Analysis'!$F$16, 'What-If Analysis'!$F$16,T422)</f>
        <v>1.9E-2</v>
      </c>
      <c r="AC422" s="42">
        <f>S422*(1-AB422)</f>
        <v>1664.1193499999999</v>
      </c>
      <c r="AD422" s="42">
        <f>Q422*(1+'What-If Analysis'!F437)</f>
        <v>1205.26</v>
      </c>
      <c r="AE422" s="41">
        <f>W422*(1+'What-If Analysis'!$F$18)</f>
        <v>7.02</v>
      </c>
      <c r="AF422" s="42">
        <f t="shared" si="91"/>
        <v>11682.117836999998</v>
      </c>
      <c r="AG422" s="42">
        <f t="shared" si="92"/>
        <v>8460.9251999999997</v>
      </c>
      <c r="AH422" s="42">
        <f t="shared" si="93"/>
        <v>3221.1926369999983</v>
      </c>
      <c r="AI422" s="44">
        <f t="shared" si="94"/>
        <v>0.27573704374028213</v>
      </c>
      <c r="AJ422" s="42">
        <f t="shared" si="95"/>
        <v>1697.4017370000001</v>
      </c>
      <c r="AK422" s="42">
        <f t="shared" si="96"/>
        <v>2753.1560999999983</v>
      </c>
      <c r="AL422" s="9">
        <f t="shared" si="97"/>
        <v>0</v>
      </c>
      <c r="AM422" s="42"/>
    </row>
    <row r="423" spans="1:39" x14ac:dyDescent="0.25">
      <c r="A423" t="s">
        <v>436</v>
      </c>
      <c r="B423" s="20">
        <v>45841</v>
      </c>
      <c r="C423" s="4">
        <v>45844</v>
      </c>
      <c r="D423" s="4" t="s">
        <v>1441</v>
      </c>
      <c r="E423" s="4">
        <v>45844</v>
      </c>
      <c r="F423" s="11">
        <f t="shared" si="84"/>
        <v>3</v>
      </c>
      <c r="G423" s="11" t="str">
        <f t="shared" si="87"/>
        <v>Meets Target</v>
      </c>
      <c r="H423" t="s">
        <v>646</v>
      </c>
      <c r="I423" t="s">
        <v>651</v>
      </c>
      <c r="J423" t="s">
        <v>665</v>
      </c>
      <c r="K423" t="s">
        <v>704</v>
      </c>
      <c r="L423" t="s">
        <v>708</v>
      </c>
      <c r="M423" t="s">
        <v>1422</v>
      </c>
      <c r="N423" t="s">
        <v>731</v>
      </c>
      <c r="O423" t="str" cm="1">
        <f t="array" ref="O423">_xlfn.IFS(S423&lt;=_xlfn.PERCENTILE.INC(IF(N423:N1053=N423, S423:S1053), 0.33), "Low", S423&lt;=_xlfn.PERCENTILE.INC(IF(N423:N1053=N423, S423:S1053), 0.66), "Medium", S423 &gt; _xlfn.PERCENTILE.INC(IF(N423:N1053=N423, S423:S1053), 0.66), "High")</f>
        <v>High</v>
      </c>
      <c r="P423" t="s">
        <v>1155</v>
      </c>
      <c r="Q423" s="6">
        <v>1313.3</v>
      </c>
      <c r="R423" s="6">
        <v>2884.34</v>
      </c>
      <c r="S423" s="6">
        <v>2884.34</v>
      </c>
      <c r="T423" s="9">
        <v>0.157</v>
      </c>
      <c r="U423" s="9">
        <f>IF(T423&gt;0.3, $AO$4, T423)</f>
        <v>0.157</v>
      </c>
      <c r="V423" s="7" t="str">
        <f t="shared" si="88"/>
        <v>Less than 20%</v>
      </c>
      <c r="W423" s="11">
        <v>42</v>
      </c>
      <c r="X423" s="6">
        <f t="shared" si="85"/>
        <v>102122.94203999999</v>
      </c>
      <c r="Y423" s="6">
        <f t="shared" si="86"/>
        <v>55158.6</v>
      </c>
      <c r="Z423" s="6">
        <f t="shared" si="89"/>
        <v>46964.342039999996</v>
      </c>
      <c r="AA423" s="9">
        <f t="shared" si="90"/>
        <v>0.45988042551305253</v>
      </c>
      <c r="AB423" s="9">
        <f>IF(U423&gt;'What-If Analysis'!$F$16, 'What-If Analysis'!$F$16,T423)</f>
        <v>0.157</v>
      </c>
      <c r="AC423" s="42">
        <f>S423*(1-AB423)</f>
        <v>2431.4986199999998</v>
      </c>
      <c r="AD423" s="42">
        <f>Q423*(1+'What-If Analysis'!F438)</f>
        <v>1313.3</v>
      </c>
      <c r="AE423" s="41">
        <f>W423*(1+'What-If Analysis'!$F$18)</f>
        <v>49.14</v>
      </c>
      <c r="AF423" s="42">
        <f t="shared" si="91"/>
        <v>119483.8421868</v>
      </c>
      <c r="AG423" s="42">
        <f t="shared" si="92"/>
        <v>64535.561999999998</v>
      </c>
      <c r="AH423" s="42">
        <f t="shared" si="93"/>
        <v>54948.280186800002</v>
      </c>
      <c r="AI423" s="44">
        <f t="shared" si="94"/>
        <v>0.45988042551305253</v>
      </c>
      <c r="AJ423" s="42">
        <f t="shared" si="95"/>
        <v>17360.900146800006</v>
      </c>
      <c r="AK423" s="42">
        <f t="shared" si="96"/>
        <v>46964.342039999996</v>
      </c>
      <c r="AL423" s="9">
        <f t="shared" si="97"/>
        <v>0</v>
      </c>
      <c r="AM423" s="42"/>
    </row>
    <row r="424" spans="1:39" x14ac:dyDescent="0.25">
      <c r="A424" t="s">
        <v>437</v>
      </c>
      <c r="B424" s="20">
        <v>45915</v>
      </c>
      <c r="C424" s="4">
        <v>45925</v>
      </c>
      <c r="D424" s="4" t="s">
        <v>1441</v>
      </c>
      <c r="E424" s="4">
        <v>45925</v>
      </c>
      <c r="F424" s="11">
        <f t="shared" si="84"/>
        <v>10</v>
      </c>
      <c r="G424" s="11" t="str">
        <f t="shared" si="87"/>
        <v>Does not Meet Target</v>
      </c>
      <c r="H424" t="s">
        <v>647</v>
      </c>
      <c r="I424" t="s">
        <v>654</v>
      </c>
      <c r="J424" t="s">
        <v>680</v>
      </c>
      <c r="K424" t="s">
        <v>704</v>
      </c>
      <c r="L424" t="s">
        <v>707</v>
      </c>
      <c r="M424" t="s">
        <v>720</v>
      </c>
      <c r="N424" t="s">
        <v>730</v>
      </c>
      <c r="O424" t="str" cm="1">
        <f t="array" ref="O424">_xlfn.IFS(S424&lt;=_xlfn.PERCENTILE.INC(IF(N424:N1054=N424, S424:S1054), 0.33), "Low", S424&lt;=_xlfn.PERCENTILE.INC(IF(N424:N1054=N424, S424:S1054), 0.66), "Medium", S424 &gt; _xlfn.PERCENTILE.INC(IF(N424:N1054=N424, S424:S1054), 0.66), "High")</f>
        <v>High</v>
      </c>
      <c r="P424" t="s">
        <v>1156</v>
      </c>
      <c r="Q424" s="6">
        <v>1488.91</v>
      </c>
      <c r="R424" s="6">
        <v>1483.74</v>
      </c>
      <c r="S424" s="6">
        <v>1483.74</v>
      </c>
      <c r="T424" s="9">
        <v>0.16800000000000001</v>
      </c>
      <c r="U424" s="9">
        <f>IF(T424&gt;0.3, $AO$4, T424)</f>
        <v>0.16800000000000001</v>
      </c>
      <c r="V424" s="7" t="str">
        <f t="shared" si="88"/>
        <v>Less than 20%</v>
      </c>
      <c r="W424" s="11">
        <v>24</v>
      </c>
      <c r="X424" s="6">
        <f t="shared" si="85"/>
        <v>29627.320319999999</v>
      </c>
      <c r="Y424" s="6">
        <f t="shared" si="86"/>
        <v>35733.840000000004</v>
      </c>
      <c r="Z424" s="6">
        <f t="shared" si="89"/>
        <v>-6106.5196800000049</v>
      </c>
      <c r="AA424" s="9">
        <f t="shared" si="90"/>
        <v>-0.20611110333450519</v>
      </c>
      <c r="AB424" s="9">
        <f>IF(U424&gt;'What-If Analysis'!$F$16, 'What-If Analysis'!$F$16,T424)</f>
        <v>0.16800000000000001</v>
      </c>
      <c r="AC424" s="42">
        <f>S424*(1-AB424)</f>
        <v>1234.4716799999999</v>
      </c>
      <c r="AD424" s="42">
        <f>Q424*(1+'What-If Analysis'!F439)</f>
        <v>1488.91</v>
      </c>
      <c r="AE424" s="41">
        <f>W424*(1+'What-If Analysis'!$F$18)</f>
        <v>28.08</v>
      </c>
      <c r="AF424" s="42">
        <f t="shared" si="91"/>
        <v>34663.964774399996</v>
      </c>
      <c r="AG424" s="42">
        <f t="shared" si="92"/>
        <v>41808.592799999999</v>
      </c>
      <c r="AH424" s="42">
        <f t="shared" si="93"/>
        <v>-7144.6280256000027</v>
      </c>
      <c r="AI424" s="44">
        <f t="shared" si="94"/>
        <v>-0.20611110333450511</v>
      </c>
      <c r="AJ424" s="42">
        <f t="shared" si="95"/>
        <v>5036.6444543999969</v>
      </c>
      <c r="AK424" s="42">
        <f t="shared" si="96"/>
        <v>-6106.5196800000049</v>
      </c>
      <c r="AL424" s="9">
        <f t="shared" si="97"/>
        <v>0</v>
      </c>
      <c r="AM424" s="42"/>
    </row>
    <row r="425" spans="1:39" x14ac:dyDescent="0.25">
      <c r="A425" t="s">
        <v>438</v>
      </c>
      <c r="B425" s="20">
        <v>45341</v>
      </c>
      <c r="C425" s="4">
        <v>45357</v>
      </c>
      <c r="D425" s="4" t="s">
        <v>1434</v>
      </c>
      <c r="E425" s="4">
        <v>45357</v>
      </c>
      <c r="F425" s="11">
        <f t="shared" si="84"/>
        <v>16</v>
      </c>
      <c r="G425" s="11" t="str">
        <f t="shared" si="87"/>
        <v>Does not Meet Target</v>
      </c>
      <c r="H425" t="s">
        <v>647</v>
      </c>
      <c r="I425" t="s">
        <v>659</v>
      </c>
      <c r="J425" t="s">
        <v>699</v>
      </c>
      <c r="K425" t="s">
        <v>702</v>
      </c>
      <c r="L425" t="s">
        <v>709</v>
      </c>
      <c r="M425" t="s">
        <v>719</v>
      </c>
      <c r="N425" t="s">
        <v>728</v>
      </c>
      <c r="O425" t="str" cm="1">
        <f t="array" ref="O425">_xlfn.IFS(S425&lt;=_xlfn.PERCENTILE.INC(IF(N425:N1055=N425, S425:S1055), 0.33), "Low", S425&lt;=_xlfn.PERCENTILE.INC(IF(N425:N1055=N425, S425:S1055), 0.66), "Medium", S425 &gt; _xlfn.PERCENTILE.INC(IF(N425:N1055=N425, S425:S1055), 0.66), "High")</f>
        <v>High</v>
      </c>
      <c r="P425" t="s">
        <v>1157</v>
      </c>
      <c r="Q425" s="6">
        <v>1477.84</v>
      </c>
      <c r="R425" s="6">
        <v>3197.47</v>
      </c>
      <c r="S425" s="6">
        <v>3197.47</v>
      </c>
      <c r="T425" s="9">
        <v>0.24299999999999999</v>
      </c>
      <c r="U425" s="9">
        <f>IF(T425&gt;0.3, $AO$4, T425)</f>
        <v>0.24299999999999999</v>
      </c>
      <c r="V425" s="7" t="str">
        <f t="shared" si="88"/>
        <v>Greater than 20%</v>
      </c>
      <c r="W425" s="11">
        <v>24</v>
      </c>
      <c r="X425" s="6">
        <f t="shared" si="85"/>
        <v>58091.634960000003</v>
      </c>
      <c r="Y425" s="6">
        <f t="shared" si="86"/>
        <v>35468.159999999996</v>
      </c>
      <c r="Z425" s="6">
        <f t="shared" si="89"/>
        <v>22623.474960000007</v>
      </c>
      <c r="AA425" s="9">
        <f t="shared" si="90"/>
        <v>0.38944462443823091</v>
      </c>
      <c r="AB425" s="9">
        <f>IF(U425&gt;'What-If Analysis'!$F$16, 'What-If Analysis'!$F$16,T425)</f>
        <v>0.17</v>
      </c>
      <c r="AC425" s="42">
        <f>S425*(1-AB425)</f>
        <v>2653.9000999999998</v>
      </c>
      <c r="AD425" s="42">
        <f>Q425*(1+'What-If Analysis'!F440)</f>
        <v>1477.84</v>
      </c>
      <c r="AE425" s="41">
        <f>W425*(1+'What-If Analysis'!$F$18)</f>
        <v>28.08</v>
      </c>
      <c r="AF425" s="42">
        <f t="shared" si="91"/>
        <v>74521.514807999993</v>
      </c>
      <c r="AG425" s="42">
        <f t="shared" si="92"/>
        <v>41497.747199999998</v>
      </c>
      <c r="AH425" s="42">
        <f t="shared" si="93"/>
        <v>33023.767607999995</v>
      </c>
      <c r="AI425" s="44">
        <f t="shared" si="94"/>
        <v>0.44314407313221771</v>
      </c>
      <c r="AJ425" s="42">
        <f t="shared" si="95"/>
        <v>16429.87984799999</v>
      </c>
      <c r="AK425" s="42">
        <f t="shared" si="96"/>
        <v>22623.474960000007</v>
      </c>
      <c r="AL425" s="9">
        <f t="shared" si="97"/>
        <v>5.3699448693986795E-2</v>
      </c>
      <c r="AM425" s="42"/>
    </row>
    <row r="426" spans="1:39" x14ac:dyDescent="0.25">
      <c r="A426" t="s">
        <v>439</v>
      </c>
      <c r="B426" s="20">
        <v>45349</v>
      </c>
      <c r="C426" s="4">
        <v>45377</v>
      </c>
      <c r="D426" s="4" t="s">
        <v>1434</v>
      </c>
      <c r="E426" s="4">
        <v>45377</v>
      </c>
      <c r="F426" s="11">
        <f t="shared" si="84"/>
        <v>28</v>
      </c>
      <c r="G426" s="11" t="str">
        <f t="shared" si="87"/>
        <v>Does not Meet Target</v>
      </c>
      <c r="H426" t="s">
        <v>647</v>
      </c>
      <c r="I426" t="s">
        <v>654</v>
      </c>
      <c r="J426" t="s">
        <v>691</v>
      </c>
      <c r="K426" t="s">
        <v>702</v>
      </c>
      <c r="L426" t="s">
        <v>709</v>
      </c>
      <c r="M426" t="s">
        <v>715</v>
      </c>
      <c r="N426" t="s">
        <v>731</v>
      </c>
      <c r="O426" t="str" cm="1">
        <f t="array" ref="O426">_xlfn.IFS(S426&lt;=_xlfn.PERCENTILE.INC(IF(N426:N1056=N426, S426:S1056), 0.33), "Low", S426&lt;=_xlfn.PERCENTILE.INC(IF(N426:N1056=N426, S426:S1056), 0.66), "Medium", S426 &gt; _xlfn.PERCENTILE.INC(IF(N426:N1056=N426, S426:S1056), 0.66), "High")</f>
        <v>High</v>
      </c>
      <c r="P426" t="s">
        <v>1158</v>
      </c>
      <c r="Q426" s="6">
        <v>1035.19</v>
      </c>
      <c r="R426" s="6">
        <v>2322.6999999999998</v>
      </c>
      <c r="S426" s="6">
        <v>2322.6999999999998</v>
      </c>
      <c r="T426" s="9">
        <v>0.17299999999999999</v>
      </c>
      <c r="U426" s="9">
        <f>IF(T426&gt;0.3, $AO$4, T426)</f>
        <v>0.17299999999999999</v>
      </c>
      <c r="V426" s="7" t="str">
        <f t="shared" si="88"/>
        <v>Less than 20%</v>
      </c>
      <c r="W426" s="11">
        <v>8</v>
      </c>
      <c r="X426" s="6">
        <f t="shared" si="85"/>
        <v>15366.983199999999</v>
      </c>
      <c r="Y426" s="6">
        <f t="shared" si="86"/>
        <v>8281.52</v>
      </c>
      <c r="Z426" s="6">
        <f t="shared" si="89"/>
        <v>7085.4631999999983</v>
      </c>
      <c r="AA426" s="9">
        <f t="shared" si="90"/>
        <v>0.46108355217047409</v>
      </c>
      <c r="AB426" s="9">
        <f>IF(U426&gt;'What-If Analysis'!$F$16, 'What-If Analysis'!$F$16,T426)</f>
        <v>0.17</v>
      </c>
      <c r="AC426" s="42">
        <f>S426*(1-AB426)</f>
        <v>1927.8409999999997</v>
      </c>
      <c r="AD426" s="42">
        <f>Q426*(1+'What-If Analysis'!F441)</f>
        <v>1035.19</v>
      </c>
      <c r="AE426" s="41">
        <f>W426*(1+'What-If Analysis'!$F$18)</f>
        <v>9.36</v>
      </c>
      <c r="AF426" s="42">
        <f t="shared" si="91"/>
        <v>18044.591759999996</v>
      </c>
      <c r="AG426" s="42">
        <f t="shared" si="92"/>
        <v>9689.3783999999996</v>
      </c>
      <c r="AH426" s="42">
        <f t="shared" si="93"/>
        <v>8355.2133599999961</v>
      </c>
      <c r="AI426" s="44">
        <f t="shared" si="94"/>
        <v>0.46303144294576148</v>
      </c>
      <c r="AJ426" s="42">
        <f t="shared" si="95"/>
        <v>2677.6085599999969</v>
      </c>
      <c r="AK426" s="42">
        <f t="shared" si="96"/>
        <v>7085.4631999999983</v>
      </c>
      <c r="AL426" s="9">
        <f t="shared" si="97"/>
        <v>1.9478907752873975E-3</v>
      </c>
      <c r="AM426" s="42"/>
    </row>
    <row r="427" spans="1:39" x14ac:dyDescent="0.25">
      <c r="A427" t="s">
        <v>440</v>
      </c>
      <c r="B427" s="20">
        <v>45897</v>
      </c>
      <c r="C427" s="4">
        <v>45905</v>
      </c>
      <c r="D427" s="4" t="s">
        <v>1441</v>
      </c>
      <c r="E427" s="4">
        <v>45905</v>
      </c>
      <c r="F427" s="11">
        <f t="shared" si="84"/>
        <v>8</v>
      </c>
      <c r="G427" s="11" t="str">
        <f t="shared" si="87"/>
        <v>Does not Meet Target</v>
      </c>
      <c r="H427" t="s">
        <v>646</v>
      </c>
      <c r="I427" t="s">
        <v>651</v>
      </c>
      <c r="J427" t="s">
        <v>663</v>
      </c>
      <c r="K427" t="s">
        <v>705</v>
      </c>
      <c r="L427" t="s">
        <v>709</v>
      </c>
      <c r="M427" t="s">
        <v>718</v>
      </c>
      <c r="N427" t="s">
        <v>731</v>
      </c>
      <c r="O427" t="str" cm="1">
        <f t="array" ref="O427">_xlfn.IFS(S427&lt;=_xlfn.PERCENTILE.INC(IF(N427:N1057=N427, S427:S1057), 0.33), "Low", S427&lt;=_xlfn.PERCENTILE.INC(IF(N427:N1057=N427, S427:S1057), 0.66), "Medium", S427 &gt; _xlfn.PERCENTILE.INC(IF(N427:N1057=N427, S427:S1057), 0.66), "High")</f>
        <v>Medium</v>
      </c>
      <c r="P427" t="s">
        <v>1159</v>
      </c>
      <c r="Q427" s="6">
        <v>1271.0999999999999</v>
      </c>
      <c r="R427" s="6">
        <v>1932.42</v>
      </c>
      <c r="S427" s="6">
        <v>1932.42</v>
      </c>
      <c r="T427" s="9">
        <v>0.25</v>
      </c>
      <c r="U427" s="9">
        <f>IF(T427&gt;0.3, $AO$4, T427)</f>
        <v>0.25</v>
      </c>
      <c r="V427" s="7" t="str">
        <f t="shared" si="88"/>
        <v>Greater than 20%</v>
      </c>
      <c r="W427" s="11">
        <v>21</v>
      </c>
      <c r="X427" s="6">
        <f t="shared" si="85"/>
        <v>30435.614999999998</v>
      </c>
      <c r="Y427" s="6">
        <f t="shared" si="86"/>
        <v>26693.1</v>
      </c>
      <c r="Z427" s="6">
        <f t="shared" si="89"/>
        <v>3742.5149999999994</v>
      </c>
      <c r="AA427" s="9">
        <f t="shared" si="90"/>
        <v>0.12296498690760807</v>
      </c>
      <c r="AB427" s="9">
        <f>IF(U427&gt;'What-If Analysis'!$F$16, 'What-If Analysis'!$F$16,T427)</f>
        <v>0.17</v>
      </c>
      <c r="AC427" s="42">
        <f>S427*(1-AB427)</f>
        <v>1603.9086</v>
      </c>
      <c r="AD427" s="42">
        <f>Q427*(1+'What-If Analysis'!F442)</f>
        <v>1271.0999999999999</v>
      </c>
      <c r="AE427" s="41">
        <f>W427*(1+'What-If Analysis'!$F$18)</f>
        <v>24.57</v>
      </c>
      <c r="AF427" s="42">
        <f t="shared" si="91"/>
        <v>39408.034302</v>
      </c>
      <c r="AG427" s="42">
        <f t="shared" si="92"/>
        <v>31230.927</v>
      </c>
      <c r="AH427" s="42">
        <f t="shared" si="93"/>
        <v>8177.1073020000003</v>
      </c>
      <c r="AI427" s="44">
        <f t="shared" si="94"/>
        <v>0.20749848214542899</v>
      </c>
      <c r="AJ427" s="42">
        <f t="shared" si="95"/>
        <v>8972.4193020000021</v>
      </c>
      <c r="AK427" s="42">
        <f t="shared" si="96"/>
        <v>3742.5149999999994</v>
      </c>
      <c r="AL427" s="9">
        <f t="shared" si="97"/>
        <v>8.4533495237820916E-2</v>
      </c>
      <c r="AM427" s="42"/>
    </row>
    <row r="428" spans="1:39" x14ac:dyDescent="0.25">
      <c r="A428" t="s">
        <v>441</v>
      </c>
      <c r="B428" s="20">
        <v>45522</v>
      </c>
      <c r="C428" s="4">
        <v>45547</v>
      </c>
      <c r="D428" s="4" t="s">
        <v>1443</v>
      </c>
      <c r="E428" s="4">
        <v>45547</v>
      </c>
      <c r="F428" s="11">
        <f t="shared" si="84"/>
        <v>25</v>
      </c>
      <c r="G428" s="11" t="str">
        <f t="shared" si="87"/>
        <v>Does not Meet Target</v>
      </c>
      <c r="H428" t="s">
        <v>647</v>
      </c>
      <c r="I428" t="s">
        <v>654</v>
      </c>
      <c r="J428" t="s">
        <v>691</v>
      </c>
      <c r="K428" t="s">
        <v>704</v>
      </c>
      <c r="L428" t="s">
        <v>709</v>
      </c>
      <c r="M428" t="s">
        <v>712</v>
      </c>
      <c r="N428" t="s">
        <v>730</v>
      </c>
      <c r="O428" t="str" cm="1">
        <f t="array" ref="O428">_xlfn.IFS(S428&lt;=_xlfn.PERCENTILE.INC(IF(N428:N1058=N428, S428:S1058), 0.33), "Low", S428&lt;=_xlfn.PERCENTILE.INC(IF(N428:N1058=N428, S428:S1058), 0.66), "Medium", S428 &gt; _xlfn.PERCENTILE.INC(IF(N428:N1058=N428, S428:S1058), 0.66), "High")</f>
        <v>High</v>
      </c>
      <c r="P428" t="s">
        <v>1160</v>
      </c>
      <c r="Q428" s="6">
        <v>1154.03</v>
      </c>
      <c r="R428" s="6">
        <v>1590.36</v>
      </c>
      <c r="S428" s="6">
        <v>1590.36</v>
      </c>
      <c r="T428" s="9">
        <v>0.314</v>
      </c>
      <c r="U428" s="9">
        <f>IF(T428&gt;0.3, $AO$4, T428)</f>
        <v>0.12</v>
      </c>
      <c r="V428" s="7" t="str">
        <f t="shared" si="88"/>
        <v>Less than 20%</v>
      </c>
      <c r="W428" s="11">
        <v>18</v>
      </c>
      <c r="X428" s="6">
        <f t="shared" si="85"/>
        <v>25191.3024</v>
      </c>
      <c r="Y428" s="6">
        <f t="shared" si="86"/>
        <v>20772.54</v>
      </c>
      <c r="Z428" s="6">
        <f t="shared" si="89"/>
        <v>4418.7623999999996</v>
      </c>
      <c r="AA428" s="9">
        <f t="shared" si="90"/>
        <v>0.1754082551920777</v>
      </c>
      <c r="AB428" s="9">
        <f>IF(U428&gt;'What-If Analysis'!$F$16, 'What-If Analysis'!$F$16,T428)</f>
        <v>0.314</v>
      </c>
      <c r="AC428" s="42">
        <f>S428*(1-AB428)</f>
        <v>1090.98696</v>
      </c>
      <c r="AD428" s="42">
        <f>Q428*(1+'What-If Analysis'!F443)</f>
        <v>1154.03</v>
      </c>
      <c r="AE428" s="41">
        <f>W428*(1+'What-If Analysis'!$F$18)</f>
        <v>21.06</v>
      </c>
      <c r="AF428" s="42">
        <f t="shared" si="91"/>
        <v>22976.185377599999</v>
      </c>
      <c r="AG428" s="42">
        <f t="shared" si="92"/>
        <v>24303.871799999997</v>
      </c>
      <c r="AH428" s="42">
        <f t="shared" si="93"/>
        <v>-1327.6864223999983</v>
      </c>
      <c r="AI428" s="44">
        <f t="shared" si="94"/>
        <v>-5.7785328616576606E-2</v>
      </c>
      <c r="AJ428" s="42">
        <f t="shared" si="95"/>
        <v>-2215.1170224000016</v>
      </c>
      <c r="AK428" s="42">
        <f t="shared" si="96"/>
        <v>4418.7623999999996</v>
      </c>
      <c r="AL428" s="9">
        <f t="shared" si="97"/>
        <v>-0.23319358380865429</v>
      </c>
      <c r="AM428" s="42"/>
    </row>
    <row r="429" spans="1:39" x14ac:dyDescent="0.25">
      <c r="A429" t="s">
        <v>442</v>
      </c>
      <c r="B429" s="20">
        <v>45347</v>
      </c>
      <c r="C429" s="4">
        <v>45360</v>
      </c>
      <c r="D429" s="4" t="s">
        <v>1434</v>
      </c>
      <c r="E429" s="4">
        <v>45360</v>
      </c>
      <c r="F429" s="11">
        <f t="shared" si="84"/>
        <v>13</v>
      </c>
      <c r="G429" s="11" t="str">
        <f t="shared" si="87"/>
        <v>Does not Meet Target</v>
      </c>
      <c r="H429" t="s">
        <v>649</v>
      </c>
      <c r="I429" t="s">
        <v>657</v>
      </c>
      <c r="J429" t="s">
        <v>673</v>
      </c>
      <c r="K429" t="s">
        <v>705</v>
      </c>
      <c r="L429" t="s">
        <v>710</v>
      </c>
      <c r="M429" t="s">
        <v>718</v>
      </c>
      <c r="N429" t="s">
        <v>732</v>
      </c>
      <c r="O429" t="str" cm="1">
        <f t="array" ref="O429">_xlfn.IFS(S429&lt;=_xlfn.PERCENTILE.INC(IF(N429:N1059=N429, S429:S1059), 0.33), "Low", S429&lt;=_xlfn.PERCENTILE.INC(IF(N429:N1059=N429, S429:S1059), 0.66), "Medium", S429 &gt; _xlfn.PERCENTILE.INC(IF(N429:N1059=N429, S429:S1059), 0.66), "High")</f>
        <v>Low</v>
      </c>
      <c r="P429" t="s">
        <v>1161</v>
      </c>
      <c r="Q429" s="6">
        <v>322.44</v>
      </c>
      <c r="R429" s="6">
        <v>395.61</v>
      </c>
      <c r="S429" s="6">
        <v>395.61</v>
      </c>
      <c r="T429" s="9">
        <v>0</v>
      </c>
      <c r="U429" s="9">
        <f>IF(T429&gt;0.3, $AO$4, T429)</f>
        <v>0</v>
      </c>
      <c r="V429" s="7" t="str">
        <f t="shared" si="88"/>
        <v>Less than 20%</v>
      </c>
      <c r="W429" s="11">
        <v>34</v>
      </c>
      <c r="X429" s="6">
        <f t="shared" si="85"/>
        <v>13450.74</v>
      </c>
      <c r="Y429" s="6">
        <f t="shared" si="86"/>
        <v>10962.96</v>
      </c>
      <c r="Z429" s="6">
        <f t="shared" si="89"/>
        <v>2487.7800000000007</v>
      </c>
      <c r="AA429" s="9">
        <f t="shared" si="90"/>
        <v>0.18495487980586947</v>
      </c>
      <c r="AB429" s="9">
        <f>IF(U429&gt;'What-If Analysis'!$F$16, 'What-If Analysis'!$F$16,T429)</f>
        <v>0</v>
      </c>
      <c r="AC429" s="42">
        <f>S429*(1-AB429)</f>
        <v>395.61</v>
      </c>
      <c r="AD429" s="42">
        <f>Q429*(1+'What-If Analysis'!F444)</f>
        <v>322.44</v>
      </c>
      <c r="AE429" s="41">
        <f>W429*(1+'What-If Analysis'!$F$18)</f>
        <v>39.78</v>
      </c>
      <c r="AF429" s="42">
        <f t="shared" si="91"/>
        <v>15737.365800000001</v>
      </c>
      <c r="AG429" s="42">
        <f t="shared" si="92"/>
        <v>12826.663200000001</v>
      </c>
      <c r="AH429" s="42">
        <f t="shared" si="93"/>
        <v>2910.7026000000005</v>
      </c>
      <c r="AI429" s="44">
        <f t="shared" si="94"/>
        <v>0.18495487980586944</v>
      </c>
      <c r="AJ429" s="42">
        <f t="shared" si="95"/>
        <v>2286.6258000000016</v>
      </c>
      <c r="AK429" s="42">
        <f t="shared" si="96"/>
        <v>2487.7800000000007</v>
      </c>
      <c r="AL429" s="9">
        <f t="shared" si="97"/>
        <v>0</v>
      </c>
      <c r="AM429" s="42"/>
    </row>
    <row r="430" spans="1:39" x14ac:dyDescent="0.25">
      <c r="A430" t="s">
        <v>443</v>
      </c>
      <c r="B430" s="20">
        <v>45784</v>
      </c>
      <c r="C430" s="4">
        <v>45790</v>
      </c>
      <c r="D430" s="4" t="s">
        <v>1440</v>
      </c>
      <c r="E430" s="4">
        <v>45790</v>
      </c>
      <c r="F430" s="11">
        <f t="shared" si="84"/>
        <v>6</v>
      </c>
      <c r="G430" s="11" t="str">
        <f t="shared" si="87"/>
        <v>Meets Target</v>
      </c>
      <c r="H430" t="s">
        <v>647</v>
      </c>
      <c r="I430" t="s">
        <v>654</v>
      </c>
      <c r="J430" t="s">
        <v>668</v>
      </c>
      <c r="K430" t="s">
        <v>706</v>
      </c>
      <c r="L430" t="s">
        <v>711</v>
      </c>
      <c r="M430" t="s">
        <v>713</v>
      </c>
      <c r="N430" t="s">
        <v>730</v>
      </c>
      <c r="O430" t="str" cm="1">
        <f t="array" ref="O430">_xlfn.IFS(S430&lt;=_xlfn.PERCENTILE.INC(IF(N430:N1060=N430, S430:S1060), 0.33), "Low", S430&lt;=_xlfn.PERCENTILE.INC(IF(N430:N1060=N430, S430:S1060), 0.66), "Medium", S430 &gt; _xlfn.PERCENTILE.INC(IF(N430:N1060=N430, S430:S1060), 0.66), "High")</f>
        <v>High</v>
      </c>
      <c r="P430" t="s">
        <v>1162</v>
      </c>
      <c r="Q430" s="6">
        <v>935.98</v>
      </c>
      <c r="R430" s="6">
        <v>2077.69</v>
      </c>
      <c r="S430" s="6">
        <v>2077.69</v>
      </c>
      <c r="T430" s="9">
        <v>0.17499999999999999</v>
      </c>
      <c r="U430" s="9">
        <f>IF(T430&gt;0.3, $AO$4, T430)</f>
        <v>0.17499999999999999</v>
      </c>
      <c r="V430" s="7" t="str">
        <f t="shared" si="88"/>
        <v>Less than 20%</v>
      </c>
      <c r="W430" s="11">
        <v>24</v>
      </c>
      <c r="X430" s="6">
        <f t="shared" si="85"/>
        <v>41138.261999999995</v>
      </c>
      <c r="Y430" s="6">
        <f t="shared" si="86"/>
        <v>22463.52</v>
      </c>
      <c r="Z430" s="6">
        <f t="shared" si="89"/>
        <v>18674.741999999995</v>
      </c>
      <c r="AA430" s="9">
        <f t="shared" si="90"/>
        <v>0.45395067978321491</v>
      </c>
      <c r="AB430" s="9">
        <f>IF(U430&gt;'What-If Analysis'!$F$16, 'What-If Analysis'!$F$16,T430)</f>
        <v>0.17</v>
      </c>
      <c r="AC430" s="42">
        <f>S430*(1-AB430)</f>
        <v>1724.4827</v>
      </c>
      <c r="AD430" s="42">
        <f>Q430*(1+'What-If Analysis'!F445)</f>
        <v>935.98</v>
      </c>
      <c r="AE430" s="41">
        <f>W430*(1+'What-If Analysis'!$F$18)</f>
        <v>28.08</v>
      </c>
      <c r="AF430" s="42">
        <f t="shared" si="91"/>
        <v>48423.474215999995</v>
      </c>
      <c r="AG430" s="42">
        <f t="shared" si="92"/>
        <v>26282.3184</v>
      </c>
      <c r="AH430" s="42">
        <f t="shared" si="93"/>
        <v>22141.155815999995</v>
      </c>
      <c r="AI430" s="44">
        <f t="shared" si="94"/>
        <v>0.45724013351946058</v>
      </c>
      <c r="AJ430" s="42">
        <f t="shared" si="95"/>
        <v>7285.2122159999999</v>
      </c>
      <c r="AK430" s="42">
        <f t="shared" si="96"/>
        <v>18674.741999999995</v>
      </c>
      <c r="AL430" s="9">
        <f t="shared" si="97"/>
        <v>3.2894537362456733E-3</v>
      </c>
      <c r="AM430" s="42"/>
    </row>
    <row r="431" spans="1:39" x14ac:dyDescent="0.25">
      <c r="A431" t="s">
        <v>444</v>
      </c>
      <c r="B431" s="20">
        <v>45597</v>
      </c>
      <c r="C431" s="4">
        <v>45608</v>
      </c>
      <c r="D431" s="4" t="s">
        <v>1435</v>
      </c>
      <c r="E431" s="4">
        <v>45608</v>
      </c>
      <c r="F431" s="11">
        <f t="shared" si="84"/>
        <v>11</v>
      </c>
      <c r="G431" s="11" t="str">
        <f t="shared" si="87"/>
        <v>Does not Meet Target</v>
      </c>
      <c r="H431" t="s">
        <v>649</v>
      </c>
      <c r="I431" t="s">
        <v>656</v>
      </c>
      <c r="J431" t="s">
        <v>698</v>
      </c>
      <c r="K431" t="s">
        <v>704</v>
      </c>
      <c r="L431" t="s">
        <v>708</v>
      </c>
      <c r="M431" t="s">
        <v>717</v>
      </c>
      <c r="N431" t="s">
        <v>728</v>
      </c>
      <c r="O431" t="str" cm="1">
        <f t="array" ref="O431">_xlfn.IFS(S431&lt;=_xlfn.PERCENTILE.INC(IF(N431:N1061=N431, S431:S1061), 0.33), "Low", S431&lt;=_xlfn.PERCENTILE.INC(IF(N431:N1061=N431, S431:S1061), 0.66), "Medium", S431 &gt; _xlfn.PERCENTILE.INC(IF(N431:N1061=N431, S431:S1061), 0.66), "High")</f>
        <v>Medium</v>
      </c>
      <c r="P431" t="s">
        <v>1163</v>
      </c>
      <c r="Q431" s="6">
        <v>599.84</v>
      </c>
      <c r="R431" s="6">
        <v>1330.85</v>
      </c>
      <c r="S431" s="6">
        <v>1330.85</v>
      </c>
      <c r="T431" s="9">
        <v>0.115</v>
      </c>
      <c r="U431" s="9">
        <f>IF(T431&gt;0.3, $AO$4, T431)</f>
        <v>0.115</v>
      </c>
      <c r="V431" s="7" t="str">
        <f t="shared" si="88"/>
        <v>Less than 20%</v>
      </c>
      <c r="W431" s="11">
        <v>11</v>
      </c>
      <c r="X431" s="6">
        <f t="shared" si="85"/>
        <v>12955.824749999998</v>
      </c>
      <c r="Y431" s="6">
        <f t="shared" si="86"/>
        <v>6598.2400000000007</v>
      </c>
      <c r="Z431" s="6">
        <f t="shared" si="89"/>
        <v>6357.5847499999973</v>
      </c>
      <c r="AA431" s="9">
        <f t="shared" si="90"/>
        <v>0.49071246892252063</v>
      </c>
      <c r="AB431" s="9">
        <f>IF(U431&gt;'What-If Analysis'!$F$16, 'What-If Analysis'!$F$16,T431)</f>
        <v>0.115</v>
      </c>
      <c r="AC431" s="42">
        <f>S431*(1-AB431)</f>
        <v>1177.80225</v>
      </c>
      <c r="AD431" s="42">
        <f>Q431*(1+'What-If Analysis'!F446)</f>
        <v>599.84</v>
      </c>
      <c r="AE431" s="41">
        <f>W431*(1+'What-If Analysis'!$F$18)</f>
        <v>12.87</v>
      </c>
      <c r="AF431" s="42">
        <f t="shared" si="91"/>
        <v>15158.314957499999</v>
      </c>
      <c r="AG431" s="42">
        <f t="shared" si="92"/>
        <v>7719.9408000000003</v>
      </c>
      <c r="AH431" s="42">
        <f t="shared" si="93"/>
        <v>7438.3741574999985</v>
      </c>
      <c r="AI431" s="44">
        <f t="shared" si="94"/>
        <v>0.49071246892252068</v>
      </c>
      <c r="AJ431" s="42">
        <f t="shared" si="95"/>
        <v>2202.4902075000009</v>
      </c>
      <c r="AK431" s="42">
        <f t="shared" si="96"/>
        <v>6357.5847499999973</v>
      </c>
      <c r="AL431" s="9">
        <f t="shared" si="97"/>
        <v>0</v>
      </c>
      <c r="AM431" s="42"/>
    </row>
    <row r="432" spans="1:39" x14ac:dyDescent="0.25">
      <c r="A432" t="s">
        <v>445</v>
      </c>
      <c r="B432" s="20">
        <v>45654</v>
      </c>
      <c r="C432" s="4">
        <v>45665</v>
      </c>
      <c r="D432" s="4" t="s">
        <v>1435</v>
      </c>
      <c r="E432" s="4">
        <v>45665</v>
      </c>
      <c r="F432" s="11">
        <f t="shared" si="84"/>
        <v>11</v>
      </c>
      <c r="G432" s="11" t="str">
        <f t="shared" si="87"/>
        <v>Does not Meet Target</v>
      </c>
      <c r="H432" t="s">
        <v>647</v>
      </c>
      <c r="I432" t="s">
        <v>659</v>
      </c>
      <c r="J432" t="s">
        <v>676</v>
      </c>
      <c r="K432" t="s">
        <v>706</v>
      </c>
      <c r="L432" t="s">
        <v>708</v>
      </c>
      <c r="M432" t="s">
        <v>723</v>
      </c>
      <c r="N432" t="s">
        <v>731</v>
      </c>
      <c r="O432" t="str" cm="1">
        <f t="array" ref="O432">_xlfn.IFS(S432&lt;=_xlfn.PERCENTILE.INC(IF(N432:N1062=N432, S432:S1062), 0.33), "Low", S432&lt;=_xlfn.PERCENTILE.INC(IF(N432:N1062=N432, S432:S1062), 0.66), "Medium", S432 &gt; _xlfn.PERCENTILE.INC(IF(N432:N1062=N432, S432:S1062), 0.66), "High")</f>
        <v>High</v>
      </c>
      <c r="P432" t="s">
        <v>1164</v>
      </c>
      <c r="Q432" s="6">
        <v>1201.31</v>
      </c>
      <c r="R432" s="6">
        <v>2764.65</v>
      </c>
      <c r="S432" s="6">
        <v>2764.65</v>
      </c>
      <c r="T432" s="9">
        <v>0</v>
      </c>
      <c r="U432" s="9">
        <f>IF(T432&gt;0.3, $AO$4, T432)</f>
        <v>0</v>
      </c>
      <c r="V432" s="7" t="str">
        <f t="shared" si="88"/>
        <v>Less than 20%</v>
      </c>
      <c r="W432" s="11">
        <v>21</v>
      </c>
      <c r="X432" s="6">
        <f t="shared" si="85"/>
        <v>58057.65</v>
      </c>
      <c r="Y432" s="6">
        <f t="shared" si="86"/>
        <v>25227.51</v>
      </c>
      <c r="Z432" s="6">
        <f t="shared" si="89"/>
        <v>32830.14</v>
      </c>
      <c r="AA432" s="9">
        <f t="shared" si="90"/>
        <v>0.56547483406579491</v>
      </c>
      <c r="AB432" s="9">
        <f>IF(U432&gt;'What-If Analysis'!$F$16, 'What-If Analysis'!$F$16,T432)</f>
        <v>0</v>
      </c>
      <c r="AC432" s="42">
        <f>S432*(1-AB432)</f>
        <v>2764.65</v>
      </c>
      <c r="AD432" s="42">
        <f>Q432*(1+'What-If Analysis'!F447)</f>
        <v>1201.31</v>
      </c>
      <c r="AE432" s="41">
        <f>W432*(1+'What-If Analysis'!$F$18)</f>
        <v>24.57</v>
      </c>
      <c r="AF432" s="42">
        <f t="shared" si="91"/>
        <v>67927.450500000006</v>
      </c>
      <c r="AG432" s="42">
        <f t="shared" si="92"/>
        <v>29516.186699999998</v>
      </c>
      <c r="AH432" s="42">
        <f t="shared" si="93"/>
        <v>38411.263800000008</v>
      </c>
      <c r="AI432" s="44">
        <f t="shared" si="94"/>
        <v>0.56547483406579502</v>
      </c>
      <c r="AJ432" s="42">
        <f t="shared" si="95"/>
        <v>9869.8005000000048</v>
      </c>
      <c r="AK432" s="42">
        <f t="shared" si="96"/>
        <v>32830.14</v>
      </c>
      <c r="AL432" s="9">
        <f t="shared" si="97"/>
        <v>0</v>
      </c>
      <c r="AM432" s="42"/>
    </row>
    <row r="433" spans="1:39" x14ac:dyDescent="0.25">
      <c r="A433" t="s">
        <v>446</v>
      </c>
      <c r="B433" s="20">
        <v>45220</v>
      </c>
      <c r="C433" s="4">
        <v>45220</v>
      </c>
      <c r="D433" s="4" t="s">
        <v>1438</v>
      </c>
      <c r="E433" s="4">
        <v>45220</v>
      </c>
      <c r="F433" s="11">
        <f t="shared" si="84"/>
        <v>0</v>
      </c>
      <c r="G433" s="11" t="str">
        <f t="shared" si="87"/>
        <v>Meets Target</v>
      </c>
      <c r="H433" t="s">
        <v>649</v>
      </c>
      <c r="I433" t="s">
        <v>658</v>
      </c>
      <c r="J433" t="s">
        <v>693</v>
      </c>
      <c r="K433" t="s">
        <v>706</v>
      </c>
      <c r="L433" t="s">
        <v>710</v>
      </c>
      <c r="M433" t="s">
        <v>713</v>
      </c>
      <c r="N433" t="s">
        <v>732</v>
      </c>
      <c r="O433" t="str" cm="1">
        <f t="array" ref="O433">_xlfn.IFS(S433&lt;=_xlfn.PERCENTILE.INC(IF(N433:N1063=N433, S433:S1063), 0.33), "Low", S433&lt;=_xlfn.PERCENTILE.INC(IF(N433:N1063=N433, S433:S1063), 0.66), "Medium", S433 &gt; _xlfn.PERCENTILE.INC(IF(N433:N1063=N433, S433:S1063), 0.66), "High")</f>
        <v>Low</v>
      </c>
      <c r="P433" t="s">
        <v>1165</v>
      </c>
      <c r="Q433" s="6">
        <v>384.19</v>
      </c>
      <c r="R433" s="6">
        <v>278.35000000000002</v>
      </c>
      <c r="S433" s="6">
        <v>278.35000000000002</v>
      </c>
      <c r="T433" s="9">
        <v>5.6000000000000001E-2</v>
      </c>
      <c r="U433" s="9">
        <f>IF(T433&gt;0.3, $AO$4, T433)</f>
        <v>5.6000000000000001E-2</v>
      </c>
      <c r="V433" s="7" t="str">
        <f t="shared" si="88"/>
        <v>Less than 20%</v>
      </c>
      <c r="W433" s="11">
        <v>10</v>
      </c>
      <c r="X433" s="6">
        <f t="shared" si="85"/>
        <v>2627.6239999999998</v>
      </c>
      <c r="Y433" s="6">
        <f t="shared" si="86"/>
        <v>3841.9</v>
      </c>
      <c r="Z433" s="6">
        <f t="shared" si="89"/>
        <v>-1214.2760000000003</v>
      </c>
      <c r="AA433" s="9">
        <f t="shared" si="90"/>
        <v>-0.46211938998882657</v>
      </c>
      <c r="AB433" s="9">
        <f>IF(U433&gt;'What-If Analysis'!$F$16, 'What-If Analysis'!$F$16,T433)</f>
        <v>5.6000000000000001E-2</v>
      </c>
      <c r="AC433" s="42">
        <f>S433*(1-AB433)</f>
        <v>262.76240000000001</v>
      </c>
      <c r="AD433" s="42">
        <f>Q433*(1+'What-If Analysis'!F448)</f>
        <v>384.19</v>
      </c>
      <c r="AE433" s="41">
        <f>W433*(1+'What-If Analysis'!$F$18)</f>
        <v>11.7</v>
      </c>
      <c r="AF433" s="42">
        <f t="shared" si="91"/>
        <v>3074.32008</v>
      </c>
      <c r="AG433" s="42">
        <f t="shared" si="92"/>
        <v>4495.0230000000001</v>
      </c>
      <c r="AH433" s="42">
        <f t="shared" si="93"/>
        <v>-1420.7029200000002</v>
      </c>
      <c r="AI433" s="44">
        <f t="shared" si="94"/>
        <v>-0.46211938998882646</v>
      </c>
      <c r="AJ433" s="42">
        <f t="shared" si="95"/>
        <v>446.69608000000017</v>
      </c>
      <c r="AK433" s="42">
        <f t="shared" si="96"/>
        <v>-1214.2760000000003</v>
      </c>
      <c r="AL433" s="9">
        <f t="shared" si="97"/>
        <v>0</v>
      </c>
      <c r="AM433" s="42"/>
    </row>
    <row r="434" spans="1:39" x14ac:dyDescent="0.25">
      <c r="A434" t="s">
        <v>447</v>
      </c>
      <c r="B434" s="20">
        <v>45636</v>
      </c>
      <c r="C434" s="4">
        <v>45645</v>
      </c>
      <c r="D434" s="4" t="s">
        <v>1435</v>
      </c>
      <c r="E434" s="4">
        <v>45645</v>
      </c>
      <c r="F434" s="11">
        <f t="shared" si="84"/>
        <v>9</v>
      </c>
      <c r="G434" s="11" t="str">
        <f t="shared" si="87"/>
        <v>Does not Meet Target</v>
      </c>
      <c r="H434" t="s">
        <v>646</v>
      </c>
      <c r="I434" t="s">
        <v>651</v>
      </c>
      <c r="J434" t="s">
        <v>665</v>
      </c>
      <c r="K434" t="s">
        <v>701</v>
      </c>
      <c r="L434" t="s">
        <v>707</v>
      </c>
      <c r="M434" t="s">
        <v>719</v>
      </c>
      <c r="N434" t="s">
        <v>732</v>
      </c>
      <c r="O434" t="str" cm="1">
        <f t="array" ref="O434">_xlfn.IFS(S434&lt;=_xlfn.PERCENTILE.INC(IF(N434:N1064=N434, S434:S1064), 0.33), "Low", S434&lt;=_xlfn.PERCENTILE.INC(IF(N434:N1064=N434, S434:S1064), 0.66), "Medium", S434 &gt; _xlfn.PERCENTILE.INC(IF(N434:N1064=N434, S434:S1064), 0.66), "High")</f>
        <v>Medium</v>
      </c>
      <c r="P434" t="s">
        <v>1166</v>
      </c>
      <c r="Q434" s="6">
        <v>488.68</v>
      </c>
      <c r="R434" s="6">
        <v>984.36</v>
      </c>
      <c r="S434" s="6">
        <v>984.36</v>
      </c>
      <c r="T434" s="9">
        <v>5.8999999999999997E-2</v>
      </c>
      <c r="U434" s="9">
        <f>IF(T434&gt;0.3, $AO$4, T434)</f>
        <v>5.8999999999999997E-2</v>
      </c>
      <c r="V434" s="7" t="str">
        <f t="shared" si="88"/>
        <v>Less than 20%</v>
      </c>
      <c r="W434" s="11">
        <v>14</v>
      </c>
      <c r="X434" s="6">
        <f t="shared" si="85"/>
        <v>12967.958640000001</v>
      </c>
      <c r="Y434" s="6">
        <f t="shared" si="86"/>
        <v>6841.52</v>
      </c>
      <c r="Z434" s="6">
        <f t="shared" si="89"/>
        <v>6126.4386400000003</v>
      </c>
      <c r="AA434" s="9">
        <f t="shared" si="90"/>
        <v>0.47242891576649876</v>
      </c>
      <c r="AB434" s="9">
        <f>IF(U434&gt;'What-If Analysis'!$F$16, 'What-If Analysis'!$F$16,T434)</f>
        <v>5.8999999999999997E-2</v>
      </c>
      <c r="AC434" s="42">
        <f>S434*(1-AB434)</f>
        <v>926.28276000000005</v>
      </c>
      <c r="AD434" s="42">
        <f>Q434*(1+'What-If Analysis'!F449)</f>
        <v>488.68</v>
      </c>
      <c r="AE434" s="41">
        <f>W434*(1+'What-If Analysis'!$F$18)</f>
        <v>16.38</v>
      </c>
      <c r="AF434" s="42">
        <f t="shared" si="91"/>
        <v>15172.5116088</v>
      </c>
      <c r="AG434" s="42">
        <f t="shared" si="92"/>
        <v>8004.5783999999994</v>
      </c>
      <c r="AH434" s="42">
        <f t="shared" si="93"/>
        <v>7167.9332088000001</v>
      </c>
      <c r="AI434" s="44">
        <f t="shared" si="94"/>
        <v>0.47242891576649881</v>
      </c>
      <c r="AJ434" s="42">
        <f t="shared" si="95"/>
        <v>2204.5529687999988</v>
      </c>
      <c r="AK434" s="42">
        <f t="shared" si="96"/>
        <v>6126.4386400000003</v>
      </c>
      <c r="AL434" s="9">
        <f t="shared" si="97"/>
        <v>0</v>
      </c>
      <c r="AM434" s="42"/>
    </row>
    <row r="435" spans="1:39" x14ac:dyDescent="0.25">
      <c r="A435" t="s">
        <v>448</v>
      </c>
      <c r="B435" s="20">
        <v>45542</v>
      </c>
      <c r="C435" s="4">
        <v>45553</v>
      </c>
      <c r="D435" s="4" t="s">
        <v>1443</v>
      </c>
      <c r="E435" s="4">
        <v>45553</v>
      </c>
      <c r="F435" s="11">
        <f t="shared" si="84"/>
        <v>11</v>
      </c>
      <c r="G435" s="11" t="str">
        <f t="shared" si="87"/>
        <v>Does not Meet Target</v>
      </c>
      <c r="H435" t="s">
        <v>647</v>
      </c>
      <c r="I435" t="s">
        <v>659</v>
      </c>
      <c r="J435" t="s">
        <v>699</v>
      </c>
      <c r="K435" t="s">
        <v>704</v>
      </c>
      <c r="L435" t="s">
        <v>710</v>
      </c>
      <c r="M435" t="s">
        <v>719</v>
      </c>
      <c r="N435" t="s">
        <v>729</v>
      </c>
      <c r="O435" t="str" cm="1">
        <f t="array" ref="O435">_xlfn.IFS(S435&lt;=_xlfn.PERCENTILE.INC(IF(N435:N1065=N435, S435:S1065), 0.33), "Low", S435&lt;=_xlfn.PERCENTILE.INC(IF(N435:N1065=N435, S435:S1065), 0.66), "Medium", S435 &gt; _xlfn.PERCENTILE.INC(IF(N435:N1065=N435, S435:S1065), 0.66), "High")</f>
        <v>Low</v>
      </c>
      <c r="P435" t="s">
        <v>1167</v>
      </c>
      <c r="Q435" s="6">
        <v>181.74</v>
      </c>
      <c r="R435" s="6">
        <v>190.84</v>
      </c>
      <c r="S435" s="6">
        <v>190.84</v>
      </c>
      <c r="T435" s="9">
        <v>0.214</v>
      </c>
      <c r="U435" s="9">
        <f>IF(T435&gt;0.3, $AO$4, T435)</f>
        <v>0.214</v>
      </c>
      <c r="V435" s="7" t="str">
        <f t="shared" si="88"/>
        <v>Greater than 20%</v>
      </c>
      <c r="W435" s="11">
        <v>13</v>
      </c>
      <c r="X435" s="6">
        <f t="shared" si="85"/>
        <v>1950.0031200000001</v>
      </c>
      <c r="Y435" s="6">
        <f t="shared" si="86"/>
        <v>2362.62</v>
      </c>
      <c r="Z435" s="6">
        <f t="shared" si="89"/>
        <v>-412.61687999999981</v>
      </c>
      <c r="AA435" s="9">
        <f t="shared" si="90"/>
        <v>-0.21159806144310159</v>
      </c>
      <c r="AB435" s="9">
        <f>IF(U435&gt;'What-If Analysis'!$F$16, 'What-If Analysis'!$F$16,T435)</f>
        <v>0.17</v>
      </c>
      <c r="AC435" s="42">
        <f>S435*(1-AB435)</f>
        <v>158.3972</v>
      </c>
      <c r="AD435" s="42">
        <f>Q435*(1+'What-If Analysis'!F450)</f>
        <v>181.74</v>
      </c>
      <c r="AE435" s="41">
        <f>W435*(1+'What-If Analysis'!$F$18)</f>
        <v>15.209999999999999</v>
      </c>
      <c r="AF435" s="42">
        <f t="shared" si="91"/>
        <v>2409.2214119999999</v>
      </c>
      <c r="AG435" s="42">
        <f t="shared" si="92"/>
        <v>2764.2653999999998</v>
      </c>
      <c r="AH435" s="42">
        <f t="shared" si="93"/>
        <v>-355.0439879999999</v>
      </c>
      <c r="AI435" s="44">
        <f t="shared" si="94"/>
        <v>-0.14736876661961193</v>
      </c>
      <c r="AJ435" s="42">
        <f t="shared" si="95"/>
        <v>459.21829199999979</v>
      </c>
      <c r="AK435" s="42">
        <f t="shared" si="96"/>
        <v>-412.61687999999981</v>
      </c>
      <c r="AL435" s="9">
        <f t="shared" si="97"/>
        <v>6.4229294823489658E-2</v>
      </c>
      <c r="AM435" s="42"/>
    </row>
    <row r="436" spans="1:39" x14ac:dyDescent="0.25">
      <c r="A436" t="s">
        <v>449</v>
      </c>
      <c r="B436" s="20">
        <v>45217</v>
      </c>
      <c r="C436" s="4">
        <v>45219</v>
      </c>
      <c r="D436" s="4" t="s">
        <v>1438</v>
      </c>
      <c r="E436" s="4">
        <v>45219</v>
      </c>
      <c r="F436" s="11">
        <f t="shared" si="84"/>
        <v>2</v>
      </c>
      <c r="G436" s="11" t="str">
        <f t="shared" si="87"/>
        <v>Meets Target</v>
      </c>
      <c r="H436" t="s">
        <v>646</v>
      </c>
      <c r="I436" t="s">
        <v>650</v>
      </c>
      <c r="J436" t="s">
        <v>662</v>
      </c>
      <c r="K436" t="s">
        <v>704</v>
      </c>
      <c r="L436" t="s">
        <v>707</v>
      </c>
      <c r="M436" t="s">
        <v>713</v>
      </c>
      <c r="N436" t="s">
        <v>730</v>
      </c>
      <c r="O436" t="str" cm="1">
        <f t="array" ref="O436">_xlfn.IFS(S436&lt;=_xlfn.PERCENTILE.INC(IF(N436:N1066=N436, S436:S1066), 0.33), "Low", S436&lt;=_xlfn.PERCENTILE.INC(IF(N436:N1066=N436, S436:S1066), 0.66), "Medium", S436 &gt; _xlfn.PERCENTILE.INC(IF(N436:N1066=N436, S436:S1066), 0.66), "High")</f>
        <v>Medium</v>
      </c>
      <c r="P436" t="s">
        <v>1168</v>
      </c>
      <c r="Q436" s="6">
        <v>774.12</v>
      </c>
      <c r="R436" s="6">
        <v>908.3</v>
      </c>
      <c r="S436" s="6">
        <v>908.3</v>
      </c>
      <c r="T436" s="9">
        <v>0</v>
      </c>
      <c r="U436" s="9">
        <f>IF(T436&gt;0.3, $AO$4, T436)</f>
        <v>0</v>
      </c>
      <c r="V436" s="7" t="str">
        <f t="shared" si="88"/>
        <v>Less than 20%</v>
      </c>
      <c r="W436" s="11">
        <v>30</v>
      </c>
      <c r="X436" s="6">
        <f t="shared" si="85"/>
        <v>27249</v>
      </c>
      <c r="Y436" s="6">
        <f t="shared" si="86"/>
        <v>23223.599999999999</v>
      </c>
      <c r="Z436" s="6">
        <f t="shared" si="89"/>
        <v>4025.4000000000015</v>
      </c>
      <c r="AA436" s="9">
        <f t="shared" si="90"/>
        <v>0.14772652207420461</v>
      </c>
      <c r="AB436" s="9">
        <f>IF(U436&gt;'What-If Analysis'!$F$16, 'What-If Analysis'!$F$16,T436)</f>
        <v>0</v>
      </c>
      <c r="AC436" s="42">
        <f>S436*(1-AB436)</f>
        <v>908.3</v>
      </c>
      <c r="AD436" s="42">
        <f>Q436*(1+'What-If Analysis'!F451)</f>
        <v>774.12</v>
      </c>
      <c r="AE436" s="41">
        <f>W436*(1+'What-If Analysis'!$F$18)</f>
        <v>35.099999999999994</v>
      </c>
      <c r="AF436" s="42">
        <f t="shared" si="91"/>
        <v>31881.329999999994</v>
      </c>
      <c r="AG436" s="42">
        <f t="shared" si="92"/>
        <v>27171.611999999997</v>
      </c>
      <c r="AH436" s="42">
        <f t="shared" si="93"/>
        <v>4709.7179999999971</v>
      </c>
      <c r="AI436" s="44">
        <f t="shared" si="94"/>
        <v>0.1477265220742045</v>
      </c>
      <c r="AJ436" s="42">
        <f t="shared" si="95"/>
        <v>4632.3299999999945</v>
      </c>
      <c r="AK436" s="42">
        <f t="shared" si="96"/>
        <v>4025.4000000000015</v>
      </c>
      <c r="AL436" s="9">
        <f t="shared" si="97"/>
        <v>0</v>
      </c>
      <c r="AM436" s="42"/>
    </row>
    <row r="437" spans="1:39" x14ac:dyDescent="0.25">
      <c r="A437" t="s">
        <v>450</v>
      </c>
      <c r="B437" s="20">
        <v>45650</v>
      </c>
      <c r="C437" s="4">
        <v>45670</v>
      </c>
      <c r="D437" s="4" t="s">
        <v>1435</v>
      </c>
      <c r="E437" s="4">
        <v>45670</v>
      </c>
      <c r="F437" s="11">
        <f t="shared" si="84"/>
        <v>20</v>
      </c>
      <c r="G437" s="11" t="str">
        <f t="shared" si="87"/>
        <v>Does not Meet Target</v>
      </c>
      <c r="H437" t="s">
        <v>647</v>
      </c>
      <c r="I437" t="s">
        <v>654</v>
      </c>
      <c r="J437" t="s">
        <v>668</v>
      </c>
      <c r="K437" t="s">
        <v>701</v>
      </c>
      <c r="L437" t="s">
        <v>709</v>
      </c>
      <c r="M437" t="s">
        <v>726</v>
      </c>
      <c r="N437" t="s">
        <v>729</v>
      </c>
      <c r="O437" t="str" cm="1">
        <f t="array" ref="O437">_xlfn.IFS(S437&lt;=_xlfn.PERCENTILE.INC(IF(N437:N1067=N437, S437:S1067), 0.33), "Low", S437&lt;=_xlfn.PERCENTILE.INC(IF(N437:N1067=N437, S437:S1067), 0.66), "Medium", S437 &gt; _xlfn.PERCENTILE.INC(IF(N437:N1067=N437, S437:S1067), 0.66), "High")</f>
        <v>Low</v>
      </c>
      <c r="P437" t="s">
        <v>1169</v>
      </c>
      <c r="Q437" s="6">
        <v>126.15</v>
      </c>
      <c r="R437" s="6">
        <v>284.23</v>
      </c>
      <c r="S437" s="6">
        <v>284.23</v>
      </c>
      <c r="T437" s="9">
        <v>0.113</v>
      </c>
      <c r="U437" s="9">
        <f>IF(T437&gt;0.3, $AO$4, T437)</f>
        <v>0.113</v>
      </c>
      <c r="V437" s="7" t="str">
        <f t="shared" si="88"/>
        <v>Less than 20%</v>
      </c>
      <c r="W437" s="11">
        <v>22</v>
      </c>
      <c r="X437" s="6">
        <f t="shared" si="85"/>
        <v>5546.4642200000008</v>
      </c>
      <c r="Y437" s="6">
        <f t="shared" si="86"/>
        <v>2775.3</v>
      </c>
      <c r="Z437" s="6">
        <f t="shared" si="89"/>
        <v>2771.1642200000006</v>
      </c>
      <c r="AA437" s="9">
        <f t="shared" si="90"/>
        <v>0.49962716968541088</v>
      </c>
      <c r="AB437" s="9">
        <f>IF(U437&gt;'What-If Analysis'!$F$16, 'What-If Analysis'!$F$16,T437)</f>
        <v>0.113</v>
      </c>
      <c r="AC437" s="42">
        <f>S437*(1-AB437)</f>
        <v>252.11201000000003</v>
      </c>
      <c r="AD437" s="42">
        <f>Q437*(1+'What-If Analysis'!F452)</f>
        <v>126.15</v>
      </c>
      <c r="AE437" s="41">
        <f>W437*(1+'What-If Analysis'!$F$18)</f>
        <v>25.74</v>
      </c>
      <c r="AF437" s="42">
        <f t="shared" si="91"/>
        <v>6489.3631374000006</v>
      </c>
      <c r="AG437" s="42">
        <f t="shared" si="92"/>
        <v>3247.1010000000001</v>
      </c>
      <c r="AH437" s="42">
        <f t="shared" si="93"/>
        <v>3242.2621374000005</v>
      </c>
      <c r="AI437" s="44">
        <f t="shared" si="94"/>
        <v>0.49962716968541088</v>
      </c>
      <c r="AJ437" s="42">
        <f t="shared" si="95"/>
        <v>942.89891739999985</v>
      </c>
      <c r="AK437" s="42">
        <f t="shared" si="96"/>
        <v>2771.1642200000006</v>
      </c>
      <c r="AL437" s="9">
        <f t="shared" si="97"/>
        <v>0</v>
      </c>
      <c r="AM437" s="42"/>
    </row>
    <row r="438" spans="1:39" x14ac:dyDescent="0.25">
      <c r="A438" t="s">
        <v>451</v>
      </c>
      <c r="B438" s="20">
        <v>45037</v>
      </c>
      <c r="C438" s="4">
        <v>45035</v>
      </c>
      <c r="D438" s="4" t="s">
        <v>1442</v>
      </c>
      <c r="E438" s="4">
        <v>45055</v>
      </c>
      <c r="F438" s="11">
        <f t="shared" si="84"/>
        <v>18</v>
      </c>
      <c r="G438" s="11" t="str">
        <f t="shared" si="87"/>
        <v>Does not Meet Target</v>
      </c>
      <c r="H438" t="s">
        <v>647</v>
      </c>
      <c r="I438" t="s">
        <v>652</v>
      </c>
      <c r="J438" t="s">
        <v>694</v>
      </c>
      <c r="K438" t="s">
        <v>705</v>
      </c>
      <c r="L438" t="s">
        <v>711</v>
      </c>
      <c r="M438" t="s">
        <v>724</v>
      </c>
      <c r="N438" t="s">
        <v>727</v>
      </c>
      <c r="O438" t="str" cm="1">
        <f t="array" ref="O438">_xlfn.IFS(S438&lt;=_xlfn.PERCENTILE.INC(IF(N438:N1068=N438, S438:S1068), 0.33), "Low", S438&lt;=_xlfn.PERCENTILE.INC(IF(N438:N1068=N438, S438:S1068), 0.66), "Medium", S438 &gt; _xlfn.PERCENTILE.INC(IF(N438:N1068=N438, S438:S1068), 0.66), "High")</f>
        <v>Medium</v>
      </c>
      <c r="P438" t="s">
        <v>1170</v>
      </c>
      <c r="Q438" s="6">
        <v>607.04</v>
      </c>
      <c r="R438" s="6">
        <v>1229.3399999999999</v>
      </c>
      <c r="S438" s="6">
        <v>1229.3399999999999</v>
      </c>
      <c r="T438" s="9">
        <v>0.14699999999999999</v>
      </c>
      <c r="U438" s="9">
        <f>IF(T438&gt;0.3, $AO$4, T438)</f>
        <v>0.14699999999999999</v>
      </c>
      <c r="V438" s="7" t="str">
        <f t="shared" si="88"/>
        <v>Less than 20%</v>
      </c>
      <c r="W438" s="11">
        <v>7</v>
      </c>
      <c r="X438" s="6">
        <f t="shared" si="85"/>
        <v>7340.3891399999993</v>
      </c>
      <c r="Y438" s="6">
        <f t="shared" si="86"/>
        <v>4249.28</v>
      </c>
      <c r="Z438" s="6">
        <f t="shared" si="89"/>
        <v>3091.1091399999996</v>
      </c>
      <c r="AA438" s="9">
        <f t="shared" si="90"/>
        <v>0.42110970972310058</v>
      </c>
      <c r="AB438" s="9">
        <f>IF(U438&gt;'What-If Analysis'!$F$16, 'What-If Analysis'!$F$16,T438)</f>
        <v>0.14699999999999999</v>
      </c>
      <c r="AC438" s="42">
        <f>S438*(1-AB438)</f>
        <v>1048.6270199999999</v>
      </c>
      <c r="AD438" s="42">
        <f>Q438*(1+'What-If Analysis'!F453)</f>
        <v>607.04</v>
      </c>
      <c r="AE438" s="41">
        <f>W438*(1+'What-If Analysis'!$F$18)</f>
        <v>8.19</v>
      </c>
      <c r="AF438" s="42">
        <f t="shared" si="91"/>
        <v>8588.255293799999</v>
      </c>
      <c r="AG438" s="42">
        <f t="shared" si="92"/>
        <v>4971.6575999999995</v>
      </c>
      <c r="AH438" s="42">
        <f t="shared" si="93"/>
        <v>3616.5976937999994</v>
      </c>
      <c r="AI438" s="44">
        <f t="shared" si="94"/>
        <v>0.42110970972310058</v>
      </c>
      <c r="AJ438" s="42">
        <f t="shared" si="95"/>
        <v>1247.8661537999997</v>
      </c>
      <c r="AK438" s="42">
        <f t="shared" si="96"/>
        <v>3091.1091399999996</v>
      </c>
      <c r="AL438" s="9">
        <f t="shared" si="97"/>
        <v>0</v>
      </c>
      <c r="AM438" s="42"/>
    </row>
    <row r="439" spans="1:39" x14ac:dyDescent="0.25">
      <c r="A439" t="s">
        <v>452</v>
      </c>
      <c r="B439" s="20">
        <v>45290</v>
      </c>
      <c r="C439" s="4">
        <v>45299</v>
      </c>
      <c r="D439" s="4" t="s">
        <v>1438</v>
      </c>
      <c r="E439" s="4">
        <v>45299</v>
      </c>
      <c r="F439" s="11">
        <f t="shared" si="84"/>
        <v>9</v>
      </c>
      <c r="G439" s="11" t="str">
        <f t="shared" si="87"/>
        <v>Does not Meet Target</v>
      </c>
      <c r="H439" t="s">
        <v>649</v>
      </c>
      <c r="I439" t="s">
        <v>657</v>
      </c>
      <c r="J439" t="s">
        <v>673</v>
      </c>
      <c r="K439" t="s">
        <v>704</v>
      </c>
      <c r="L439" t="s">
        <v>709</v>
      </c>
      <c r="M439" t="s">
        <v>716</v>
      </c>
      <c r="N439" t="s">
        <v>733</v>
      </c>
      <c r="O439" t="str" cm="1">
        <f t="array" ref="O439">_xlfn.IFS(S439&lt;=_xlfn.PERCENTILE.INC(IF(N439:N1069=N439, S439:S1069), 0.33), "Low", S439&lt;=_xlfn.PERCENTILE.INC(IF(N439:N1069=N439, S439:S1069), 0.66), "Medium", S439 &gt; _xlfn.PERCENTILE.INC(IF(N439:N1069=N439, S439:S1069), 0.66), "High")</f>
        <v>Medium</v>
      </c>
      <c r="P439" t="s">
        <v>1171</v>
      </c>
      <c r="Q439" s="6">
        <v>861.1</v>
      </c>
      <c r="R439" s="6">
        <v>1224.72</v>
      </c>
      <c r="S439" s="6">
        <v>1224.72</v>
      </c>
      <c r="T439" s="9">
        <v>0.17399999999999999</v>
      </c>
      <c r="U439" s="9">
        <f>IF(T439&gt;0.3, $AO$4, T439)</f>
        <v>0.17399999999999999</v>
      </c>
      <c r="V439" s="7" t="str">
        <f t="shared" si="88"/>
        <v>Less than 20%</v>
      </c>
      <c r="W439" s="11">
        <v>24</v>
      </c>
      <c r="X439" s="6">
        <f t="shared" si="85"/>
        <v>24278.849280000002</v>
      </c>
      <c r="Y439" s="6">
        <f t="shared" si="86"/>
        <v>20666.400000000001</v>
      </c>
      <c r="Z439" s="6">
        <f t="shared" si="89"/>
        <v>3612.4492800000007</v>
      </c>
      <c r="AA439" s="9">
        <f t="shared" si="90"/>
        <v>0.14878997098827909</v>
      </c>
      <c r="AB439" s="9">
        <f>IF(U439&gt;'What-If Analysis'!$F$16, 'What-If Analysis'!$F$16,T439)</f>
        <v>0.17</v>
      </c>
      <c r="AC439" s="42">
        <f>S439*(1-AB439)</f>
        <v>1016.5176</v>
      </c>
      <c r="AD439" s="42">
        <f>Q439*(1+'What-If Analysis'!F454)</f>
        <v>861.1</v>
      </c>
      <c r="AE439" s="41">
        <f>W439*(1+'What-If Analysis'!$F$18)</f>
        <v>28.08</v>
      </c>
      <c r="AF439" s="42">
        <f t="shared" si="91"/>
        <v>28543.814208</v>
      </c>
      <c r="AG439" s="42">
        <f t="shared" si="92"/>
        <v>24179.687999999998</v>
      </c>
      <c r="AH439" s="42">
        <f t="shared" si="93"/>
        <v>4364.1262080000015</v>
      </c>
      <c r="AI439" s="44">
        <f t="shared" si="94"/>
        <v>0.1528921879955645</v>
      </c>
      <c r="AJ439" s="42">
        <f t="shared" si="95"/>
        <v>4264.9649279999976</v>
      </c>
      <c r="AK439" s="42">
        <f t="shared" si="96"/>
        <v>3612.4492800000007</v>
      </c>
      <c r="AL439" s="9">
        <f t="shared" si="97"/>
        <v>4.1022170072854136E-3</v>
      </c>
      <c r="AM439" s="42"/>
    </row>
    <row r="440" spans="1:39" x14ac:dyDescent="0.25">
      <c r="A440" t="s">
        <v>453</v>
      </c>
      <c r="B440" s="20">
        <v>44978</v>
      </c>
      <c r="C440" s="4">
        <v>44997</v>
      </c>
      <c r="D440" s="4" t="s">
        <v>1436</v>
      </c>
      <c r="E440" s="4">
        <v>44997</v>
      </c>
      <c r="F440" s="11">
        <f t="shared" si="84"/>
        <v>19</v>
      </c>
      <c r="G440" s="11" t="str">
        <f t="shared" si="87"/>
        <v>Does not Meet Target</v>
      </c>
      <c r="H440" t="s">
        <v>646</v>
      </c>
      <c r="I440" t="s">
        <v>650</v>
      </c>
      <c r="J440" t="s">
        <v>678</v>
      </c>
      <c r="K440" t="s">
        <v>701</v>
      </c>
      <c r="L440" t="s">
        <v>708</v>
      </c>
      <c r="M440" t="s">
        <v>721</v>
      </c>
      <c r="N440" t="s">
        <v>729</v>
      </c>
      <c r="O440" t="str" cm="1">
        <f t="array" ref="O440">_xlfn.IFS(S440&lt;=_xlfn.PERCENTILE.INC(IF(N440:N1070=N440, S440:S1070), 0.33), "Low", S440&lt;=_xlfn.PERCENTILE.INC(IF(N440:N1070=N440, S440:S1070), 0.66), "Medium", S440 &gt; _xlfn.PERCENTILE.INC(IF(N440:N1070=N440, S440:S1070), 0.66), "High")</f>
        <v>Low</v>
      </c>
      <c r="P440" t="s">
        <v>1172</v>
      </c>
      <c r="Q440" s="6">
        <v>352.65</v>
      </c>
      <c r="R440" s="6">
        <v>485.86</v>
      </c>
      <c r="S440" s="6">
        <v>485.86</v>
      </c>
      <c r="T440" s="9">
        <v>4.1000000000000002E-2</v>
      </c>
      <c r="U440" s="9">
        <f>IF(T440&gt;0.3, $AO$4, T440)</f>
        <v>4.1000000000000002E-2</v>
      </c>
      <c r="V440" s="7" t="str">
        <f t="shared" si="88"/>
        <v>Less than 20%</v>
      </c>
      <c r="W440" s="11">
        <v>6</v>
      </c>
      <c r="X440" s="6">
        <f t="shared" si="85"/>
        <v>2795.6384399999997</v>
      </c>
      <c r="Y440" s="6">
        <f t="shared" si="86"/>
        <v>2115.8999999999996</v>
      </c>
      <c r="Z440" s="6">
        <f t="shared" si="89"/>
        <v>679.73844000000008</v>
      </c>
      <c r="AA440" s="9">
        <f t="shared" si="90"/>
        <v>0.24314247159943908</v>
      </c>
      <c r="AB440" s="9">
        <f>IF(U440&gt;'What-If Analysis'!$F$16, 'What-If Analysis'!$F$16,T440)</f>
        <v>4.1000000000000002E-2</v>
      </c>
      <c r="AC440" s="42">
        <f>S440*(1-AB440)</f>
        <v>465.93973999999997</v>
      </c>
      <c r="AD440" s="42">
        <f>Q440*(1+'What-If Analysis'!F455)</f>
        <v>352.65</v>
      </c>
      <c r="AE440" s="41">
        <f>W440*(1+'What-If Analysis'!$F$18)</f>
        <v>7.02</v>
      </c>
      <c r="AF440" s="42">
        <f t="shared" si="91"/>
        <v>3270.8969747999995</v>
      </c>
      <c r="AG440" s="42">
        <f t="shared" si="92"/>
        <v>2475.6029999999996</v>
      </c>
      <c r="AH440" s="42">
        <f t="shared" si="93"/>
        <v>795.29397479999989</v>
      </c>
      <c r="AI440" s="44">
        <f t="shared" si="94"/>
        <v>0.24314247159943903</v>
      </c>
      <c r="AJ440" s="42">
        <f t="shared" si="95"/>
        <v>475.25853479999978</v>
      </c>
      <c r="AK440" s="42">
        <f t="shared" si="96"/>
        <v>679.73844000000008</v>
      </c>
      <c r="AL440" s="9">
        <f t="shared" si="97"/>
        <v>0</v>
      </c>
      <c r="AM440" s="42"/>
    </row>
    <row r="441" spans="1:39" x14ac:dyDescent="0.25">
      <c r="A441" t="s">
        <v>454</v>
      </c>
      <c r="B441" s="20">
        <v>45063</v>
      </c>
      <c r="C441" s="4">
        <v>45080</v>
      </c>
      <c r="D441" s="4" t="s">
        <v>1442</v>
      </c>
      <c r="E441" s="4">
        <v>45080</v>
      </c>
      <c r="F441" s="11">
        <f t="shared" si="84"/>
        <v>17</v>
      </c>
      <c r="G441" s="11" t="str">
        <f t="shared" si="87"/>
        <v>Does not Meet Target</v>
      </c>
      <c r="H441" t="s">
        <v>647</v>
      </c>
      <c r="I441" t="s">
        <v>659</v>
      </c>
      <c r="J441" t="s">
        <v>699</v>
      </c>
      <c r="K441" t="s">
        <v>703</v>
      </c>
      <c r="L441" t="s">
        <v>710</v>
      </c>
      <c r="M441" t="s">
        <v>724</v>
      </c>
      <c r="N441" t="s">
        <v>728</v>
      </c>
      <c r="O441" t="str" cm="1">
        <f t="array" ref="O441">_xlfn.IFS(S441&lt;=_xlfn.PERCENTILE.INC(IF(N441:N1071=N441, S441:S1071), 0.33), "Low", S441&lt;=_xlfn.PERCENTILE.INC(IF(N441:N1071=N441, S441:S1071), 0.66), "Medium", S441 &gt; _xlfn.PERCENTILE.INC(IF(N441:N1071=N441, S441:S1071), 0.66), "High")</f>
        <v>High</v>
      </c>
      <c r="P441" t="s">
        <v>1173</v>
      </c>
      <c r="Q441" s="6">
        <v>979.59</v>
      </c>
      <c r="R441" s="6">
        <v>2210.94</v>
      </c>
      <c r="S441" s="6">
        <v>2210.94</v>
      </c>
      <c r="T441" s="9">
        <v>0.15</v>
      </c>
      <c r="U441" s="9">
        <f>IF(T441&gt;0.3, $AO$4, T441)</f>
        <v>0.15</v>
      </c>
      <c r="V441" s="7" t="str">
        <f t="shared" si="88"/>
        <v>Less than 20%</v>
      </c>
      <c r="W441" s="11">
        <v>11</v>
      </c>
      <c r="X441" s="6">
        <f t="shared" si="85"/>
        <v>20672.289000000001</v>
      </c>
      <c r="Y441" s="6">
        <f t="shared" si="86"/>
        <v>10775.49</v>
      </c>
      <c r="Z441" s="6">
        <f t="shared" si="89"/>
        <v>9896.7990000000009</v>
      </c>
      <c r="AA441" s="9">
        <f t="shared" si="90"/>
        <v>0.47874712858358359</v>
      </c>
      <c r="AB441" s="9">
        <f>IF(U441&gt;'What-If Analysis'!$F$16, 'What-If Analysis'!$F$16,T441)</f>
        <v>0.15</v>
      </c>
      <c r="AC441" s="42">
        <f>S441*(1-AB441)</f>
        <v>1879.299</v>
      </c>
      <c r="AD441" s="42">
        <f>Q441*(1+'What-If Analysis'!F456)</f>
        <v>979.59</v>
      </c>
      <c r="AE441" s="41">
        <f>W441*(1+'What-If Analysis'!$F$18)</f>
        <v>12.87</v>
      </c>
      <c r="AF441" s="42">
        <f t="shared" si="91"/>
        <v>24186.578129999998</v>
      </c>
      <c r="AG441" s="42">
        <f t="shared" si="92"/>
        <v>12607.3233</v>
      </c>
      <c r="AH441" s="42">
        <f t="shared" si="93"/>
        <v>11579.254829999998</v>
      </c>
      <c r="AI441" s="44">
        <f t="shared" si="94"/>
        <v>0.47874712858358354</v>
      </c>
      <c r="AJ441" s="42">
        <f t="shared" si="95"/>
        <v>3514.2891299999974</v>
      </c>
      <c r="AK441" s="42">
        <f t="shared" si="96"/>
        <v>9896.7990000000009</v>
      </c>
      <c r="AL441" s="9">
        <f t="shared" si="97"/>
        <v>0</v>
      </c>
      <c r="AM441" s="42"/>
    </row>
    <row r="442" spans="1:39" x14ac:dyDescent="0.25">
      <c r="A442" t="s">
        <v>455</v>
      </c>
      <c r="B442" s="20">
        <v>45374</v>
      </c>
      <c r="C442" s="4">
        <v>45377</v>
      </c>
      <c r="D442" s="4" t="s">
        <v>1434</v>
      </c>
      <c r="E442" s="4">
        <v>45377</v>
      </c>
      <c r="F442" s="11">
        <f t="shared" si="84"/>
        <v>3</v>
      </c>
      <c r="G442" s="11" t="str">
        <f t="shared" si="87"/>
        <v>Meets Target</v>
      </c>
      <c r="H442" t="s">
        <v>647</v>
      </c>
      <c r="I442" t="s">
        <v>654</v>
      </c>
      <c r="J442" t="s">
        <v>668</v>
      </c>
      <c r="K442" t="s">
        <v>702</v>
      </c>
      <c r="L442" t="s">
        <v>711</v>
      </c>
      <c r="M442" t="s">
        <v>715</v>
      </c>
      <c r="N442" t="s">
        <v>730</v>
      </c>
      <c r="O442" t="str" cm="1">
        <f t="array" ref="O442">_xlfn.IFS(S442&lt;=_xlfn.PERCENTILE.INC(IF(N442:N1072=N442, S442:S1072), 0.33), "Low", S442&lt;=_xlfn.PERCENTILE.INC(IF(N442:N1072=N442, S442:S1072), 0.66), "Medium", S442 &gt; _xlfn.PERCENTILE.INC(IF(N442:N1072=N442, S442:S1072), 0.66), "High")</f>
        <v>Low</v>
      </c>
      <c r="P442" t="s">
        <v>1174</v>
      </c>
      <c r="Q442" s="6">
        <v>382.21</v>
      </c>
      <c r="R442" s="6">
        <v>571.89</v>
      </c>
      <c r="S442" s="6">
        <v>571.89</v>
      </c>
      <c r="T442" s="9">
        <v>0.14799999999999999</v>
      </c>
      <c r="U442" s="9">
        <f>IF(T442&gt;0.3, $AO$4, T442)</f>
        <v>0.14799999999999999</v>
      </c>
      <c r="V442" s="7" t="str">
        <f t="shared" si="88"/>
        <v>Less than 20%</v>
      </c>
      <c r="W442" s="11">
        <v>26</v>
      </c>
      <c r="X442" s="6">
        <f t="shared" si="85"/>
        <v>12668.50728</v>
      </c>
      <c r="Y442" s="6">
        <f t="shared" si="86"/>
        <v>9937.4599999999991</v>
      </c>
      <c r="Z442" s="6">
        <f t="shared" si="89"/>
        <v>2731.0472800000007</v>
      </c>
      <c r="AA442" s="9">
        <f t="shared" si="90"/>
        <v>0.2155776698578809</v>
      </c>
      <c r="AB442" s="9">
        <f>IF(U442&gt;'What-If Analysis'!$F$16, 'What-If Analysis'!$F$16,T442)</f>
        <v>0.14799999999999999</v>
      </c>
      <c r="AC442" s="42">
        <f>S442*(1-AB442)</f>
        <v>487.25027999999998</v>
      </c>
      <c r="AD442" s="42">
        <f>Q442*(1+'What-If Analysis'!F457)</f>
        <v>382.21</v>
      </c>
      <c r="AE442" s="41">
        <f>W442*(1+'What-If Analysis'!$F$18)</f>
        <v>30.419999999999998</v>
      </c>
      <c r="AF442" s="42">
        <f t="shared" si="91"/>
        <v>14822.153517599998</v>
      </c>
      <c r="AG442" s="42">
        <f t="shared" si="92"/>
        <v>11626.828199999998</v>
      </c>
      <c r="AH442" s="42">
        <f t="shared" si="93"/>
        <v>3195.3253175999998</v>
      </c>
      <c r="AI442" s="44">
        <f t="shared" si="94"/>
        <v>0.21557766985788085</v>
      </c>
      <c r="AJ442" s="42">
        <f t="shared" si="95"/>
        <v>2153.6462375999981</v>
      </c>
      <c r="AK442" s="42">
        <f t="shared" si="96"/>
        <v>2731.0472800000007</v>
      </c>
      <c r="AL442" s="9">
        <f t="shared" si="97"/>
        <v>0</v>
      </c>
      <c r="AM442" s="42"/>
    </row>
    <row r="443" spans="1:39" x14ac:dyDescent="0.25">
      <c r="A443" t="s">
        <v>456</v>
      </c>
      <c r="B443" s="20">
        <v>45189</v>
      </c>
      <c r="C443" s="4">
        <v>45197</v>
      </c>
      <c r="D443" s="4" t="s">
        <v>1444</v>
      </c>
      <c r="E443" s="4">
        <v>45197</v>
      </c>
      <c r="F443" s="11">
        <f t="shared" si="84"/>
        <v>8</v>
      </c>
      <c r="G443" s="11" t="str">
        <f t="shared" si="87"/>
        <v>Does not Meet Target</v>
      </c>
      <c r="H443" t="s">
        <v>647</v>
      </c>
      <c r="I443" t="s">
        <v>654</v>
      </c>
      <c r="J443" t="s">
        <v>1422</v>
      </c>
      <c r="K443" t="s">
        <v>701</v>
      </c>
      <c r="L443" t="s">
        <v>1422</v>
      </c>
      <c r="M443" t="s">
        <v>717</v>
      </c>
      <c r="N443" t="s">
        <v>733</v>
      </c>
      <c r="O443" t="str" cm="1">
        <f t="array" ref="O443">_xlfn.IFS(S443&lt;=_xlfn.PERCENTILE.INC(IF(N443:N1073=N443, S443:S1073), 0.33), "Low", S443&lt;=_xlfn.PERCENTILE.INC(IF(N443:N1073=N443, S443:S1073), 0.66), "Medium", S443 &gt; _xlfn.PERCENTILE.INC(IF(N443:N1073=N443, S443:S1073), 0.66), "High")</f>
        <v>High</v>
      </c>
      <c r="P443" t="s">
        <v>1175</v>
      </c>
      <c r="Q443" s="6">
        <v>1362.06</v>
      </c>
      <c r="R443" s="6">
        <v>3398.37</v>
      </c>
      <c r="S443" s="6">
        <v>3398.37</v>
      </c>
      <c r="T443" s="9">
        <v>0.157</v>
      </c>
      <c r="U443" s="9">
        <f>IF(T443&gt;0.3, $AO$4, T443)</f>
        <v>0.157</v>
      </c>
      <c r="V443" s="7" t="str">
        <f t="shared" si="88"/>
        <v>Less than 20%</v>
      </c>
      <c r="W443" s="11">
        <v>11</v>
      </c>
      <c r="X443" s="6">
        <f t="shared" si="85"/>
        <v>31513.085009999999</v>
      </c>
      <c r="Y443" s="6">
        <f t="shared" si="86"/>
        <v>14982.66</v>
      </c>
      <c r="Z443" s="6">
        <f t="shared" si="89"/>
        <v>16530.425009999999</v>
      </c>
      <c r="AA443" s="9">
        <f t="shared" si="90"/>
        <v>0.52455749745714919</v>
      </c>
      <c r="AB443" s="9">
        <f>IF(U443&gt;'What-If Analysis'!$F$16, 'What-If Analysis'!$F$16,T443)</f>
        <v>0.157</v>
      </c>
      <c r="AC443" s="42">
        <f>S443*(1-AB443)</f>
        <v>2864.82591</v>
      </c>
      <c r="AD443" s="42">
        <f>Q443*(1+'What-If Analysis'!F458)</f>
        <v>1362.06</v>
      </c>
      <c r="AE443" s="41">
        <f>W443*(1+'What-If Analysis'!$F$18)</f>
        <v>12.87</v>
      </c>
      <c r="AF443" s="42">
        <f t="shared" si="91"/>
        <v>36870.309461699995</v>
      </c>
      <c r="AG443" s="42">
        <f t="shared" si="92"/>
        <v>17529.712199999998</v>
      </c>
      <c r="AH443" s="42">
        <f t="shared" si="93"/>
        <v>19340.597261699997</v>
      </c>
      <c r="AI443" s="44">
        <f t="shared" si="94"/>
        <v>0.52455749745714919</v>
      </c>
      <c r="AJ443" s="42">
        <f t="shared" si="95"/>
        <v>5357.2244516999963</v>
      </c>
      <c r="AK443" s="42">
        <f t="shared" si="96"/>
        <v>16530.425009999999</v>
      </c>
      <c r="AL443" s="9">
        <f t="shared" si="97"/>
        <v>0</v>
      </c>
      <c r="AM443" s="42"/>
    </row>
    <row r="444" spans="1:39" x14ac:dyDescent="0.25">
      <c r="A444" t="s">
        <v>457</v>
      </c>
      <c r="B444" s="20">
        <v>45526</v>
      </c>
      <c r="C444" s="4">
        <v>45539</v>
      </c>
      <c r="D444" s="4" t="s">
        <v>1443</v>
      </c>
      <c r="E444" s="4">
        <v>45539</v>
      </c>
      <c r="F444" s="11">
        <f t="shared" si="84"/>
        <v>13</v>
      </c>
      <c r="G444" s="11" t="str">
        <f t="shared" si="87"/>
        <v>Does not Meet Target</v>
      </c>
      <c r="H444" t="s">
        <v>649</v>
      </c>
      <c r="I444" t="s">
        <v>656</v>
      </c>
      <c r="J444" t="s">
        <v>698</v>
      </c>
      <c r="K444" t="s">
        <v>703</v>
      </c>
      <c r="L444" t="s">
        <v>707</v>
      </c>
      <c r="M444" t="s">
        <v>716</v>
      </c>
      <c r="N444" t="s">
        <v>728</v>
      </c>
      <c r="O444" t="str" cm="1">
        <f t="array" ref="O444">_xlfn.IFS(S444&lt;=_xlfn.PERCENTILE.INC(IF(N444:N1074=N444, S444:S1074), 0.33), "Low", S444&lt;=_xlfn.PERCENTILE.INC(IF(N444:N1074=N444, S444:S1074), 0.66), "Medium", S444 &gt; _xlfn.PERCENTILE.INC(IF(N444:N1074=N444, S444:S1074), 0.66), "High")</f>
        <v>Low</v>
      </c>
      <c r="P444" t="s">
        <v>1176</v>
      </c>
      <c r="Q444" s="6">
        <v>90.04</v>
      </c>
      <c r="R444" s="6">
        <v>194.62</v>
      </c>
      <c r="S444" s="6">
        <v>194.62</v>
      </c>
      <c r="T444" s="9">
        <v>4.2999999999999997E-2</v>
      </c>
      <c r="U444" s="9">
        <f>IF(T444&gt;0.3, $AO$4, T444)</f>
        <v>4.2999999999999997E-2</v>
      </c>
      <c r="V444" s="7" t="str">
        <f t="shared" si="88"/>
        <v>Less than 20%</v>
      </c>
      <c r="W444" s="11">
        <v>32</v>
      </c>
      <c r="X444" s="6">
        <f t="shared" si="85"/>
        <v>5960.04288</v>
      </c>
      <c r="Y444" s="6">
        <f t="shared" si="86"/>
        <v>2881.28</v>
      </c>
      <c r="Z444" s="6">
        <f t="shared" si="89"/>
        <v>3078.7628799999998</v>
      </c>
      <c r="AA444" s="9">
        <f t="shared" si="90"/>
        <v>0.51656723650954672</v>
      </c>
      <c r="AB444" s="9">
        <f>IF(U444&gt;'What-If Analysis'!$F$16, 'What-If Analysis'!$F$16,T444)</f>
        <v>4.2999999999999997E-2</v>
      </c>
      <c r="AC444" s="42">
        <f>S444*(1-AB444)</f>
        <v>186.25134</v>
      </c>
      <c r="AD444" s="42">
        <f>Q444*(1+'What-If Analysis'!F459)</f>
        <v>90.04</v>
      </c>
      <c r="AE444" s="41">
        <f>W444*(1+'What-If Analysis'!$F$18)</f>
        <v>37.44</v>
      </c>
      <c r="AF444" s="42">
        <f t="shared" si="91"/>
        <v>6973.2501695999999</v>
      </c>
      <c r="AG444" s="42">
        <f t="shared" si="92"/>
        <v>3371.0976000000001</v>
      </c>
      <c r="AH444" s="42">
        <f t="shared" si="93"/>
        <v>3602.1525695999999</v>
      </c>
      <c r="AI444" s="44">
        <f t="shared" si="94"/>
        <v>0.51656723650954672</v>
      </c>
      <c r="AJ444" s="42">
        <f t="shared" si="95"/>
        <v>1013.2072896</v>
      </c>
      <c r="AK444" s="42">
        <f t="shared" si="96"/>
        <v>3078.7628799999998</v>
      </c>
      <c r="AL444" s="9">
        <f t="shared" si="97"/>
        <v>0</v>
      </c>
      <c r="AM444" s="42"/>
    </row>
    <row r="445" spans="1:39" x14ac:dyDescent="0.25">
      <c r="A445" t="s">
        <v>458</v>
      </c>
      <c r="B445" s="20">
        <v>45560</v>
      </c>
      <c r="C445" s="4">
        <v>45568</v>
      </c>
      <c r="D445" s="4" t="s">
        <v>1443</v>
      </c>
      <c r="E445" s="4">
        <v>45568</v>
      </c>
      <c r="F445" s="11">
        <f t="shared" si="84"/>
        <v>8</v>
      </c>
      <c r="G445" s="11" t="str">
        <f t="shared" si="87"/>
        <v>Does not Meet Target</v>
      </c>
      <c r="H445" t="s">
        <v>648</v>
      </c>
      <c r="I445" t="s">
        <v>653</v>
      </c>
      <c r="J445" t="s">
        <v>667</v>
      </c>
      <c r="K445" t="s">
        <v>704</v>
      </c>
      <c r="L445" t="s">
        <v>708</v>
      </c>
      <c r="M445" t="s">
        <v>718</v>
      </c>
      <c r="N445" t="s">
        <v>728</v>
      </c>
      <c r="O445" t="str" cm="1">
        <f t="array" ref="O445">_xlfn.IFS(S445&lt;=_xlfn.PERCENTILE.INC(IF(N445:N1075=N445, S445:S1075), 0.33), "Low", S445&lt;=_xlfn.PERCENTILE.INC(IF(N445:N1075=N445, S445:S1075), 0.66), "Medium", S445 &gt; _xlfn.PERCENTILE.INC(IF(N445:N1075=N445, S445:S1075), 0.66), "High")</f>
        <v>Medium</v>
      </c>
      <c r="P445" t="s">
        <v>1177</v>
      </c>
      <c r="Q445" s="6">
        <v>558.19000000000005</v>
      </c>
      <c r="R445" s="6">
        <v>1031.6400000000001</v>
      </c>
      <c r="S445" s="6">
        <v>1031.6400000000001</v>
      </c>
      <c r="T445" s="9">
        <v>0</v>
      </c>
      <c r="U445" s="9">
        <f>IF(T445&gt;0.3, $AO$4, T445)</f>
        <v>0</v>
      </c>
      <c r="V445" s="7" t="str">
        <f t="shared" si="88"/>
        <v>Less than 20%</v>
      </c>
      <c r="W445" s="11">
        <v>21</v>
      </c>
      <c r="X445" s="6">
        <f t="shared" si="85"/>
        <v>21664.440000000002</v>
      </c>
      <c r="Y445" s="6">
        <f t="shared" si="86"/>
        <v>11721.990000000002</v>
      </c>
      <c r="Z445" s="6">
        <f t="shared" si="89"/>
        <v>9942.4500000000007</v>
      </c>
      <c r="AA445" s="9">
        <f t="shared" si="90"/>
        <v>0.45892947152107322</v>
      </c>
      <c r="AB445" s="9">
        <f>IF(U445&gt;'What-If Analysis'!$F$16, 'What-If Analysis'!$F$16,T445)</f>
        <v>0</v>
      </c>
      <c r="AC445" s="42">
        <f>S445*(1-AB445)</f>
        <v>1031.6400000000001</v>
      </c>
      <c r="AD445" s="42">
        <f>Q445*(1+'What-If Analysis'!F460)</f>
        <v>558.19000000000005</v>
      </c>
      <c r="AE445" s="41">
        <f>W445*(1+'What-If Analysis'!$F$18)</f>
        <v>24.57</v>
      </c>
      <c r="AF445" s="42">
        <f t="shared" si="91"/>
        <v>25347.394800000002</v>
      </c>
      <c r="AG445" s="42">
        <f t="shared" si="92"/>
        <v>13714.728300000001</v>
      </c>
      <c r="AH445" s="42">
        <f t="shared" si="93"/>
        <v>11632.666500000001</v>
      </c>
      <c r="AI445" s="44">
        <f t="shared" si="94"/>
        <v>0.45892947152107327</v>
      </c>
      <c r="AJ445" s="42">
        <f t="shared" si="95"/>
        <v>3682.9547999999995</v>
      </c>
      <c r="AK445" s="42">
        <f t="shared" si="96"/>
        <v>9942.4500000000007</v>
      </c>
      <c r="AL445" s="9">
        <f t="shared" si="97"/>
        <v>0</v>
      </c>
      <c r="AM445" s="42"/>
    </row>
    <row r="446" spans="1:39" x14ac:dyDescent="0.25">
      <c r="A446" t="s">
        <v>459</v>
      </c>
      <c r="B446" s="20">
        <v>45090</v>
      </c>
      <c r="C446" s="4">
        <v>45101</v>
      </c>
      <c r="D446" s="4" t="s">
        <v>1442</v>
      </c>
      <c r="E446" s="4">
        <v>45101</v>
      </c>
      <c r="F446" s="11">
        <f t="shared" si="84"/>
        <v>11</v>
      </c>
      <c r="G446" s="11" t="str">
        <f t="shared" si="87"/>
        <v>Does not Meet Target</v>
      </c>
      <c r="H446" t="s">
        <v>648</v>
      </c>
      <c r="I446" t="s">
        <v>653</v>
      </c>
      <c r="J446" t="s">
        <v>667</v>
      </c>
      <c r="K446" t="s">
        <v>701</v>
      </c>
      <c r="L446" t="s">
        <v>708</v>
      </c>
      <c r="M446" t="s">
        <v>712</v>
      </c>
      <c r="N446" t="s">
        <v>728</v>
      </c>
      <c r="O446" t="str" cm="1">
        <f t="array" ref="O446">_xlfn.IFS(S446&lt;=_xlfn.PERCENTILE.INC(IF(N446:N1076=N446, S446:S1076), 0.33), "Low", S446&lt;=_xlfn.PERCENTILE.INC(IF(N446:N1076=N446, S446:S1076), 0.66), "Medium", S446 &gt; _xlfn.PERCENTILE.INC(IF(N446:N1076=N446, S446:S1076), 0.66), "High")</f>
        <v>Low</v>
      </c>
      <c r="P446" t="s">
        <v>1178</v>
      </c>
      <c r="Q446" s="6">
        <v>247.07</v>
      </c>
      <c r="R446" s="6">
        <v>495.19</v>
      </c>
      <c r="S446" s="6">
        <v>495.19</v>
      </c>
      <c r="T446" s="9">
        <v>2.8000000000000001E-2</v>
      </c>
      <c r="U446" s="9">
        <f>IF(T446&gt;0.3, $AO$4, T446)</f>
        <v>2.8000000000000001E-2</v>
      </c>
      <c r="V446" s="7" t="str">
        <f t="shared" si="88"/>
        <v>Less than 20%</v>
      </c>
      <c r="W446" s="11">
        <v>4</v>
      </c>
      <c r="X446" s="6">
        <f t="shared" si="85"/>
        <v>1925.29872</v>
      </c>
      <c r="Y446" s="6">
        <f t="shared" si="86"/>
        <v>988.28</v>
      </c>
      <c r="Z446" s="6">
        <f t="shared" si="89"/>
        <v>937.01872000000003</v>
      </c>
      <c r="AA446" s="9">
        <f t="shared" si="90"/>
        <v>0.48668744764968214</v>
      </c>
      <c r="AB446" s="9">
        <f>IF(U446&gt;'What-If Analysis'!$F$16, 'What-If Analysis'!$F$16,T446)</f>
        <v>2.8000000000000001E-2</v>
      </c>
      <c r="AC446" s="42">
        <f>S446*(1-AB446)</f>
        <v>481.32468</v>
      </c>
      <c r="AD446" s="42">
        <f>Q446*(1+'What-If Analysis'!F461)</f>
        <v>247.07</v>
      </c>
      <c r="AE446" s="41">
        <f>W446*(1+'What-If Analysis'!$F$18)</f>
        <v>4.68</v>
      </c>
      <c r="AF446" s="42">
        <f t="shared" si="91"/>
        <v>2252.5995023999999</v>
      </c>
      <c r="AG446" s="42">
        <f t="shared" si="92"/>
        <v>1156.2875999999999</v>
      </c>
      <c r="AH446" s="42">
        <f t="shared" si="93"/>
        <v>1096.3119024</v>
      </c>
      <c r="AI446" s="44">
        <f t="shared" si="94"/>
        <v>0.48668744764968214</v>
      </c>
      <c r="AJ446" s="42">
        <f t="shared" si="95"/>
        <v>327.30078239999989</v>
      </c>
      <c r="AK446" s="42">
        <f t="shared" si="96"/>
        <v>937.01872000000003</v>
      </c>
      <c r="AL446" s="9">
        <f t="shared" si="97"/>
        <v>0</v>
      </c>
      <c r="AM446" s="42"/>
    </row>
    <row r="447" spans="1:39" x14ac:dyDescent="0.25">
      <c r="A447" t="s">
        <v>460</v>
      </c>
      <c r="B447" s="20">
        <v>45284</v>
      </c>
      <c r="C447" s="4">
        <v>45304</v>
      </c>
      <c r="D447" s="4" t="s">
        <v>1438</v>
      </c>
      <c r="E447" s="4">
        <v>45304</v>
      </c>
      <c r="F447" s="11">
        <f t="shared" si="84"/>
        <v>20</v>
      </c>
      <c r="G447" s="11" t="str">
        <f t="shared" si="87"/>
        <v>Does not Meet Target</v>
      </c>
      <c r="H447" t="s">
        <v>647</v>
      </c>
      <c r="I447" t="s">
        <v>652</v>
      </c>
      <c r="J447" t="s">
        <v>694</v>
      </c>
      <c r="K447" t="s">
        <v>702</v>
      </c>
      <c r="L447" t="s">
        <v>711</v>
      </c>
      <c r="M447" t="s">
        <v>717</v>
      </c>
      <c r="N447" t="s">
        <v>731</v>
      </c>
      <c r="O447" t="str" cm="1">
        <f t="array" ref="O447">_xlfn.IFS(S447&lt;=_xlfn.PERCENTILE.INC(IF(N447:N1077=N447, S447:S1077), 0.33), "Low", S447&lt;=_xlfn.PERCENTILE.INC(IF(N447:N1077=N447, S447:S1077), 0.66), "Medium", S447 &gt; _xlfn.PERCENTILE.INC(IF(N447:N1077=N447, S447:S1077), 0.66), "High")</f>
        <v>Medium</v>
      </c>
      <c r="P447" t="s">
        <v>1179</v>
      </c>
      <c r="Q447" s="6">
        <v>625.37</v>
      </c>
      <c r="R447" s="6">
        <v>1319.04</v>
      </c>
      <c r="S447" s="6">
        <v>1319.04</v>
      </c>
      <c r="T447" s="9">
        <v>7.3999999999999996E-2</v>
      </c>
      <c r="U447" s="9">
        <f>IF(T447&gt;0.3, $AO$4, T447)</f>
        <v>7.3999999999999996E-2</v>
      </c>
      <c r="V447" s="7" t="str">
        <f t="shared" si="88"/>
        <v>Less than 20%</v>
      </c>
      <c r="W447" s="11">
        <v>8</v>
      </c>
      <c r="X447" s="6">
        <f t="shared" si="85"/>
        <v>9771.4483199999995</v>
      </c>
      <c r="Y447" s="6">
        <f t="shared" si="86"/>
        <v>5002.96</v>
      </c>
      <c r="Z447" s="6">
        <f t="shared" si="89"/>
        <v>4768.4883199999995</v>
      </c>
      <c r="AA447" s="9">
        <f t="shared" si="90"/>
        <v>0.48800220436513547</v>
      </c>
      <c r="AB447" s="9">
        <f>IF(U447&gt;'What-If Analysis'!$F$16, 'What-If Analysis'!$F$16,T447)</f>
        <v>7.3999999999999996E-2</v>
      </c>
      <c r="AC447" s="42">
        <f>S447*(1-AB447)</f>
        <v>1221.4310399999999</v>
      </c>
      <c r="AD447" s="42">
        <f>Q447*(1+'What-If Analysis'!F462)</f>
        <v>625.37</v>
      </c>
      <c r="AE447" s="41">
        <f>W447*(1+'What-If Analysis'!$F$18)</f>
        <v>9.36</v>
      </c>
      <c r="AF447" s="42">
        <f t="shared" si="91"/>
        <v>11432.594534399999</v>
      </c>
      <c r="AG447" s="42">
        <f t="shared" si="92"/>
        <v>5853.4631999999992</v>
      </c>
      <c r="AH447" s="42">
        <f t="shared" si="93"/>
        <v>5579.1313344</v>
      </c>
      <c r="AI447" s="44">
        <f t="shared" si="94"/>
        <v>0.48800220436513553</v>
      </c>
      <c r="AJ447" s="42">
        <f t="shared" si="95"/>
        <v>1661.1462143999997</v>
      </c>
      <c r="AK447" s="42">
        <f t="shared" si="96"/>
        <v>4768.4883199999995</v>
      </c>
      <c r="AL447" s="9">
        <f t="shared" si="97"/>
        <v>0</v>
      </c>
      <c r="AM447" s="42"/>
    </row>
    <row r="448" spans="1:39" x14ac:dyDescent="0.25">
      <c r="A448" t="s">
        <v>461</v>
      </c>
      <c r="B448" s="20">
        <v>45746</v>
      </c>
      <c r="C448" s="4">
        <v>45776</v>
      </c>
      <c r="D448" s="4" t="s">
        <v>1437</v>
      </c>
      <c r="E448" s="4">
        <v>45776</v>
      </c>
      <c r="F448" s="11">
        <f t="shared" si="84"/>
        <v>30</v>
      </c>
      <c r="G448" s="11" t="str">
        <f t="shared" si="87"/>
        <v>Does not Meet Target</v>
      </c>
      <c r="H448" t="s">
        <v>646</v>
      </c>
      <c r="I448" t="s">
        <v>661</v>
      </c>
      <c r="J448" t="s">
        <v>687</v>
      </c>
      <c r="K448" t="s">
        <v>704</v>
      </c>
      <c r="L448" t="s">
        <v>709</v>
      </c>
      <c r="M448" t="s">
        <v>713</v>
      </c>
      <c r="N448" t="s">
        <v>732</v>
      </c>
      <c r="O448" t="str" cm="1">
        <f t="array" ref="O448">_xlfn.IFS(S448&lt;=_xlfn.PERCENTILE.INC(IF(N448:N1078=N448, S448:S1078), 0.33), "Low", S448&lt;=_xlfn.PERCENTILE.INC(IF(N448:N1078=N448, S448:S1078), 0.66), "Medium", S448 &gt; _xlfn.PERCENTILE.INC(IF(N448:N1078=N448, S448:S1078), 0.66), "High")</f>
        <v>Low</v>
      </c>
      <c r="P448" t="s">
        <v>1180</v>
      </c>
      <c r="Q448" s="6">
        <v>194.6</v>
      </c>
      <c r="R448" s="6">
        <v>314.87</v>
      </c>
      <c r="S448" s="6">
        <v>314.87</v>
      </c>
      <c r="T448" s="9">
        <v>0.29299999999999998</v>
      </c>
      <c r="U448" s="9">
        <f>IF(T448&gt;0.3, $AO$4, T448)</f>
        <v>0.29299999999999998</v>
      </c>
      <c r="V448" s="7" t="str">
        <f t="shared" si="88"/>
        <v>Greater than 20%</v>
      </c>
      <c r="W448" s="11">
        <v>25</v>
      </c>
      <c r="X448" s="6">
        <f t="shared" si="85"/>
        <v>5565.3272500000003</v>
      </c>
      <c r="Y448" s="6">
        <f t="shared" si="86"/>
        <v>4865</v>
      </c>
      <c r="Z448" s="6">
        <f t="shared" si="89"/>
        <v>700.32725000000028</v>
      </c>
      <c r="AA448" s="9">
        <f t="shared" si="90"/>
        <v>0.1258375686712763</v>
      </c>
      <c r="AB448" s="9">
        <f>IF(U448&gt;'What-If Analysis'!$F$16, 'What-If Analysis'!$F$16,T448)</f>
        <v>0.17</v>
      </c>
      <c r="AC448" s="42">
        <f>S448*(1-AB448)</f>
        <v>261.34210000000002</v>
      </c>
      <c r="AD448" s="42">
        <f>Q448*(1+'What-If Analysis'!F463)</f>
        <v>194.6</v>
      </c>
      <c r="AE448" s="41">
        <f>W448*(1+'What-If Analysis'!$F$18)</f>
        <v>29.25</v>
      </c>
      <c r="AF448" s="42">
        <f t="shared" si="91"/>
        <v>7644.2564250000005</v>
      </c>
      <c r="AG448" s="42">
        <f t="shared" si="92"/>
        <v>5692.05</v>
      </c>
      <c r="AH448" s="42">
        <f t="shared" si="93"/>
        <v>1952.2064250000003</v>
      </c>
      <c r="AI448" s="44">
        <f t="shared" si="94"/>
        <v>0.25538212174770158</v>
      </c>
      <c r="AJ448" s="42">
        <f t="shared" si="95"/>
        <v>2078.9291750000002</v>
      </c>
      <c r="AK448" s="42">
        <f t="shared" si="96"/>
        <v>700.32725000000028</v>
      </c>
      <c r="AL448" s="9">
        <f t="shared" si="97"/>
        <v>0.12954455307642529</v>
      </c>
      <c r="AM448" s="42"/>
    </row>
    <row r="449" spans="1:39" x14ac:dyDescent="0.25">
      <c r="A449" t="s">
        <v>462</v>
      </c>
      <c r="B449" s="20">
        <v>45446</v>
      </c>
      <c r="C449" s="4">
        <v>45467</v>
      </c>
      <c r="D449" s="4" t="s">
        <v>1439</v>
      </c>
      <c r="E449" s="4">
        <v>45467</v>
      </c>
      <c r="F449" s="11">
        <f t="shared" si="84"/>
        <v>21</v>
      </c>
      <c r="G449" s="11" t="str">
        <f t="shared" si="87"/>
        <v>Does not Meet Target</v>
      </c>
      <c r="H449" t="s">
        <v>648</v>
      </c>
      <c r="I449" t="s">
        <v>653</v>
      </c>
      <c r="J449" t="s">
        <v>667</v>
      </c>
      <c r="K449" t="s">
        <v>705</v>
      </c>
      <c r="L449" t="s">
        <v>711</v>
      </c>
      <c r="M449" t="s">
        <v>715</v>
      </c>
      <c r="N449" t="s">
        <v>732</v>
      </c>
      <c r="O449" t="str" cm="1">
        <f t="array" ref="O449">_xlfn.IFS(S449&lt;=_xlfn.PERCENTILE.INC(IF(N449:N1079=N449, S449:S1079), 0.33), "Low", S449&lt;=_xlfn.PERCENTILE.INC(IF(N449:N1079=N449, S449:S1079), 0.66), "Medium", S449 &gt; _xlfn.PERCENTILE.INC(IF(N449:N1079=N449, S449:S1079), 0.66), "High")</f>
        <v>High</v>
      </c>
      <c r="P449" t="s">
        <v>1181</v>
      </c>
      <c r="Q449" s="6">
        <v>1205.5</v>
      </c>
      <c r="R449" s="6">
        <v>2210.17</v>
      </c>
      <c r="S449" s="6">
        <v>2210.17</v>
      </c>
      <c r="T449" s="9">
        <v>0.104</v>
      </c>
      <c r="U449" s="9">
        <f>IF(T449&gt;0.3, $AO$4, T449)</f>
        <v>0.104</v>
      </c>
      <c r="V449" s="7" t="str">
        <f t="shared" si="88"/>
        <v>Less than 20%</v>
      </c>
      <c r="W449" s="11">
        <v>23</v>
      </c>
      <c r="X449" s="6">
        <f t="shared" si="85"/>
        <v>45547.183360000003</v>
      </c>
      <c r="Y449" s="6">
        <f t="shared" si="86"/>
        <v>27726.5</v>
      </c>
      <c r="Z449" s="6">
        <f t="shared" si="89"/>
        <v>17820.683360000003</v>
      </c>
      <c r="AA449" s="9">
        <f t="shared" si="90"/>
        <v>0.39125763758314652</v>
      </c>
      <c r="AB449" s="9">
        <f>IF(U449&gt;'What-If Analysis'!$F$16, 'What-If Analysis'!$F$16,T449)</f>
        <v>0.104</v>
      </c>
      <c r="AC449" s="42">
        <f>S449*(1-AB449)</f>
        <v>1980.31232</v>
      </c>
      <c r="AD449" s="42">
        <f>Q449*(1+'What-If Analysis'!F464)</f>
        <v>1205.5</v>
      </c>
      <c r="AE449" s="41">
        <f>W449*(1+'What-If Analysis'!$F$18)</f>
        <v>26.909999999999997</v>
      </c>
      <c r="AF449" s="42">
        <f t="shared" si="91"/>
        <v>53290.20453119999</v>
      </c>
      <c r="AG449" s="42">
        <f t="shared" si="92"/>
        <v>32440.004999999997</v>
      </c>
      <c r="AH449" s="42">
        <f t="shared" si="93"/>
        <v>20850.199531199993</v>
      </c>
      <c r="AI449" s="44">
        <f t="shared" si="94"/>
        <v>0.39125763758314641</v>
      </c>
      <c r="AJ449" s="42">
        <f t="shared" si="95"/>
        <v>7743.0211711999873</v>
      </c>
      <c r="AK449" s="42">
        <f t="shared" si="96"/>
        <v>17820.683360000003</v>
      </c>
      <c r="AL449" s="9">
        <f t="shared" si="97"/>
        <v>0</v>
      </c>
      <c r="AM449" s="42"/>
    </row>
    <row r="450" spans="1:39" x14ac:dyDescent="0.25">
      <c r="A450" t="s">
        <v>463</v>
      </c>
      <c r="B450" s="20">
        <v>45454</v>
      </c>
      <c r="C450" s="4">
        <v>45482</v>
      </c>
      <c r="D450" s="4" t="s">
        <v>1439</v>
      </c>
      <c r="E450" s="4">
        <v>45482</v>
      </c>
      <c r="F450" s="11">
        <f t="shared" ref="F450:F513" si="98">E450-B450</f>
        <v>28</v>
      </c>
      <c r="G450" s="11" t="str">
        <f t="shared" si="87"/>
        <v>Does not Meet Target</v>
      </c>
      <c r="H450" t="s">
        <v>646</v>
      </c>
      <c r="I450" t="s">
        <v>651</v>
      </c>
      <c r="J450" t="s">
        <v>663</v>
      </c>
      <c r="K450" t="s">
        <v>701</v>
      </c>
      <c r="L450" t="s">
        <v>709</v>
      </c>
      <c r="M450" t="s">
        <v>714</v>
      </c>
      <c r="N450" t="s">
        <v>730</v>
      </c>
      <c r="O450" t="str" cm="1">
        <f t="array" ref="O450">_xlfn.IFS(S450&lt;=_xlfn.PERCENTILE.INC(IF(N450:N1080=N450, S450:S1080), 0.33), "Low", S450&lt;=_xlfn.PERCENTILE.INC(IF(N450:N1080=N450, S450:S1080), 0.66), "Medium", S450 &gt; _xlfn.PERCENTILE.INC(IF(N450:N1080=N450, S450:S1080), 0.66), "High")</f>
        <v>Medium</v>
      </c>
      <c r="P450" t="s">
        <v>1182</v>
      </c>
      <c r="Q450" s="6">
        <v>895.54</v>
      </c>
      <c r="R450" s="6">
        <v>1045</v>
      </c>
      <c r="S450" s="6">
        <v>1045</v>
      </c>
      <c r="T450" s="9">
        <v>0.216</v>
      </c>
      <c r="U450" s="9">
        <f>IF(T450&gt;0.3, $AO$4, T450)</f>
        <v>0.216</v>
      </c>
      <c r="V450" s="7" t="str">
        <f t="shared" si="88"/>
        <v>Greater than 20%</v>
      </c>
      <c r="W450" s="11">
        <v>15</v>
      </c>
      <c r="X450" s="6">
        <f t="shared" ref="X450:X513" si="99">S450*W450*(1-U450)</f>
        <v>12289.2</v>
      </c>
      <c r="Y450" s="6">
        <f t="shared" ref="Y450:Y513" si="100">Q450*W450</f>
        <v>13433.099999999999</v>
      </c>
      <c r="Z450" s="6">
        <f t="shared" si="89"/>
        <v>-1143.8999999999978</v>
      </c>
      <c r="AA450" s="9">
        <f t="shared" si="90"/>
        <v>-9.3081730299775234E-2</v>
      </c>
      <c r="AB450" s="9">
        <f>IF(U450&gt;'What-If Analysis'!$F$16, 'What-If Analysis'!$F$16,T450)</f>
        <v>0.17</v>
      </c>
      <c r="AC450" s="42">
        <f>S450*(1-AB450)</f>
        <v>867.34999999999991</v>
      </c>
      <c r="AD450" s="42">
        <f>Q450*(1+'What-If Analysis'!F465)</f>
        <v>895.54</v>
      </c>
      <c r="AE450" s="41">
        <f>W450*(1+'What-If Analysis'!$F$18)</f>
        <v>17.549999999999997</v>
      </c>
      <c r="AF450" s="42">
        <f t="shared" si="91"/>
        <v>15221.992499999997</v>
      </c>
      <c r="AG450" s="42">
        <f t="shared" si="92"/>
        <v>15716.726999999997</v>
      </c>
      <c r="AH450" s="42">
        <f t="shared" si="93"/>
        <v>-494.73450000000048</v>
      </c>
      <c r="AI450" s="44">
        <f t="shared" si="94"/>
        <v>-3.2501297054245731E-2</v>
      </c>
      <c r="AJ450" s="42">
        <f t="shared" si="95"/>
        <v>2932.7924999999959</v>
      </c>
      <c r="AK450" s="42">
        <f t="shared" si="96"/>
        <v>-1143.8999999999978</v>
      </c>
      <c r="AL450" s="9">
        <f t="shared" si="97"/>
        <v>6.0580433245529502E-2</v>
      </c>
      <c r="AM450" s="42"/>
    </row>
    <row r="451" spans="1:39" x14ac:dyDescent="0.25">
      <c r="A451" t="s">
        <v>464</v>
      </c>
      <c r="B451" s="20">
        <v>45129</v>
      </c>
      <c r="C451" s="4">
        <v>45128</v>
      </c>
      <c r="D451" s="4" t="s">
        <v>1444</v>
      </c>
      <c r="E451" s="4">
        <v>45148</v>
      </c>
      <c r="F451" s="11">
        <f t="shared" si="98"/>
        <v>19</v>
      </c>
      <c r="G451" s="11" t="str">
        <f t="shared" ref="G451:G514" si="101">IF(F451&lt;=7, "Meets Target", "Does not Meet Target")</f>
        <v>Does not Meet Target</v>
      </c>
      <c r="H451" t="s">
        <v>647</v>
      </c>
      <c r="I451" t="s">
        <v>654</v>
      </c>
      <c r="J451" t="s">
        <v>680</v>
      </c>
      <c r="K451" t="s">
        <v>705</v>
      </c>
      <c r="L451" t="s">
        <v>710</v>
      </c>
      <c r="M451" t="s">
        <v>718</v>
      </c>
      <c r="N451" t="s">
        <v>728</v>
      </c>
      <c r="O451" t="str" cm="1">
        <f t="array" ref="O451">_xlfn.IFS(S451&lt;=_xlfn.PERCENTILE.INC(IF(N451:N1081=N451, S451:S1081), 0.33), "Low", S451&lt;=_xlfn.PERCENTILE.INC(IF(N451:N1081=N451, S451:S1081), 0.66), "Medium", S451 &gt; _xlfn.PERCENTILE.INC(IF(N451:N1081=N451, S451:S1081), 0.66), "High")</f>
        <v>High</v>
      </c>
      <c r="P451" t="s">
        <v>1183</v>
      </c>
      <c r="Q451" s="6">
        <v>946.99</v>
      </c>
      <c r="R451" s="6">
        <v>2132.19</v>
      </c>
      <c r="S451" s="6">
        <v>2132.19</v>
      </c>
      <c r="T451" s="9">
        <v>0.16500000000000001</v>
      </c>
      <c r="U451" s="9">
        <f>IF(T451&gt;0.3, $AO$4, T451)</f>
        <v>0.16500000000000001</v>
      </c>
      <c r="V451" s="7" t="str">
        <f t="shared" ref="V451:V514" si="102">IF(U451&gt;20%, "Greater than 20%", "Less than 20%")</f>
        <v>Less than 20%</v>
      </c>
      <c r="W451" s="11">
        <v>7</v>
      </c>
      <c r="X451" s="6">
        <f t="shared" si="99"/>
        <v>12462.65055</v>
      </c>
      <c r="Y451" s="6">
        <f t="shared" si="100"/>
        <v>6628.93</v>
      </c>
      <c r="Z451" s="6">
        <f t="shared" ref="Z451:Z514" si="103">X451-Y451</f>
        <v>5833.72055</v>
      </c>
      <c r="AA451" s="9">
        <f t="shared" ref="AA451:AA514" si="104">IF(X451=0, 0, Z451/X451)</f>
        <v>0.46809629513362228</v>
      </c>
      <c r="AB451" s="9">
        <f>IF(U451&gt;'What-If Analysis'!$F$16, 'What-If Analysis'!$F$16,T451)</f>
        <v>0.16500000000000001</v>
      </c>
      <c r="AC451" s="42">
        <f>S451*(1-AB451)</f>
        <v>1780.3786499999999</v>
      </c>
      <c r="AD451" s="42">
        <f>Q451*(1+'What-If Analysis'!F466)</f>
        <v>946.99</v>
      </c>
      <c r="AE451" s="41">
        <f>W451*(1+'What-If Analysis'!$F$18)</f>
        <v>8.19</v>
      </c>
      <c r="AF451" s="42">
        <f t="shared" ref="AF451:AF514" si="105">AC451*AE451</f>
        <v>14581.301143499999</v>
      </c>
      <c r="AG451" s="42">
        <f t="shared" ref="AG451:AG514" si="106">AD451*AE451</f>
        <v>7755.8480999999992</v>
      </c>
      <c r="AH451" s="42">
        <f t="shared" ref="AH451:AH514" si="107">AF451-AG451</f>
        <v>6825.4530434999997</v>
      </c>
      <c r="AI451" s="44">
        <f t="shared" ref="AI451:AI514" si="108">IF(AF451=0, 0, AH451/AF451)</f>
        <v>0.46809629513362228</v>
      </c>
      <c r="AJ451" s="42">
        <f t="shared" ref="AJ451:AJ514" si="109">AF451-X451</f>
        <v>2118.6505934999986</v>
      </c>
      <c r="AK451" s="42">
        <f t="shared" ref="AK451:AK514" si="110">Z451</f>
        <v>5833.72055</v>
      </c>
      <c r="AL451" s="9">
        <f t="shared" ref="AL451:AL514" si="111">AI451-AA451</f>
        <v>0</v>
      </c>
      <c r="AM451" s="42"/>
    </row>
    <row r="452" spans="1:39" x14ac:dyDescent="0.25">
      <c r="A452" t="s">
        <v>465</v>
      </c>
      <c r="B452" s="20">
        <v>44945</v>
      </c>
      <c r="C452" s="4">
        <v>44960</v>
      </c>
      <c r="D452" s="4" t="s">
        <v>1436</v>
      </c>
      <c r="E452" s="4">
        <v>44960</v>
      </c>
      <c r="F452" s="11">
        <f t="shared" si="98"/>
        <v>15</v>
      </c>
      <c r="G452" s="11" t="str">
        <f t="shared" si="101"/>
        <v>Does not Meet Target</v>
      </c>
      <c r="H452" t="s">
        <v>649</v>
      </c>
      <c r="I452" t="s">
        <v>658</v>
      </c>
      <c r="J452" t="s">
        <v>683</v>
      </c>
      <c r="K452" t="s">
        <v>706</v>
      </c>
      <c r="L452" t="s">
        <v>710</v>
      </c>
      <c r="M452" t="s">
        <v>715</v>
      </c>
      <c r="N452" t="s">
        <v>733</v>
      </c>
      <c r="O452" t="str" cm="1">
        <f t="array" ref="O452">_xlfn.IFS(S452&lt;=_xlfn.PERCENTILE.INC(IF(N452:N1082=N452, S452:S1082), 0.33), "Low", S452&lt;=_xlfn.PERCENTILE.INC(IF(N452:N1082=N452, S452:S1082), 0.66), "Medium", S452 &gt; _xlfn.PERCENTILE.INC(IF(N452:N1082=N452, S452:S1082), 0.66), "High")</f>
        <v>High</v>
      </c>
      <c r="P452" t="s">
        <v>1184</v>
      </c>
      <c r="Q452" s="6">
        <v>873.06</v>
      </c>
      <c r="R452" s="6">
        <v>2101.5500000000002</v>
      </c>
      <c r="S452" s="6">
        <v>2101.5500000000002</v>
      </c>
      <c r="T452" s="9">
        <v>6.6000000000000003E-2</v>
      </c>
      <c r="U452" s="9">
        <f>IF(T452&gt;0.3, $AO$4, T452)</f>
        <v>6.6000000000000003E-2</v>
      </c>
      <c r="V452" s="7" t="str">
        <f t="shared" si="102"/>
        <v>Less than 20%</v>
      </c>
      <c r="W452" s="11">
        <v>10</v>
      </c>
      <c r="X452" s="6">
        <f t="shared" si="99"/>
        <v>19628.476999999999</v>
      </c>
      <c r="Y452" s="6">
        <f t="shared" si="100"/>
        <v>8730.5999999999985</v>
      </c>
      <c r="Z452" s="6">
        <f t="shared" si="103"/>
        <v>10897.877</v>
      </c>
      <c r="AA452" s="9">
        <f t="shared" si="104"/>
        <v>0.55520746719167269</v>
      </c>
      <c r="AB452" s="9">
        <f>IF(U452&gt;'What-If Analysis'!$F$16, 'What-If Analysis'!$F$16,T452)</f>
        <v>6.6000000000000003E-2</v>
      </c>
      <c r="AC452" s="42">
        <f>S452*(1-AB452)</f>
        <v>1962.8477</v>
      </c>
      <c r="AD452" s="42">
        <f>Q452*(1+'What-If Analysis'!F467)</f>
        <v>873.06</v>
      </c>
      <c r="AE452" s="41">
        <f>W452*(1+'What-If Analysis'!$F$18)</f>
        <v>11.7</v>
      </c>
      <c r="AF452" s="42">
        <f t="shared" si="105"/>
        <v>22965.318090000001</v>
      </c>
      <c r="AG452" s="42">
        <f t="shared" si="106"/>
        <v>10214.801999999998</v>
      </c>
      <c r="AH452" s="42">
        <f t="shared" si="107"/>
        <v>12750.516090000003</v>
      </c>
      <c r="AI452" s="44">
        <f t="shared" si="108"/>
        <v>0.55520746719167269</v>
      </c>
      <c r="AJ452" s="42">
        <f t="shared" si="109"/>
        <v>3336.8410900000017</v>
      </c>
      <c r="AK452" s="42">
        <f t="shared" si="110"/>
        <v>10897.877</v>
      </c>
      <c r="AL452" s="9">
        <f t="shared" si="111"/>
        <v>0</v>
      </c>
      <c r="AM452" s="42"/>
    </row>
    <row r="453" spans="1:39" x14ac:dyDescent="0.25">
      <c r="A453" t="s">
        <v>466</v>
      </c>
      <c r="B453" s="20">
        <v>45413</v>
      </c>
      <c r="C453" s="4">
        <v>45428</v>
      </c>
      <c r="D453" s="4" t="s">
        <v>1439</v>
      </c>
      <c r="E453" s="4">
        <v>45428</v>
      </c>
      <c r="F453" s="11">
        <f t="shared" si="98"/>
        <v>15</v>
      </c>
      <c r="G453" s="11" t="str">
        <f t="shared" si="101"/>
        <v>Does not Meet Target</v>
      </c>
      <c r="H453" t="s">
        <v>647</v>
      </c>
      <c r="I453" t="s">
        <v>654</v>
      </c>
      <c r="J453" t="s">
        <v>668</v>
      </c>
      <c r="K453" t="s">
        <v>705</v>
      </c>
      <c r="L453" t="s">
        <v>707</v>
      </c>
      <c r="M453" t="s">
        <v>716</v>
      </c>
      <c r="N453" t="s">
        <v>727</v>
      </c>
      <c r="O453" t="str" cm="1">
        <f t="array" ref="O453">_xlfn.IFS(S453&lt;=_xlfn.PERCENTILE.INC(IF(N453:N1083=N453, S453:S1083), 0.33), "Low", S453&lt;=_xlfn.PERCENTILE.INC(IF(N453:N1083=N453, S453:S1083), 0.66), "Medium", S453 &gt; _xlfn.PERCENTILE.INC(IF(N453:N1083=N453, S453:S1083), 0.66), "High")</f>
        <v>High</v>
      </c>
      <c r="P453" t="s">
        <v>1185</v>
      </c>
      <c r="Q453" s="6">
        <v>901.19</v>
      </c>
      <c r="R453" s="6">
        <v>2125.44</v>
      </c>
      <c r="S453" s="6">
        <v>2125.44</v>
      </c>
      <c r="T453" s="9">
        <v>7.0999999999999994E-2</v>
      </c>
      <c r="U453" s="9">
        <f>IF(T453&gt;0.3, $AO$4, T453)</f>
        <v>7.0999999999999994E-2</v>
      </c>
      <c r="V453" s="7" t="str">
        <f t="shared" si="102"/>
        <v>Less than 20%</v>
      </c>
      <c r="W453" s="11">
        <v>12</v>
      </c>
      <c r="X453" s="6">
        <f t="shared" si="99"/>
        <v>23694.405119999999</v>
      </c>
      <c r="Y453" s="6">
        <f t="shared" si="100"/>
        <v>10814.28</v>
      </c>
      <c r="Z453" s="6">
        <f t="shared" si="103"/>
        <v>12880.125119999999</v>
      </c>
      <c r="AA453" s="9">
        <f t="shared" si="104"/>
        <v>0.54359352154100415</v>
      </c>
      <c r="AB453" s="9">
        <f>IF(U453&gt;'What-If Analysis'!$F$16, 'What-If Analysis'!$F$16,T453)</f>
        <v>7.0999999999999994E-2</v>
      </c>
      <c r="AC453" s="42">
        <f>S453*(1-AB453)</f>
        <v>1974.5337600000003</v>
      </c>
      <c r="AD453" s="42">
        <f>Q453*(1+'What-If Analysis'!F468)</f>
        <v>901.19</v>
      </c>
      <c r="AE453" s="41">
        <f>W453*(1+'What-If Analysis'!$F$18)</f>
        <v>14.04</v>
      </c>
      <c r="AF453" s="42">
        <f t="shared" si="105"/>
        <v>27722.453990400001</v>
      </c>
      <c r="AG453" s="42">
        <f t="shared" si="106"/>
        <v>12652.7076</v>
      </c>
      <c r="AH453" s="42">
        <f t="shared" si="107"/>
        <v>15069.746390400001</v>
      </c>
      <c r="AI453" s="44">
        <f t="shared" si="108"/>
        <v>0.54359352154100427</v>
      </c>
      <c r="AJ453" s="42">
        <f t="shared" si="109"/>
        <v>4028.0488704000018</v>
      </c>
      <c r="AK453" s="42">
        <f t="shared" si="110"/>
        <v>12880.125119999999</v>
      </c>
      <c r="AL453" s="9">
        <f t="shared" si="111"/>
        <v>0</v>
      </c>
      <c r="AM453" s="42"/>
    </row>
    <row r="454" spans="1:39" x14ac:dyDescent="0.25">
      <c r="A454" t="s">
        <v>467</v>
      </c>
      <c r="B454" s="20">
        <v>45817</v>
      </c>
      <c r="C454" s="4">
        <v>45832</v>
      </c>
      <c r="D454" s="4" t="s">
        <v>1440</v>
      </c>
      <c r="E454" s="4">
        <v>45832</v>
      </c>
      <c r="F454" s="11">
        <f t="shared" si="98"/>
        <v>15</v>
      </c>
      <c r="G454" s="11" t="str">
        <f t="shared" si="101"/>
        <v>Does not Meet Target</v>
      </c>
      <c r="H454" t="s">
        <v>647</v>
      </c>
      <c r="I454" t="s">
        <v>652</v>
      </c>
      <c r="J454" t="s">
        <v>694</v>
      </c>
      <c r="K454" t="s">
        <v>701</v>
      </c>
      <c r="L454" t="s">
        <v>711</v>
      </c>
      <c r="M454" t="s">
        <v>717</v>
      </c>
      <c r="N454" t="s">
        <v>730</v>
      </c>
      <c r="O454" t="str" cm="1">
        <f t="array" ref="O454">_xlfn.IFS(S454&lt;=_xlfn.PERCENTILE.INC(IF(N454:N1084=N454, S454:S1084), 0.33), "Low", S454&lt;=_xlfn.PERCENTILE.INC(IF(N454:N1084=N454, S454:S1084), 0.66), "Medium", S454 &gt; _xlfn.PERCENTILE.INC(IF(N454:N1084=N454, S454:S1084), 0.66), "High")</f>
        <v>Medium</v>
      </c>
      <c r="P454" t="s">
        <v>1186</v>
      </c>
      <c r="Q454" s="6">
        <v>400.39</v>
      </c>
      <c r="R454" s="6">
        <v>712.75</v>
      </c>
      <c r="S454" s="6">
        <v>712.75</v>
      </c>
      <c r="T454" s="9">
        <v>0.115</v>
      </c>
      <c r="U454" s="9">
        <f>IF(T454&gt;0.3, $AO$4, T454)</f>
        <v>0.115</v>
      </c>
      <c r="V454" s="7" t="str">
        <f t="shared" si="102"/>
        <v>Less than 20%</v>
      </c>
      <c r="W454" s="11">
        <v>19</v>
      </c>
      <c r="X454" s="6">
        <f t="shared" si="99"/>
        <v>11984.891250000001</v>
      </c>
      <c r="Y454" s="6">
        <f t="shared" si="100"/>
        <v>7607.41</v>
      </c>
      <c r="Z454" s="6">
        <f t="shared" si="103"/>
        <v>4377.4812500000007</v>
      </c>
      <c r="AA454" s="9">
        <f t="shared" si="104"/>
        <v>0.36524997671547504</v>
      </c>
      <c r="AB454" s="9">
        <f>IF(U454&gt;'What-If Analysis'!$F$16, 'What-If Analysis'!$F$16,T454)</f>
        <v>0.115</v>
      </c>
      <c r="AC454" s="42">
        <f>S454*(1-AB454)</f>
        <v>630.78375000000005</v>
      </c>
      <c r="AD454" s="42">
        <f>Q454*(1+'What-If Analysis'!F469)</f>
        <v>400.39</v>
      </c>
      <c r="AE454" s="41">
        <f>W454*(1+'What-If Analysis'!$F$18)</f>
        <v>22.229999999999997</v>
      </c>
      <c r="AF454" s="42">
        <f t="shared" si="105"/>
        <v>14022.3227625</v>
      </c>
      <c r="AG454" s="42">
        <f t="shared" si="106"/>
        <v>8900.6696999999986</v>
      </c>
      <c r="AH454" s="42">
        <f t="shared" si="107"/>
        <v>5121.6530625000014</v>
      </c>
      <c r="AI454" s="44">
        <f t="shared" si="108"/>
        <v>0.3652499767154751</v>
      </c>
      <c r="AJ454" s="42">
        <f t="shared" si="109"/>
        <v>2037.4315124999994</v>
      </c>
      <c r="AK454" s="42">
        <f t="shared" si="110"/>
        <v>4377.4812500000007</v>
      </c>
      <c r="AL454" s="9">
        <f t="shared" si="111"/>
        <v>0</v>
      </c>
      <c r="AM454" s="42"/>
    </row>
    <row r="455" spans="1:39" x14ac:dyDescent="0.25">
      <c r="A455" t="s">
        <v>468</v>
      </c>
      <c r="B455" s="20">
        <v>45070</v>
      </c>
      <c r="C455" s="4">
        <v>45098</v>
      </c>
      <c r="D455" s="4" t="s">
        <v>1442</v>
      </c>
      <c r="E455" s="4">
        <v>45098</v>
      </c>
      <c r="F455" s="11">
        <f t="shared" si="98"/>
        <v>28</v>
      </c>
      <c r="G455" s="11" t="str">
        <f t="shared" si="101"/>
        <v>Does not Meet Target</v>
      </c>
      <c r="H455" t="s">
        <v>648</v>
      </c>
      <c r="I455" t="s">
        <v>660</v>
      </c>
      <c r="J455" t="s">
        <v>697</v>
      </c>
      <c r="K455" t="s">
        <v>705</v>
      </c>
      <c r="L455" t="s">
        <v>709</v>
      </c>
      <c r="M455" t="s">
        <v>715</v>
      </c>
      <c r="N455" t="s">
        <v>732</v>
      </c>
      <c r="O455" t="str" cm="1">
        <f t="array" ref="O455">_xlfn.IFS(S455&lt;=_xlfn.PERCENTILE.INC(IF(N455:N1085=N455, S455:S1085), 0.33), "Low", S455&lt;=_xlfn.PERCENTILE.INC(IF(N455:N1085=N455, S455:S1085), 0.66), "Medium", S455 &gt; _xlfn.PERCENTILE.INC(IF(N455:N1085=N455, S455:S1085), 0.66), "High")</f>
        <v>High</v>
      </c>
      <c r="P455" t="s">
        <v>1187</v>
      </c>
      <c r="Q455" s="6">
        <v>813.97</v>
      </c>
      <c r="R455" s="6">
        <v>1568.83</v>
      </c>
      <c r="S455" s="6">
        <v>1568.83</v>
      </c>
      <c r="T455" s="9">
        <v>1.7000000000000001E-2</v>
      </c>
      <c r="U455" s="9">
        <f>IF(T455&gt;0.3, $AO$4, T455)</f>
        <v>1.7000000000000001E-2</v>
      </c>
      <c r="V455" s="7" t="str">
        <f t="shared" si="102"/>
        <v>Less than 20%</v>
      </c>
      <c r="W455" s="11">
        <v>15</v>
      </c>
      <c r="X455" s="6">
        <f t="shared" si="99"/>
        <v>23132.398349999996</v>
      </c>
      <c r="Y455" s="6">
        <f t="shared" si="100"/>
        <v>12209.550000000001</v>
      </c>
      <c r="Z455" s="6">
        <f t="shared" si="103"/>
        <v>10922.848349999995</v>
      </c>
      <c r="AA455" s="9">
        <f t="shared" si="104"/>
        <v>0.4721883215364911</v>
      </c>
      <c r="AB455" s="9">
        <f>IF(U455&gt;'What-If Analysis'!$F$16, 'What-If Analysis'!$F$16,T455)</f>
        <v>1.7000000000000001E-2</v>
      </c>
      <c r="AC455" s="42">
        <f>S455*(1-AB455)</f>
        <v>1542.1598899999999</v>
      </c>
      <c r="AD455" s="42">
        <f>Q455*(1+'What-If Analysis'!F470)</f>
        <v>813.97</v>
      </c>
      <c r="AE455" s="41">
        <f>W455*(1+'What-If Analysis'!$F$18)</f>
        <v>17.549999999999997</v>
      </c>
      <c r="AF455" s="42">
        <f t="shared" si="105"/>
        <v>27064.906069499993</v>
      </c>
      <c r="AG455" s="42">
        <f t="shared" si="106"/>
        <v>14285.173499999999</v>
      </c>
      <c r="AH455" s="42">
        <f t="shared" si="107"/>
        <v>12779.732569499994</v>
      </c>
      <c r="AI455" s="44">
        <f t="shared" si="108"/>
        <v>0.47218832153649115</v>
      </c>
      <c r="AJ455" s="42">
        <f t="shared" si="109"/>
        <v>3932.5077194999976</v>
      </c>
      <c r="AK455" s="42">
        <f t="shared" si="110"/>
        <v>10922.848349999995</v>
      </c>
      <c r="AL455" s="9">
        <f t="shared" si="111"/>
        <v>0</v>
      </c>
      <c r="AM455" s="42"/>
    </row>
    <row r="456" spans="1:39" x14ac:dyDescent="0.25">
      <c r="A456" t="s">
        <v>469</v>
      </c>
      <c r="B456" s="20">
        <v>45653</v>
      </c>
      <c r="C456" s="4">
        <v>45655</v>
      </c>
      <c r="D456" s="4" t="s">
        <v>1435</v>
      </c>
      <c r="E456" s="4">
        <v>45655</v>
      </c>
      <c r="F456" s="11">
        <f t="shared" si="98"/>
        <v>2</v>
      </c>
      <c r="G456" s="11" t="str">
        <f t="shared" si="101"/>
        <v>Meets Target</v>
      </c>
      <c r="H456" t="s">
        <v>648</v>
      </c>
      <c r="I456" t="s">
        <v>653</v>
      </c>
      <c r="J456" t="s">
        <v>688</v>
      </c>
      <c r="K456" t="s">
        <v>706</v>
      </c>
      <c r="L456" t="s">
        <v>709</v>
      </c>
      <c r="M456" t="s">
        <v>712</v>
      </c>
      <c r="N456" t="s">
        <v>733</v>
      </c>
      <c r="O456" t="str" cm="1">
        <f t="array" ref="O456">_xlfn.IFS(S456&lt;=_xlfn.PERCENTILE.INC(IF(N456:N1086=N456, S456:S1086), 0.33), "Low", S456&lt;=_xlfn.PERCENTILE.INC(IF(N456:N1086=N456, S456:S1086), 0.66), "Medium", S456 &gt; _xlfn.PERCENTILE.INC(IF(N456:N1086=N456, S456:S1086), 0.66), "High")</f>
        <v>High</v>
      </c>
      <c r="P456" t="s">
        <v>1188</v>
      </c>
      <c r="Q456" s="6">
        <v>1146.72</v>
      </c>
      <c r="R456" s="6">
        <v>2074.34</v>
      </c>
      <c r="S456" s="6">
        <v>2074.34</v>
      </c>
      <c r="T456" s="9">
        <v>0.111</v>
      </c>
      <c r="U456" s="9">
        <f>IF(T456&gt;0.3, $AO$4, T456)</f>
        <v>0.111</v>
      </c>
      <c r="V456" s="7" t="str">
        <f t="shared" si="102"/>
        <v>Less than 20%</v>
      </c>
      <c r="W456" s="11">
        <v>8</v>
      </c>
      <c r="X456" s="6">
        <f t="shared" si="99"/>
        <v>14752.706080000002</v>
      </c>
      <c r="Y456" s="6">
        <f t="shared" si="100"/>
        <v>9173.76</v>
      </c>
      <c r="Z456" s="6">
        <f t="shared" si="103"/>
        <v>5578.9460800000015</v>
      </c>
      <c r="AA456" s="9">
        <f t="shared" si="104"/>
        <v>0.37816425337472737</v>
      </c>
      <c r="AB456" s="9">
        <f>IF(U456&gt;'What-If Analysis'!$F$16, 'What-If Analysis'!$F$16,T456)</f>
        <v>0.111</v>
      </c>
      <c r="AC456" s="42">
        <f>S456*(1-AB456)</f>
        <v>1844.0882600000002</v>
      </c>
      <c r="AD456" s="42">
        <f>Q456*(1+'What-If Analysis'!F471)</f>
        <v>1146.72</v>
      </c>
      <c r="AE456" s="41">
        <f>W456*(1+'What-If Analysis'!$F$18)</f>
        <v>9.36</v>
      </c>
      <c r="AF456" s="42">
        <f t="shared" si="105"/>
        <v>17260.6661136</v>
      </c>
      <c r="AG456" s="42">
        <f t="shared" si="106"/>
        <v>10733.299199999999</v>
      </c>
      <c r="AH456" s="42">
        <f t="shared" si="107"/>
        <v>6527.3669136000008</v>
      </c>
      <c r="AI456" s="44">
        <f t="shared" si="108"/>
        <v>0.37816425337472737</v>
      </c>
      <c r="AJ456" s="42">
        <f t="shared" si="109"/>
        <v>2507.9600335999985</v>
      </c>
      <c r="AK456" s="42">
        <f t="shared" si="110"/>
        <v>5578.9460800000015</v>
      </c>
      <c r="AL456" s="9">
        <f t="shared" si="111"/>
        <v>0</v>
      </c>
      <c r="AM456" s="42"/>
    </row>
    <row r="457" spans="1:39" x14ac:dyDescent="0.25">
      <c r="A457" t="s">
        <v>470</v>
      </c>
      <c r="B457" s="20">
        <v>45265</v>
      </c>
      <c r="C457" s="4">
        <v>45272</v>
      </c>
      <c r="D457" s="4" t="s">
        <v>1438</v>
      </c>
      <c r="E457" s="4">
        <v>45272</v>
      </c>
      <c r="F457" s="11">
        <f t="shared" si="98"/>
        <v>7</v>
      </c>
      <c r="G457" s="11" t="str">
        <f t="shared" si="101"/>
        <v>Meets Target</v>
      </c>
      <c r="H457" t="s">
        <v>648</v>
      </c>
      <c r="I457" t="s">
        <v>655</v>
      </c>
      <c r="J457" t="s">
        <v>672</v>
      </c>
      <c r="K457" t="s">
        <v>701</v>
      </c>
      <c r="L457" t="s">
        <v>711</v>
      </c>
      <c r="M457" t="s">
        <v>721</v>
      </c>
      <c r="N457" t="s">
        <v>730</v>
      </c>
      <c r="O457" t="str" cm="1">
        <f t="array" ref="O457">_xlfn.IFS(S457&lt;=_xlfn.PERCENTILE.INC(IF(N457:N1087=N457, S457:S1087), 0.33), "Low", S457&lt;=_xlfn.PERCENTILE.INC(IF(N457:N1087=N457, S457:S1087), 0.66), "Medium", S457 &gt; _xlfn.PERCENTILE.INC(IF(N457:N1087=N457, S457:S1087), 0.66), "High")</f>
        <v>Low</v>
      </c>
      <c r="P457" t="s">
        <v>1189</v>
      </c>
      <c r="Q457" s="6">
        <v>307.43</v>
      </c>
      <c r="R457" s="6">
        <v>495.19</v>
      </c>
      <c r="S457" s="6">
        <v>495.19</v>
      </c>
      <c r="T457" s="9">
        <v>0</v>
      </c>
      <c r="U457" s="9">
        <f>IF(T457&gt;0.3, $AO$4, T457)</f>
        <v>0</v>
      </c>
      <c r="V457" s="7" t="str">
        <f t="shared" si="102"/>
        <v>Less than 20%</v>
      </c>
      <c r="W457" s="11">
        <v>42</v>
      </c>
      <c r="X457" s="6">
        <f t="shared" si="99"/>
        <v>20797.98</v>
      </c>
      <c r="Y457" s="6">
        <f t="shared" si="100"/>
        <v>12912.06</v>
      </c>
      <c r="Z457" s="6">
        <f t="shared" si="103"/>
        <v>7885.92</v>
      </c>
      <c r="AA457" s="9">
        <f t="shared" si="104"/>
        <v>0.37916759223732305</v>
      </c>
      <c r="AB457" s="9">
        <f>IF(U457&gt;'What-If Analysis'!$F$16, 'What-If Analysis'!$F$16,T457)</f>
        <v>0</v>
      </c>
      <c r="AC457" s="42">
        <f>S457*(1-AB457)</f>
        <v>495.19</v>
      </c>
      <c r="AD457" s="42">
        <f>Q457*(1+'What-If Analysis'!F472)</f>
        <v>307.43</v>
      </c>
      <c r="AE457" s="41">
        <f>W457*(1+'What-If Analysis'!$F$18)</f>
        <v>49.14</v>
      </c>
      <c r="AF457" s="42">
        <f t="shared" si="105"/>
        <v>24333.636600000002</v>
      </c>
      <c r="AG457" s="42">
        <f t="shared" si="106"/>
        <v>15107.110200000001</v>
      </c>
      <c r="AH457" s="42">
        <f t="shared" si="107"/>
        <v>9226.5264000000006</v>
      </c>
      <c r="AI457" s="44">
        <f t="shared" si="108"/>
        <v>0.37916759223732305</v>
      </c>
      <c r="AJ457" s="42">
        <f t="shared" si="109"/>
        <v>3535.6566000000021</v>
      </c>
      <c r="AK457" s="42">
        <f t="shared" si="110"/>
        <v>7885.92</v>
      </c>
      <c r="AL457" s="9">
        <f t="shared" si="111"/>
        <v>0</v>
      </c>
      <c r="AM457" s="42"/>
    </row>
    <row r="458" spans="1:39" x14ac:dyDescent="0.25">
      <c r="A458" t="s">
        <v>471</v>
      </c>
      <c r="B458" s="20">
        <v>45048</v>
      </c>
      <c r="C458" s="4">
        <v>45065</v>
      </c>
      <c r="D458" s="4" t="s">
        <v>1442</v>
      </c>
      <c r="E458" s="4">
        <v>45065</v>
      </c>
      <c r="F458" s="11">
        <f t="shared" si="98"/>
        <v>17</v>
      </c>
      <c r="G458" s="11" t="str">
        <f t="shared" si="101"/>
        <v>Does not Meet Target</v>
      </c>
      <c r="H458" t="s">
        <v>647</v>
      </c>
      <c r="I458" t="s">
        <v>659</v>
      </c>
      <c r="J458" t="s">
        <v>685</v>
      </c>
      <c r="K458" t="s">
        <v>703</v>
      </c>
      <c r="L458" t="s">
        <v>711</v>
      </c>
      <c r="M458" t="s">
        <v>713</v>
      </c>
      <c r="N458" t="s">
        <v>732</v>
      </c>
      <c r="O458" t="str" cm="1">
        <f t="array" ref="O458">_xlfn.IFS(S458&lt;=_xlfn.PERCENTILE.INC(IF(N458:N1088=N458, S458:S1088), 0.33), "Low", S458&lt;=_xlfn.PERCENTILE.INC(IF(N458:N1088=N458, S458:S1088), 0.66), "Medium", S458 &gt; _xlfn.PERCENTILE.INC(IF(N458:N1088=N458, S458:S1088), 0.66), "High")</f>
        <v>Low</v>
      </c>
      <c r="P458" t="s">
        <v>1190</v>
      </c>
      <c r="Q458" s="6">
        <v>714.28</v>
      </c>
      <c r="R458" s="6">
        <v>757.59</v>
      </c>
      <c r="S458" s="6">
        <v>757.59</v>
      </c>
      <c r="T458" s="9">
        <v>0.13600000000000001</v>
      </c>
      <c r="U458" s="9">
        <f>IF(T458&gt;0.3, $AO$4, T458)</f>
        <v>0.13600000000000001</v>
      </c>
      <c r="V458" s="7" t="str">
        <f t="shared" si="102"/>
        <v>Less than 20%</v>
      </c>
      <c r="W458" s="11">
        <v>12</v>
      </c>
      <c r="X458" s="6">
        <f t="shared" si="99"/>
        <v>7854.6931199999999</v>
      </c>
      <c r="Y458" s="6">
        <f t="shared" si="100"/>
        <v>8571.36</v>
      </c>
      <c r="Z458" s="6">
        <f t="shared" si="103"/>
        <v>-716.66688000000067</v>
      </c>
      <c r="AA458" s="9">
        <f t="shared" si="104"/>
        <v>-9.1240595787910383E-2</v>
      </c>
      <c r="AB458" s="9">
        <f>IF(U458&gt;'What-If Analysis'!$F$16, 'What-If Analysis'!$F$16,T458)</f>
        <v>0.13600000000000001</v>
      </c>
      <c r="AC458" s="42">
        <f>S458*(1-AB458)</f>
        <v>654.55776000000003</v>
      </c>
      <c r="AD458" s="42">
        <f>Q458*(1+'What-If Analysis'!F473)</f>
        <v>714.28</v>
      </c>
      <c r="AE458" s="41">
        <f>W458*(1+'What-If Analysis'!$F$18)</f>
        <v>14.04</v>
      </c>
      <c r="AF458" s="42">
        <f t="shared" si="105"/>
        <v>9189.9909504000007</v>
      </c>
      <c r="AG458" s="42">
        <f t="shared" si="106"/>
        <v>10028.491199999999</v>
      </c>
      <c r="AH458" s="42">
        <f t="shared" si="107"/>
        <v>-838.50024959999791</v>
      </c>
      <c r="AI458" s="44">
        <f t="shared" si="108"/>
        <v>-9.1240595787910064E-2</v>
      </c>
      <c r="AJ458" s="42">
        <f t="shared" si="109"/>
        <v>1335.2978304000007</v>
      </c>
      <c r="AK458" s="42">
        <f t="shared" si="110"/>
        <v>-716.66688000000067</v>
      </c>
      <c r="AL458" s="9">
        <f t="shared" si="111"/>
        <v>3.1918911957973251E-16</v>
      </c>
      <c r="AM458" s="42"/>
    </row>
    <row r="459" spans="1:39" x14ac:dyDescent="0.25">
      <c r="A459" t="s">
        <v>472</v>
      </c>
      <c r="B459" s="20">
        <v>45260</v>
      </c>
      <c r="C459" s="4">
        <v>45270</v>
      </c>
      <c r="D459" s="4" t="s">
        <v>1438</v>
      </c>
      <c r="E459" s="4">
        <v>45270</v>
      </c>
      <c r="F459" s="11">
        <f t="shared" si="98"/>
        <v>10</v>
      </c>
      <c r="G459" s="11" t="str">
        <f t="shared" si="101"/>
        <v>Does not Meet Target</v>
      </c>
      <c r="H459" t="s">
        <v>649</v>
      </c>
      <c r="I459" t="s">
        <v>656</v>
      </c>
      <c r="J459" t="s">
        <v>684</v>
      </c>
      <c r="K459" t="s">
        <v>705</v>
      </c>
      <c r="L459" t="s">
        <v>711</v>
      </c>
      <c r="M459" t="s">
        <v>721</v>
      </c>
      <c r="N459" t="s">
        <v>731</v>
      </c>
      <c r="O459" t="str" cm="1">
        <f t="array" ref="O459">_xlfn.IFS(S459&lt;=_xlfn.PERCENTILE.INC(IF(N459:N1089=N459, S459:S1089), 0.33), "Low", S459&lt;=_xlfn.PERCENTILE.INC(IF(N459:N1089=N459, S459:S1089), 0.66), "Medium", S459 &gt; _xlfn.PERCENTILE.INC(IF(N459:N1089=N459, S459:S1089), 0.66), "High")</f>
        <v>Low</v>
      </c>
      <c r="P459" t="s">
        <v>1191</v>
      </c>
      <c r="Q459" s="6">
        <v>174.74</v>
      </c>
      <c r="R459" s="6">
        <v>415.96</v>
      </c>
      <c r="S459" s="6">
        <v>415.96</v>
      </c>
      <c r="T459" s="9">
        <v>0.125</v>
      </c>
      <c r="U459" s="9">
        <f>IF(T459&gt;0.3, $AO$4, T459)</f>
        <v>0.125</v>
      </c>
      <c r="V459" s="7" t="str">
        <f t="shared" si="102"/>
        <v>Less than 20%</v>
      </c>
      <c r="W459" s="11">
        <v>21</v>
      </c>
      <c r="X459" s="6">
        <f t="shared" si="99"/>
        <v>7643.2649999999994</v>
      </c>
      <c r="Y459" s="6">
        <f t="shared" si="100"/>
        <v>3669.54</v>
      </c>
      <c r="Z459" s="6">
        <f t="shared" si="103"/>
        <v>3973.7249999999995</v>
      </c>
      <c r="AA459" s="9">
        <f t="shared" si="104"/>
        <v>0.51989889137691803</v>
      </c>
      <c r="AB459" s="9">
        <f>IF(U459&gt;'What-If Analysis'!$F$16, 'What-If Analysis'!$F$16,T459)</f>
        <v>0.125</v>
      </c>
      <c r="AC459" s="42">
        <f>S459*(1-AB459)</f>
        <v>363.96499999999997</v>
      </c>
      <c r="AD459" s="42">
        <f>Q459*(1+'What-If Analysis'!F474)</f>
        <v>174.74</v>
      </c>
      <c r="AE459" s="41">
        <f>W459*(1+'What-If Analysis'!$F$18)</f>
        <v>24.57</v>
      </c>
      <c r="AF459" s="42">
        <f t="shared" si="105"/>
        <v>8942.6200499999995</v>
      </c>
      <c r="AG459" s="42">
        <f t="shared" si="106"/>
        <v>4293.3618000000006</v>
      </c>
      <c r="AH459" s="42">
        <f t="shared" si="107"/>
        <v>4649.258249999999</v>
      </c>
      <c r="AI459" s="44">
        <f t="shared" si="108"/>
        <v>0.51989889137691803</v>
      </c>
      <c r="AJ459" s="42">
        <f t="shared" si="109"/>
        <v>1299.3550500000001</v>
      </c>
      <c r="AK459" s="42">
        <f t="shared" si="110"/>
        <v>3973.7249999999995</v>
      </c>
      <c r="AL459" s="9">
        <f t="shared" si="111"/>
        <v>0</v>
      </c>
      <c r="AM459" s="42"/>
    </row>
    <row r="460" spans="1:39" x14ac:dyDescent="0.25">
      <c r="A460" t="s">
        <v>473</v>
      </c>
      <c r="B460" s="20">
        <v>45417</v>
      </c>
      <c r="C460" s="4">
        <v>45430</v>
      </c>
      <c r="D460" s="4" t="s">
        <v>1439</v>
      </c>
      <c r="E460" s="4">
        <v>45430</v>
      </c>
      <c r="F460" s="11">
        <f t="shared" si="98"/>
        <v>13</v>
      </c>
      <c r="G460" s="11" t="str">
        <f t="shared" si="101"/>
        <v>Does not Meet Target</v>
      </c>
      <c r="H460" t="s">
        <v>649</v>
      </c>
      <c r="I460" t="s">
        <v>657</v>
      </c>
      <c r="J460" t="s">
        <v>673</v>
      </c>
      <c r="K460" t="s">
        <v>701</v>
      </c>
      <c r="L460" t="s">
        <v>709</v>
      </c>
      <c r="M460" t="s">
        <v>720</v>
      </c>
      <c r="N460" t="s">
        <v>727</v>
      </c>
      <c r="O460" t="str" cm="1">
        <f t="array" ref="O460">_xlfn.IFS(S460&lt;=_xlfn.PERCENTILE.INC(IF(N460:N1090=N460, S460:S1090), 0.33), "Low", S460&lt;=_xlfn.PERCENTILE.INC(IF(N460:N1090=N460, S460:S1090), 0.66), "Medium", S460 &gt; _xlfn.PERCENTILE.INC(IF(N460:N1090=N460, S460:S1090), 0.66), "High")</f>
        <v>High</v>
      </c>
      <c r="P460" t="s">
        <v>1192</v>
      </c>
      <c r="Q460" s="6">
        <v>1264.04</v>
      </c>
      <c r="R460" s="6">
        <v>1870.89</v>
      </c>
      <c r="S460" s="6">
        <v>1870.89</v>
      </c>
      <c r="T460" s="9">
        <v>0</v>
      </c>
      <c r="U460" s="9">
        <f>IF(T460&gt;0.3, $AO$4, T460)</f>
        <v>0</v>
      </c>
      <c r="V460" s="7" t="str">
        <f t="shared" si="102"/>
        <v>Less than 20%</v>
      </c>
      <c r="W460" s="11">
        <v>13</v>
      </c>
      <c r="X460" s="6">
        <f t="shared" si="99"/>
        <v>24321.57</v>
      </c>
      <c r="Y460" s="6">
        <f t="shared" si="100"/>
        <v>16432.52</v>
      </c>
      <c r="Z460" s="6">
        <f t="shared" si="103"/>
        <v>7889.0499999999993</v>
      </c>
      <c r="AA460" s="9">
        <f t="shared" si="104"/>
        <v>0.32436433996653996</v>
      </c>
      <c r="AB460" s="9">
        <f>IF(U460&gt;'What-If Analysis'!$F$16, 'What-If Analysis'!$F$16,T460)</f>
        <v>0</v>
      </c>
      <c r="AC460" s="42">
        <f>S460*(1-AB460)</f>
        <v>1870.89</v>
      </c>
      <c r="AD460" s="42">
        <f>Q460*(1+'What-If Analysis'!F475)</f>
        <v>1264.04</v>
      </c>
      <c r="AE460" s="41">
        <f>W460*(1+'What-If Analysis'!$F$18)</f>
        <v>15.209999999999999</v>
      </c>
      <c r="AF460" s="42">
        <f t="shared" si="105"/>
        <v>28456.2369</v>
      </c>
      <c r="AG460" s="42">
        <f t="shared" si="106"/>
        <v>19226.0484</v>
      </c>
      <c r="AH460" s="42">
        <f t="shared" si="107"/>
        <v>9230.1885000000002</v>
      </c>
      <c r="AI460" s="44">
        <f t="shared" si="108"/>
        <v>0.32436433996654002</v>
      </c>
      <c r="AJ460" s="42">
        <f t="shared" si="109"/>
        <v>4134.6669000000002</v>
      </c>
      <c r="AK460" s="42">
        <f t="shared" si="110"/>
        <v>7889.0499999999993</v>
      </c>
      <c r="AL460" s="9">
        <f t="shared" si="111"/>
        <v>0</v>
      </c>
      <c r="AM460" s="42"/>
    </row>
    <row r="461" spans="1:39" x14ac:dyDescent="0.25">
      <c r="A461" t="s">
        <v>474</v>
      </c>
      <c r="B461" s="20">
        <v>45116</v>
      </c>
      <c r="C461" s="4">
        <v>45126</v>
      </c>
      <c r="D461" s="4" t="s">
        <v>1444</v>
      </c>
      <c r="E461" s="4">
        <v>45126</v>
      </c>
      <c r="F461" s="11">
        <f t="shared" si="98"/>
        <v>10</v>
      </c>
      <c r="G461" s="11" t="str">
        <f t="shared" si="101"/>
        <v>Does not Meet Target</v>
      </c>
      <c r="H461" t="s">
        <v>647</v>
      </c>
      <c r="I461" t="s">
        <v>652</v>
      </c>
      <c r="J461" t="s">
        <v>689</v>
      </c>
      <c r="K461" t="s">
        <v>706</v>
      </c>
      <c r="L461" t="s">
        <v>710</v>
      </c>
      <c r="M461" t="s">
        <v>725</v>
      </c>
      <c r="N461" t="s">
        <v>727</v>
      </c>
      <c r="O461" t="str" cm="1">
        <f t="array" ref="O461">_xlfn.IFS(S461&lt;=_xlfn.PERCENTILE.INC(IF(N461:N1091=N461, S461:S1091), 0.33), "Low", S461&lt;=_xlfn.PERCENTILE.INC(IF(N461:N1091=N461, S461:S1091), 0.66), "Medium", S461 &gt; _xlfn.PERCENTILE.INC(IF(N461:N1091=N461, S461:S1091), 0.66), "High")</f>
        <v>Low</v>
      </c>
      <c r="P461" t="s">
        <v>1193</v>
      </c>
      <c r="Q461" s="6">
        <v>141.26</v>
      </c>
      <c r="R461" s="6">
        <v>206.88</v>
      </c>
      <c r="S461" s="6">
        <v>206.88</v>
      </c>
      <c r="T461" s="9">
        <v>0.107</v>
      </c>
      <c r="U461" s="9">
        <f>IF(T461&gt;0.3, $AO$4, T461)</f>
        <v>0.107</v>
      </c>
      <c r="V461" s="7" t="str">
        <f t="shared" si="102"/>
        <v>Less than 20%</v>
      </c>
      <c r="W461" s="11">
        <v>9</v>
      </c>
      <c r="X461" s="6">
        <f t="shared" si="99"/>
        <v>1662.6945600000001</v>
      </c>
      <c r="Y461" s="6">
        <f t="shared" si="100"/>
        <v>1271.3399999999999</v>
      </c>
      <c r="Z461" s="6">
        <f t="shared" si="103"/>
        <v>391.35456000000022</v>
      </c>
      <c r="AA461" s="9">
        <f t="shared" si="104"/>
        <v>0.23537369365062469</v>
      </c>
      <c r="AB461" s="9">
        <f>IF(U461&gt;'What-If Analysis'!$F$16, 'What-If Analysis'!$F$16,T461)</f>
        <v>0.107</v>
      </c>
      <c r="AC461" s="42">
        <f>S461*(1-AB461)</f>
        <v>184.74384000000001</v>
      </c>
      <c r="AD461" s="42">
        <f>Q461*(1+'What-If Analysis'!F476)</f>
        <v>141.26</v>
      </c>
      <c r="AE461" s="41">
        <f>W461*(1+'What-If Analysis'!$F$18)</f>
        <v>10.53</v>
      </c>
      <c r="AF461" s="42">
        <f t="shared" si="105"/>
        <v>1945.3526351999999</v>
      </c>
      <c r="AG461" s="42">
        <f t="shared" si="106"/>
        <v>1487.4677999999999</v>
      </c>
      <c r="AH461" s="42">
        <f t="shared" si="107"/>
        <v>457.8848352</v>
      </c>
      <c r="AI461" s="44">
        <f t="shared" si="108"/>
        <v>0.23537369365062458</v>
      </c>
      <c r="AJ461" s="42">
        <f t="shared" si="109"/>
        <v>282.65807519999976</v>
      </c>
      <c r="AK461" s="42">
        <f t="shared" si="110"/>
        <v>391.35456000000022</v>
      </c>
      <c r="AL461" s="9">
        <f t="shared" si="111"/>
        <v>0</v>
      </c>
      <c r="AM461" s="42"/>
    </row>
    <row r="462" spans="1:39" x14ac:dyDescent="0.25">
      <c r="A462" t="s">
        <v>475</v>
      </c>
      <c r="B462" s="20">
        <v>45063</v>
      </c>
      <c r="C462" s="4">
        <v>45092</v>
      </c>
      <c r="D462" s="4" t="s">
        <v>1442</v>
      </c>
      <c r="E462" s="4">
        <v>45092</v>
      </c>
      <c r="F462" s="11">
        <f t="shared" si="98"/>
        <v>29</v>
      </c>
      <c r="G462" s="11" t="str">
        <f t="shared" si="101"/>
        <v>Does not Meet Target</v>
      </c>
      <c r="H462" t="s">
        <v>646</v>
      </c>
      <c r="I462" t="s">
        <v>661</v>
      </c>
      <c r="J462" t="s">
        <v>687</v>
      </c>
      <c r="K462" t="s">
        <v>706</v>
      </c>
      <c r="L462" t="s">
        <v>707</v>
      </c>
      <c r="M462" t="s">
        <v>723</v>
      </c>
      <c r="N462" t="s">
        <v>733</v>
      </c>
      <c r="O462" t="str" cm="1">
        <f t="array" ref="O462">_xlfn.IFS(S462&lt;=_xlfn.PERCENTILE.INC(IF(N462:N1092=N462, S462:S1092), 0.33), "Low", S462&lt;=_xlfn.PERCENTILE.INC(IF(N462:N1092=N462, S462:S1092), 0.66), "Medium", S462 &gt; _xlfn.PERCENTILE.INC(IF(N462:N1092=N462, S462:S1092), 0.66), "High")</f>
        <v>Low</v>
      </c>
      <c r="P462" t="s">
        <v>1194</v>
      </c>
      <c r="Q462" s="6">
        <v>40.89</v>
      </c>
      <c r="R462" s="6">
        <v>62.82</v>
      </c>
      <c r="S462" s="6">
        <v>62.82</v>
      </c>
      <c r="T462" s="9">
        <v>0.129</v>
      </c>
      <c r="U462" s="9">
        <f>IF(T462&gt;0.3, $AO$4, T462)</f>
        <v>0.129</v>
      </c>
      <c r="V462" s="7" t="str">
        <f t="shared" si="102"/>
        <v>Less than 20%</v>
      </c>
      <c r="W462" s="11">
        <v>17</v>
      </c>
      <c r="X462" s="6">
        <f t="shared" si="99"/>
        <v>930.17574000000002</v>
      </c>
      <c r="Y462" s="6">
        <f t="shared" si="100"/>
        <v>695.13</v>
      </c>
      <c r="Z462" s="6">
        <f t="shared" si="103"/>
        <v>235.04574000000002</v>
      </c>
      <c r="AA462" s="9">
        <f t="shared" si="104"/>
        <v>0.25268960465470752</v>
      </c>
      <c r="AB462" s="9">
        <f>IF(U462&gt;'What-If Analysis'!$F$16, 'What-If Analysis'!$F$16,T462)</f>
        <v>0.129</v>
      </c>
      <c r="AC462" s="42">
        <f>S462*(1-AB462)</f>
        <v>54.71622</v>
      </c>
      <c r="AD462" s="42">
        <f>Q462*(1+'What-If Analysis'!F477)</f>
        <v>40.89</v>
      </c>
      <c r="AE462" s="41">
        <f>W462*(1+'What-If Analysis'!$F$18)</f>
        <v>19.89</v>
      </c>
      <c r="AF462" s="42">
        <f t="shared" si="105"/>
        <v>1088.3056157999999</v>
      </c>
      <c r="AG462" s="42">
        <f t="shared" si="106"/>
        <v>813.3021</v>
      </c>
      <c r="AH462" s="42">
        <f t="shared" si="107"/>
        <v>275.00351579999995</v>
      </c>
      <c r="AI462" s="44">
        <f t="shared" si="108"/>
        <v>0.25268960465470747</v>
      </c>
      <c r="AJ462" s="42">
        <f t="shared" si="109"/>
        <v>158.12987579999992</v>
      </c>
      <c r="AK462" s="42">
        <f t="shared" si="110"/>
        <v>235.04574000000002</v>
      </c>
      <c r="AL462" s="9">
        <f t="shared" si="111"/>
        <v>0</v>
      </c>
      <c r="AM462" s="42"/>
    </row>
    <row r="463" spans="1:39" x14ac:dyDescent="0.25">
      <c r="A463" t="s">
        <v>476</v>
      </c>
      <c r="B463" s="20">
        <v>45358</v>
      </c>
      <c r="C463" s="4">
        <v>45385</v>
      </c>
      <c r="D463" s="4" t="s">
        <v>1434</v>
      </c>
      <c r="E463" s="4">
        <v>45385</v>
      </c>
      <c r="F463" s="11">
        <f t="shared" si="98"/>
        <v>27</v>
      </c>
      <c r="G463" s="11" t="str">
        <f t="shared" si="101"/>
        <v>Does not Meet Target</v>
      </c>
      <c r="H463" t="s">
        <v>649</v>
      </c>
      <c r="I463" t="s">
        <v>656</v>
      </c>
      <c r="J463" t="s">
        <v>698</v>
      </c>
      <c r="K463" t="s">
        <v>701</v>
      </c>
      <c r="L463" t="s">
        <v>711</v>
      </c>
      <c r="M463" t="s">
        <v>724</v>
      </c>
      <c r="N463" t="s">
        <v>728</v>
      </c>
      <c r="O463" t="str" cm="1">
        <f t="array" ref="O463">_xlfn.IFS(S463&lt;=_xlfn.PERCENTILE.INC(IF(N463:N1093=N463, S463:S1093), 0.33), "Low", S463&lt;=_xlfn.PERCENTILE.INC(IF(N463:N1093=N463, S463:S1093), 0.66), "Medium", S463 &gt; _xlfn.PERCENTILE.INC(IF(N463:N1093=N463, S463:S1093), 0.66), "High")</f>
        <v>Low</v>
      </c>
      <c r="P463" t="s">
        <v>1195</v>
      </c>
      <c r="Q463" s="6">
        <v>738.16</v>
      </c>
      <c r="R463" s="6">
        <v>956.49</v>
      </c>
      <c r="S463" s="6">
        <v>956.49</v>
      </c>
      <c r="T463" s="9">
        <v>0.152</v>
      </c>
      <c r="U463" s="9">
        <f>IF(T463&gt;0.3, $AO$4, T463)</f>
        <v>0.152</v>
      </c>
      <c r="V463" s="7" t="str">
        <f t="shared" si="102"/>
        <v>Less than 20%</v>
      </c>
      <c r="W463" s="11">
        <v>5</v>
      </c>
      <c r="X463" s="6">
        <f t="shared" si="99"/>
        <v>4055.5175999999997</v>
      </c>
      <c r="Y463" s="6">
        <f t="shared" si="100"/>
        <v>3690.7999999999997</v>
      </c>
      <c r="Z463" s="6">
        <f t="shared" si="103"/>
        <v>364.71759999999995</v>
      </c>
      <c r="AA463" s="9">
        <f t="shared" si="104"/>
        <v>8.9931208780847108E-2</v>
      </c>
      <c r="AB463" s="9">
        <f>IF(U463&gt;'What-If Analysis'!$F$16, 'What-If Analysis'!$F$16,T463)</f>
        <v>0.152</v>
      </c>
      <c r="AC463" s="42">
        <f>S463*(1-AB463)</f>
        <v>811.10352</v>
      </c>
      <c r="AD463" s="42">
        <f>Q463*(1+'What-If Analysis'!F478)</f>
        <v>738.16</v>
      </c>
      <c r="AE463" s="41">
        <f>W463*(1+'What-If Analysis'!$F$18)</f>
        <v>5.85</v>
      </c>
      <c r="AF463" s="42">
        <f t="shared" si="105"/>
        <v>4744.9555919999993</v>
      </c>
      <c r="AG463" s="42">
        <f t="shared" si="106"/>
        <v>4318.2359999999999</v>
      </c>
      <c r="AH463" s="42">
        <f t="shared" si="107"/>
        <v>426.71959199999947</v>
      </c>
      <c r="AI463" s="44">
        <f t="shared" si="108"/>
        <v>8.9931208780847011E-2</v>
      </c>
      <c r="AJ463" s="42">
        <f t="shared" si="109"/>
        <v>689.43799199999967</v>
      </c>
      <c r="AK463" s="42">
        <f t="shared" si="110"/>
        <v>364.71759999999995</v>
      </c>
      <c r="AL463" s="9">
        <f t="shared" si="111"/>
        <v>0</v>
      </c>
      <c r="AM463" s="42"/>
    </row>
    <row r="464" spans="1:39" x14ac:dyDescent="0.25">
      <c r="A464" t="s">
        <v>477</v>
      </c>
      <c r="B464" s="20">
        <v>45757</v>
      </c>
      <c r="C464" s="4">
        <v>45766</v>
      </c>
      <c r="D464" s="4" t="s">
        <v>1440</v>
      </c>
      <c r="E464" s="4">
        <v>45766</v>
      </c>
      <c r="F464" s="11">
        <f t="shared" si="98"/>
        <v>9</v>
      </c>
      <c r="G464" s="11" t="str">
        <f t="shared" si="101"/>
        <v>Does not Meet Target</v>
      </c>
      <c r="H464" t="s">
        <v>646</v>
      </c>
      <c r="I464" t="s">
        <v>661</v>
      </c>
      <c r="J464" t="s">
        <v>687</v>
      </c>
      <c r="K464" t="s">
        <v>706</v>
      </c>
      <c r="L464" t="s">
        <v>1422</v>
      </c>
      <c r="M464" t="s">
        <v>715</v>
      </c>
      <c r="N464" t="s">
        <v>729</v>
      </c>
      <c r="O464" t="str" cm="1">
        <f t="array" ref="O464">_xlfn.IFS(S464&lt;=_xlfn.PERCENTILE.INC(IF(N464:N1094=N464, S464:S1094), 0.33), "Low", S464&lt;=_xlfn.PERCENTILE.INC(IF(N464:N1094=N464, S464:S1094), 0.66), "Medium", S464 &gt; _xlfn.PERCENTILE.INC(IF(N464:N1094=N464, S464:S1094), 0.66), "High")</f>
        <v>Low</v>
      </c>
      <c r="P464" t="s">
        <v>1196</v>
      </c>
      <c r="Q464" s="6">
        <v>113.74</v>
      </c>
      <c r="R464" s="6">
        <v>165.7</v>
      </c>
      <c r="S464" s="6">
        <v>165.7</v>
      </c>
      <c r="T464" s="9">
        <v>0.124</v>
      </c>
      <c r="U464" s="9">
        <f>IF(T464&gt;0.3, $AO$4, T464)</f>
        <v>0.124</v>
      </c>
      <c r="V464" s="7" t="str">
        <f t="shared" si="102"/>
        <v>Less than 20%</v>
      </c>
      <c r="W464" s="11">
        <v>13</v>
      </c>
      <c r="X464" s="6">
        <f t="shared" si="99"/>
        <v>1886.9915999999998</v>
      </c>
      <c r="Y464" s="6">
        <f t="shared" si="100"/>
        <v>1478.62</v>
      </c>
      <c r="Z464" s="6">
        <f t="shared" si="103"/>
        <v>408.37159999999994</v>
      </c>
      <c r="AA464" s="9">
        <f t="shared" si="104"/>
        <v>0.21641410592394794</v>
      </c>
      <c r="AB464" s="9">
        <f>IF(U464&gt;'What-If Analysis'!$F$16, 'What-If Analysis'!$F$16,T464)</f>
        <v>0.124</v>
      </c>
      <c r="AC464" s="42">
        <f>S464*(1-AB464)</f>
        <v>145.1532</v>
      </c>
      <c r="AD464" s="42">
        <f>Q464*(1+'What-If Analysis'!F479)</f>
        <v>113.74</v>
      </c>
      <c r="AE464" s="41">
        <f>W464*(1+'What-If Analysis'!$F$18)</f>
        <v>15.209999999999999</v>
      </c>
      <c r="AF464" s="42">
        <f t="shared" si="105"/>
        <v>2207.7801719999998</v>
      </c>
      <c r="AG464" s="42">
        <f t="shared" si="106"/>
        <v>1729.9853999999998</v>
      </c>
      <c r="AH464" s="42">
        <f t="shared" si="107"/>
        <v>477.79477199999997</v>
      </c>
      <c r="AI464" s="44">
        <f t="shared" si="108"/>
        <v>0.21641410592394794</v>
      </c>
      <c r="AJ464" s="42">
        <f t="shared" si="109"/>
        <v>320.78857199999993</v>
      </c>
      <c r="AK464" s="42">
        <f t="shared" si="110"/>
        <v>408.37159999999994</v>
      </c>
      <c r="AL464" s="9">
        <f t="shared" si="111"/>
        <v>0</v>
      </c>
      <c r="AM464" s="42"/>
    </row>
    <row r="465" spans="1:39" x14ac:dyDescent="0.25">
      <c r="A465" t="s">
        <v>478</v>
      </c>
      <c r="B465" s="20">
        <v>45865</v>
      </c>
      <c r="C465" s="4">
        <v>45884</v>
      </c>
      <c r="D465" s="4" t="s">
        <v>1441</v>
      </c>
      <c r="E465" s="4">
        <v>45884</v>
      </c>
      <c r="F465" s="11">
        <f t="shared" si="98"/>
        <v>19</v>
      </c>
      <c r="G465" s="11" t="str">
        <f t="shared" si="101"/>
        <v>Does not Meet Target</v>
      </c>
      <c r="H465" t="s">
        <v>647</v>
      </c>
      <c r="I465" t="s">
        <v>652</v>
      </c>
      <c r="J465" t="s">
        <v>689</v>
      </c>
      <c r="K465" t="s">
        <v>705</v>
      </c>
      <c r="L465" t="s">
        <v>709</v>
      </c>
      <c r="M465" t="s">
        <v>713</v>
      </c>
      <c r="N465" t="s">
        <v>727</v>
      </c>
      <c r="O465" t="str" cm="1">
        <f t="array" ref="O465">_xlfn.IFS(S465&lt;=_xlfn.PERCENTILE.INC(IF(N465:N1095=N465, S465:S1095), 0.33), "Low", S465&lt;=_xlfn.PERCENTILE.INC(IF(N465:N1095=N465, S465:S1095), 0.66), "Medium", S465 &gt; _xlfn.PERCENTILE.INC(IF(N465:N1095=N465, S465:S1095), 0.66), "High")</f>
        <v>Low</v>
      </c>
      <c r="P465" t="s">
        <v>1197</v>
      </c>
      <c r="Q465" s="6">
        <v>275.43</v>
      </c>
      <c r="R465" s="6">
        <v>608.36</v>
      </c>
      <c r="S465" s="6">
        <v>608.36</v>
      </c>
      <c r="T465" s="9">
        <v>0.25700000000000001</v>
      </c>
      <c r="U465" s="9">
        <f>IF(T465&gt;0.3, $AO$4, T465)</f>
        <v>0.25700000000000001</v>
      </c>
      <c r="V465" s="7" t="str">
        <f t="shared" si="102"/>
        <v>Greater than 20%</v>
      </c>
      <c r="W465" s="11">
        <v>4</v>
      </c>
      <c r="X465" s="6">
        <f t="shared" si="99"/>
        <v>1808.04592</v>
      </c>
      <c r="Y465" s="6">
        <f t="shared" si="100"/>
        <v>1101.72</v>
      </c>
      <c r="Z465" s="6">
        <f t="shared" si="103"/>
        <v>706.32592</v>
      </c>
      <c r="AA465" s="9">
        <f t="shared" si="104"/>
        <v>0.39065706915231446</v>
      </c>
      <c r="AB465" s="9">
        <f>IF(U465&gt;'What-If Analysis'!$F$16, 'What-If Analysis'!$F$16,T465)</f>
        <v>0.17</v>
      </c>
      <c r="AC465" s="42">
        <f>S465*(1-AB465)</f>
        <v>504.93880000000001</v>
      </c>
      <c r="AD465" s="42">
        <f>Q465*(1+'What-If Analysis'!F480)</f>
        <v>275.43</v>
      </c>
      <c r="AE465" s="41">
        <f>W465*(1+'What-If Analysis'!$F$18)</f>
        <v>4.68</v>
      </c>
      <c r="AF465" s="42">
        <f t="shared" si="105"/>
        <v>2363.1135839999997</v>
      </c>
      <c r="AG465" s="42">
        <f t="shared" si="106"/>
        <v>1289.0123999999998</v>
      </c>
      <c r="AH465" s="42">
        <f t="shared" si="107"/>
        <v>1074.1011839999999</v>
      </c>
      <c r="AI465" s="44">
        <f t="shared" si="108"/>
        <v>0.4545279546749032</v>
      </c>
      <c r="AJ465" s="42">
        <f t="shared" si="109"/>
        <v>555.0676639999997</v>
      </c>
      <c r="AK465" s="42">
        <f t="shared" si="110"/>
        <v>706.32592</v>
      </c>
      <c r="AL465" s="9">
        <f t="shared" si="111"/>
        <v>6.3870885522588738E-2</v>
      </c>
      <c r="AM465" s="42"/>
    </row>
    <row r="466" spans="1:39" x14ac:dyDescent="0.25">
      <c r="A466" t="s">
        <v>479</v>
      </c>
      <c r="B466" s="20">
        <v>45618</v>
      </c>
      <c r="C466" s="4">
        <v>45641</v>
      </c>
      <c r="D466" s="4" t="s">
        <v>1435</v>
      </c>
      <c r="E466" s="4">
        <v>45641</v>
      </c>
      <c r="F466" s="11">
        <f t="shared" si="98"/>
        <v>23</v>
      </c>
      <c r="G466" s="11" t="str">
        <f t="shared" si="101"/>
        <v>Does not Meet Target</v>
      </c>
      <c r="H466" t="s">
        <v>646</v>
      </c>
      <c r="I466" t="s">
        <v>650</v>
      </c>
      <c r="J466" t="s">
        <v>675</v>
      </c>
      <c r="K466" t="s">
        <v>703</v>
      </c>
      <c r="L466" t="s">
        <v>710</v>
      </c>
      <c r="M466" t="s">
        <v>712</v>
      </c>
      <c r="N466" t="s">
        <v>727</v>
      </c>
      <c r="O466" t="str" cm="1">
        <f t="array" ref="O466">_xlfn.IFS(S466&lt;=_xlfn.PERCENTILE.INC(IF(N466:N1096=N466, S466:S1096), 0.33), "Low", S466&lt;=_xlfn.PERCENTILE.INC(IF(N466:N1096=N466, S466:S1096), 0.66), "Medium", S466 &gt; _xlfn.PERCENTILE.INC(IF(N466:N1096=N466, S466:S1096), 0.66), "High")</f>
        <v>High</v>
      </c>
      <c r="P466" t="s">
        <v>1198</v>
      </c>
      <c r="Q466" s="6">
        <v>1335.76</v>
      </c>
      <c r="R466" s="6">
        <v>2665.91</v>
      </c>
      <c r="S466" s="6">
        <v>2665.91</v>
      </c>
      <c r="T466" s="9">
        <v>0.21099999999999999</v>
      </c>
      <c r="U466" s="9">
        <f>IF(T466&gt;0.3, $AO$4, T466)</f>
        <v>0.21099999999999999</v>
      </c>
      <c r="V466" s="7" t="str">
        <f t="shared" si="102"/>
        <v>Greater than 20%</v>
      </c>
      <c r="W466" s="11">
        <v>40</v>
      </c>
      <c r="X466" s="6">
        <f t="shared" si="99"/>
        <v>84136.119600000005</v>
      </c>
      <c r="Y466" s="6">
        <f t="shared" si="100"/>
        <v>53430.400000000001</v>
      </c>
      <c r="Z466" s="6">
        <f t="shared" si="103"/>
        <v>30705.719600000004</v>
      </c>
      <c r="AA466" s="9">
        <f t="shared" si="104"/>
        <v>0.36495288522909253</v>
      </c>
      <c r="AB466" s="9">
        <f>IF(U466&gt;'What-If Analysis'!$F$16, 'What-If Analysis'!$F$16,T466)</f>
        <v>0.17</v>
      </c>
      <c r="AC466" s="42">
        <f>S466*(1-AB466)</f>
        <v>2212.7052999999996</v>
      </c>
      <c r="AD466" s="42">
        <f>Q466*(1+'What-If Analysis'!F481)</f>
        <v>1335.76</v>
      </c>
      <c r="AE466" s="41">
        <f>W466*(1+'What-If Analysis'!$F$18)</f>
        <v>46.8</v>
      </c>
      <c r="AF466" s="42">
        <f t="shared" si="105"/>
        <v>103554.60803999998</v>
      </c>
      <c r="AG466" s="42">
        <f t="shared" si="106"/>
        <v>62513.567999999999</v>
      </c>
      <c r="AH466" s="42">
        <f t="shared" si="107"/>
        <v>41041.040039999978</v>
      </c>
      <c r="AI466" s="44">
        <f t="shared" si="108"/>
        <v>0.39632268246476371</v>
      </c>
      <c r="AJ466" s="42">
        <f t="shared" si="109"/>
        <v>19418.488439999972</v>
      </c>
      <c r="AK466" s="42">
        <f t="shared" si="110"/>
        <v>30705.719600000004</v>
      </c>
      <c r="AL466" s="9">
        <f t="shared" si="111"/>
        <v>3.1369797235671182E-2</v>
      </c>
      <c r="AM466" s="42"/>
    </row>
    <row r="467" spans="1:39" x14ac:dyDescent="0.25">
      <c r="A467" t="s">
        <v>480</v>
      </c>
      <c r="B467" s="20">
        <v>45466</v>
      </c>
      <c r="C467" s="4">
        <v>45471</v>
      </c>
      <c r="D467" s="4" t="s">
        <v>1439</v>
      </c>
      <c r="E467" s="4">
        <v>45471</v>
      </c>
      <c r="F467" s="11">
        <f t="shared" si="98"/>
        <v>5</v>
      </c>
      <c r="G467" s="11" t="str">
        <f t="shared" si="101"/>
        <v>Meets Target</v>
      </c>
      <c r="H467" t="s">
        <v>646</v>
      </c>
      <c r="I467" t="s">
        <v>651</v>
      </c>
      <c r="J467" t="s">
        <v>663</v>
      </c>
      <c r="K467" t="s">
        <v>703</v>
      </c>
      <c r="L467" t="s">
        <v>711</v>
      </c>
      <c r="M467" t="s">
        <v>724</v>
      </c>
      <c r="N467" t="s">
        <v>733</v>
      </c>
      <c r="O467" t="str" cm="1">
        <f t="array" ref="O467">_xlfn.IFS(S467&lt;=_xlfn.PERCENTILE.INC(IF(N467:N1097=N467, S467:S1097), 0.33), "Low", S467&lt;=_xlfn.PERCENTILE.INC(IF(N467:N1097=N467, S467:S1097), 0.66), "Medium", S467 &gt; _xlfn.PERCENTILE.INC(IF(N467:N1097=N467, S467:S1097), 0.66), "High")</f>
        <v>Low</v>
      </c>
      <c r="P467" t="s">
        <v>1199</v>
      </c>
      <c r="Q467" s="6">
        <v>242.31</v>
      </c>
      <c r="R467" s="6">
        <v>587.95000000000005</v>
      </c>
      <c r="S467" s="6">
        <v>587.95000000000005</v>
      </c>
      <c r="T467" s="9">
        <v>0.22900000000000001</v>
      </c>
      <c r="U467" s="9">
        <f>IF(T467&gt;0.3, $AO$4, T467)</f>
        <v>0.22900000000000001</v>
      </c>
      <c r="V467" s="7" t="str">
        <f t="shared" si="102"/>
        <v>Greater than 20%</v>
      </c>
      <c r="W467" s="11">
        <v>6</v>
      </c>
      <c r="X467" s="6">
        <f t="shared" si="99"/>
        <v>2719.8567000000003</v>
      </c>
      <c r="Y467" s="6">
        <f t="shared" si="100"/>
        <v>1453.8600000000001</v>
      </c>
      <c r="Z467" s="6">
        <f t="shared" si="103"/>
        <v>1265.9967000000001</v>
      </c>
      <c r="AA467" s="9">
        <f t="shared" si="104"/>
        <v>0.46546448568411714</v>
      </c>
      <c r="AB467" s="9">
        <f>IF(U467&gt;'What-If Analysis'!$F$16, 'What-If Analysis'!$F$16,T467)</f>
        <v>0.17</v>
      </c>
      <c r="AC467" s="42">
        <f>S467*(1-AB467)</f>
        <v>487.99850000000004</v>
      </c>
      <c r="AD467" s="42">
        <f>Q467*(1+'What-If Analysis'!F482)</f>
        <v>242.31</v>
      </c>
      <c r="AE467" s="41">
        <f>W467*(1+'What-If Analysis'!$F$18)</f>
        <v>7.02</v>
      </c>
      <c r="AF467" s="42">
        <f t="shared" si="105"/>
        <v>3425.7494700000002</v>
      </c>
      <c r="AG467" s="42">
        <f t="shared" si="106"/>
        <v>1701.0162</v>
      </c>
      <c r="AH467" s="42">
        <f t="shared" si="107"/>
        <v>1724.7332700000002</v>
      </c>
      <c r="AI467" s="44">
        <f t="shared" si="108"/>
        <v>0.50346158850898104</v>
      </c>
      <c r="AJ467" s="42">
        <f t="shared" si="109"/>
        <v>705.89276999999993</v>
      </c>
      <c r="AK467" s="42">
        <f t="shared" si="110"/>
        <v>1265.9967000000001</v>
      </c>
      <c r="AL467" s="9">
        <f t="shared" si="111"/>
        <v>3.7997102824863904E-2</v>
      </c>
      <c r="AM467" s="42"/>
    </row>
    <row r="468" spans="1:39" x14ac:dyDescent="0.25">
      <c r="A468" t="s">
        <v>481</v>
      </c>
      <c r="B468" s="20">
        <v>45278</v>
      </c>
      <c r="C468" s="4">
        <v>45305</v>
      </c>
      <c r="D468" s="4" t="s">
        <v>1438</v>
      </c>
      <c r="E468" s="4">
        <v>45305</v>
      </c>
      <c r="F468" s="11">
        <f t="shared" si="98"/>
        <v>27</v>
      </c>
      <c r="G468" s="11" t="str">
        <f t="shared" si="101"/>
        <v>Does not Meet Target</v>
      </c>
      <c r="H468" t="s">
        <v>647</v>
      </c>
      <c r="I468" t="s">
        <v>654</v>
      </c>
      <c r="J468" t="s">
        <v>691</v>
      </c>
      <c r="K468" t="s">
        <v>704</v>
      </c>
      <c r="L468" t="s">
        <v>710</v>
      </c>
      <c r="M468" t="s">
        <v>726</v>
      </c>
      <c r="N468" t="s">
        <v>729</v>
      </c>
      <c r="O468" t="str" cm="1">
        <f t="array" ref="O468">_xlfn.IFS(S468&lt;=_xlfn.PERCENTILE.INC(IF(N468:N1098=N468, S468:S1098), 0.33), "Low", S468&lt;=_xlfn.PERCENTILE.INC(IF(N468:N1098=N468, S468:S1098), 0.66), "Medium", S468 &gt; _xlfn.PERCENTILE.INC(IF(N468:N1098=N468, S468:S1098), 0.66), "High")</f>
        <v>Medium</v>
      </c>
      <c r="P468" t="s">
        <v>1200</v>
      </c>
      <c r="Q468" s="6">
        <v>1408.3</v>
      </c>
      <c r="R468" s="6">
        <v>2193.13</v>
      </c>
      <c r="S468" s="6">
        <v>2193.13</v>
      </c>
      <c r="T468" s="9">
        <v>7.0999999999999994E-2</v>
      </c>
      <c r="U468" s="9">
        <f>IF(T468&gt;0.3, $AO$4, T468)</f>
        <v>7.0999999999999994E-2</v>
      </c>
      <c r="V468" s="7" t="str">
        <f t="shared" si="102"/>
        <v>Less than 20%</v>
      </c>
      <c r="W468" s="11">
        <v>7</v>
      </c>
      <c r="X468" s="6">
        <f t="shared" si="99"/>
        <v>14261.92439</v>
      </c>
      <c r="Y468" s="6">
        <f t="shared" si="100"/>
        <v>9858.1</v>
      </c>
      <c r="Z468" s="6">
        <f t="shared" si="103"/>
        <v>4403.8243899999998</v>
      </c>
      <c r="AA468" s="9">
        <f t="shared" si="104"/>
        <v>0.30878191957656281</v>
      </c>
      <c r="AB468" s="9">
        <f>IF(U468&gt;'What-If Analysis'!$F$16, 'What-If Analysis'!$F$16,T468)</f>
        <v>7.0999999999999994E-2</v>
      </c>
      <c r="AC468" s="42">
        <f>S468*(1-AB468)</f>
        <v>2037.4177700000002</v>
      </c>
      <c r="AD468" s="42">
        <f>Q468*(1+'What-If Analysis'!F483)</f>
        <v>1408.3</v>
      </c>
      <c r="AE468" s="41">
        <f>W468*(1+'What-If Analysis'!$F$18)</f>
        <v>8.19</v>
      </c>
      <c r="AF468" s="42">
        <f t="shared" si="105"/>
        <v>16686.451536300003</v>
      </c>
      <c r="AG468" s="42">
        <f t="shared" si="106"/>
        <v>11533.976999999999</v>
      </c>
      <c r="AH468" s="42">
        <f t="shared" si="107"/>
        <v>5152.4745363000038</v>
      </c>
      <c r="AI468" s="44">
        <f t="shared" si="108"/>
        <v>0.30878191957656304</v>
      </c>
      <c r="AJ468" s="42">
        <f t="shared" si="109"/>
        <v>2424.5271463000026</v>
      </c>
      <c r="AK468" s="42">
        <f t="shared" si="110"/>
        <v>4403.8243899999998</v>
      </c>
      <c r="AL468" s="9">
        <f t="shared" si="111"/>
        <v>0</v>
      </c>
      <c r="AM468" s="42"/>
    </row>
    <row r="469" spans="1:39" x14ac:dyDescent="0.25">
      <c r="A469" t="s">
        <v>482</v>
      </c>
      <c r="B469" s="20">
        <v>45809</v>
      </c>
      <c r="C469" s="4">
        <v>45813</v>
      </c>
      <c r="D469" s="4" t="s">
        <v>1440</v>
      </c>
      <c r="E469" s="4">
        <v>45813</v>
      </c>
      <c r="F469" s="11">
        <f t="shared" si="98"/>
        <v>4</v>
      </c>
      <c r="G469" s="11" t="str">
        <f t="shared" si="101"/>
        <v>Meets Target</v>
      </c>
      <c r="H469" t="s">
        <v>649</v>
      </c>
      <c r="I469" t="s">
        <v>656</v>
      </c>
      <c r="J469" t="s">
        <v>684</v>
      </c>
      <c r="K469" t="s">
        <v>706</v>
      </c>
      <c r="L469" t="s">
        <v>711</v>
      </c>
      <c r="M469" t="s">
        <v>724</v>
      </c>
      <c r="N469" t="s">
        <v>727</v>
      </c>
      <c r="O469" t="str" cm="1">
        <f t="array" ref="O469">_xlfn.IFS(S469&lt;=_xlfn.PERCENTILE.INC(IF(N469:N1099=N469, S469:S1099), 0.33), "Low", S469&lt;=_xlfn.PERCENTILE.INC(IF(N469:N1099=N469, S469:S1099), 0.66), "Medium", S469 &gt; _xlfn.PERCENTILE.INC(IF(N469:N1099=N469, S469:S1099), 0.66), "High")</f>
        <v>High</v>
      </c>
      <c r="P469" t="s">
        <v>1201</v>
      </c>
      <c r="Q469" s="6">
        <v>1171.42</v>
      </c>
      <c r="R469" s="6">
        <v>2187.8000000000002</v>
      </c>
      <c r="S469" s="6">
        <v>2187.8000000000002</v>
      </c>
      <c r="T469" s="9">
        <v>0.23</v>
      </c>
      <c r="U469" s="9">
        <f>IF(T469&gt;0.3, $AO$4, T469)</f>
        <v>0.23</v>
      </c>
      <c r="V469" s="7" t="str">
        <f t="shared" si="102"/>
        <v>Greater than 20%</v>
      </c>
      <c r="W469" s="11">
        <v>15</v>
      </c>
      <c r="X469" s="6">
        <f t="shared" si="99"/>
        <v>25269.09</v>
      </c>
      <c r="Y469" s="6">
        <f t="shared" si="100"/>
        <v>17571.300000000003</v>
      </c>
      <c r="Z469" s="6">
        <f t="shared" si="103"/>
        <v>7697.7899999999972</v>
      </c>
      <c r="AA469" s="9">
        <f t="shared" si="104"/>
        <v>0.30463265594447592</v>
      </c>
      <c r="AB469" s="9">
        <f>IF(U469&gt;'What-If Analysis'!$F$16, 'What-If Analysis'!$F$16,T469)</f>
        <v>0.17</v>
      </c>
      <c r="AC469" s="42">
        <f>S469*(1-AB469)</f>
        <v>1815.874</v>
      </c>
      <c r="AD469" s="42">
        <f>Q469*(1+'What-If Analysis'!F484)</f>
        <v>1171.42</v>
      </c>
      <c r="AE469" s="41">
        <f>W469*(1+'What-If Analysis'!$F$18)</f>
        <v>17.549999999999997</v>
      </c>
      <c r="AF469" s="42">
        <f t="shared" si="105"/>
        <v>31868.588699999997</v>
      </c>
      <c r="AG469" s="42">
        <f t="shared" si="106"/>
        <v>20558.420999999998</v>
      </c>
      <c r="AH469" s="42">
        <f t="shared" si="107"/>
        <v>11310.167699999998</v>
      </c>
      <c r="AI469" s="44">
        <f t="shared" si="108"/>
        <v>0.35490017479186331</v>
      </c>
      <c r="AJ469" s="42">
        <f t="shared" si="109"/>
        <v>6599.4986999999965</v>
      </c>
      <c r="AK469" s="42">
        <f t="shared" si="110"/>
        <v>7697.7899999999972</v>
      </c>
      <c r="AL469" s="9">
        <f t="shared" si="111"/>
        <v>5.0267518847387394E-2</v>
      </c>
      <c r="AM469" s="42"/>
    </row>
    <row r="470" spans="1:39" x14ac:dyDescent="0.25">
      <c r="A470" t="s">
        <v>483</v>
      </c>
      <c r="B470" s="20">
        <v>45739</v>
      </c>
      <c r="C470" s="4">
        <v>45749</v>
      </c>
      <c r="D470" s="4" t="s">
        <v>1437</v>
      </c>
      <c r="E470" s="4">
        <v>45749</v>
      </c>
      <c r="F470" s="11">
        <f t="shared" si="98"/>
        <v>10</v>
      </c>
      <c r="G470" s="11" t="str">
        <f t="shared" si="101"/>
        <v>Does not Meet Target</v>
      </c>
      <c r="H470" t="s">
        <v>649</v>
      </c>
      <c r="I470" t="s">
        <v>656</v>
      </c>
      <c r="J470" t="s">
        <v>671</v>
      </c>
      <c r="K470" t="s">
        <v>706</v>
      </c>
      <c r="L470" t="s">
        <v>708</v>
      </c>
      <c r="M470" t="s">
        <v>718</v>
      </c>
      <c r="N470" t="s">
        <v>728</v>
      </c>
      <c r="O470" t="str" cm="1">
        <f t="array" ref="O470">_xlfn.IFS(S470&lt;=_xlfn.PERCENTILE.INC(IF(N470:N1100=N470, S470:S1100), 0.33), "Low", S470&lt;=_xlfn.PERCENTILE.INC(IF(N470:N1100=N470, S470:S1100), 0.66), "Medium", S470 &gt; _xlfn.PERCENTILE.INC(IF(N470:N1100=N470, S470:S1100), 0.66), "High")</f>
        <v>Medium</v>
      </c>
      <c r="P470" t="s">
        <v>1202</v>
      </c>
      <c r="Q470" s="6">
        <v>663.61</v>
      </c>
      <c r="R470" s="6">
        <v>1002.11</v>
      </c>
      <c r="S470" s="6">
        <v>1002.11</v>
      </c>
      <c r="T470" s="9">
        <v>4.5999999999999999E-2</v>
      </c>
      <c r="U470" s="9">
        <f>IF(T470&gt;0.3, $AO$4, T470)</f>
        <v>4.5999999999999999E-2</v>
      </c>
      <c r="V470" s="7" t="str">
        <f t="shared" si="102"/>
        <v>Less than 20%</v>
      </c>
      <c r="W470" s="11">
        <v>17</v>
      </c>
      <c r="X470" s="6">
        <f t="shared" si="99"/>
        <v>16252.219979999998</v>
      </c>
      <c r="Y470" s="6">
        <f t="shared" si="100"/>
        <v>11281.37</v>
      </c>
      <c r="Z470" s="6">
        <f t="shared" si="103"/>
        <v>4970.8499799999972</v>
      </c>
      <c r="AA470" s="9">
        <f t="shared" si="104"/>
        <v>0.30585667595670812</v>
      </c>
      <c r="AB470" s="9">
        <f>IF(U470&gt;'What-If Analysis'!$F$16, 'What-If Analysis'!$F$16,T470)</f>
        <v>4.5999999999999999E-2</v>
      </c>
      <c r="AC470" s="42">
        <f>S470*(1-AB470)</f>
        <v>956.01293999999996</v>
      </c>
      <c r="AD470" s="42">
        <f>Q470*(1+'What-If Analysis'!F485)</f>
        <v>663.61</v>
      </c>
      <c r="AE470" s="41">
        <f>W470*(1+'What-If Analysis'!$F$18)</f>
        <v>19.89</v>
      </c>
      <c r="AF470" s="42">
        <f t="shared" si="105"/>
        <v>19015.097376599999</v>
      </c>
      <c r="AG470" s="42">
        <f t="shared" si="106"/>
        <v>13199.2029</v>
      </c>
      <c r="AH470" s="42">
        <f t="shared" si="107"/>
        <v>5815.8944765999986</v>
      </c>
      <c r="AI470" s="44">
        <f t="shared" si="108"/>
        <v>0.30585667595670823</v>
      </c>
      <c r="AJ470" s="42">
        <f t="shared" si="109"/>
        <v>2762.8773966000008</v>
      </c>
      <c r="AK470" s="42">
        <f t="shared" si="110"/>
        <v>4970.8499799999972</v>
      </c>
      <c r="AL470" s="9">
        <f t="shared" si="111"/>
        <v>0</v>
      </c>
      <c r="AM470" s="42"/>
    </row>
    <row r="471" spans="1:39" x14ac:dyDescent="0.25">
      <c r="A471" t="s">
        <v>484</v>
      </c>
      <c r="B471" s="20">
        <v>45060</v>
      </c>
      <c r="C471" s="4">
        <v>45068</v>
      </c>
      <c r="D471" s="4" t="s">
        <v>1442</v>
      </c>
      <c r="E471" s="4">
        <v>45068</v>
      </c>
      <c r="F471" s="11">
        <f t="shared" si="98"/>
        <v>8</v>
      </c>
      <c r="G471" s="11" t="str">
        <f t="shared" si="101"/>
        <v>Does not Meet Target</v>
      </c>
      <c r="H471" t="s">
        <v>646</v>
      </c>
      <c r="I471" t="s">
        <v>650</v>
      </c>
      <c r="J471" t="s">
        <v>675</v>
      </c>
      <c r="K471" t="s">
        <v>705</v>
      </c>
      <c r="L471" t="s">
        <v>710</v>
      </c>
      <c r="M471" t="s">
        <v>721</v>
      </c>
      <c r="N471" t="s">
        <v>728</v>
      </c>
      <c r="O471" t="str" cm="1">
        <f t="array" ref="O471">_xlfn.IFS(S471&lt;=_xlfn.PERCENTILE.INC(IF(N471:N1101=N471, S471:S1101), 0.33), "Low", S471&lt;=_xlfn.PERCENTILE.INC(IF(N471:N1101=N471, S471:S1101), 0.66), "Medium", S471 &gt; _xlfn.PERCENTILE.INC(IF(N471:N1101=N471, S471:S1101), 0.66), "High")</f>
        <v>Low</v>
      </c>
      <c r="P471" t="s">
        <v>1203</v>
      </c>
      <c r="Q471" s="6">
        <v>432.01</v>
      </c>
      <c r="R471" s="6">
        <v>913.78</v>
      </c>
      <c r="S471" s="6">
        <v>913.78</v>
      </c>
      <c r="T471" s="9">
        <v>4.9000000000000002E-2</v>
      </c>
      <c r="U471" s="9">
        <f>IF(T471&gt;0.3, $AO$4, T471)</f>
        <v>4.9000000000000002E-2</v>
      </c>
      <c r="V471" s="7" t="str">
        <f t="shared" si="102"/>
        <v>Less than 20%</v>
      </c>
      <c r="W471" s="11">
        <v>12</v>
      </c>
      <c r="X471" s="6">
        <f t="shared" si="99"/>
        <v>10428.057360000001</v>
      </c>
      <c r="Y471" s="6">
        <f t="shared" si="100"/>
        <v>5184.12</v>
      </c>
      <c r="Z471" s="6">
        <f t="shared" si="103"/>
        <v>5243.9373600000008</v>
      </c>
      <c r="AA471" s="9">
        <f t="shared" si="104"/>
        <v>0.50286809699711899</v>
      </c>
      <c r="AB471" s="9">
        <f>IF(U471&gt;'What-If Analysis'!$F$16, 'What-If Analysis'!$F$16,T471)</f>
        <v>4.9000000000000002E-2</v>
      </c>
      <c r="AC471" s="42">
        <f>S471*(1-AB471)</f>
        <v>869.00477999999998</v>
      </c>
      <c r="AD471" s="42">
        <f>Q471*(1+'What-If Analysis'!F486)</f>
        <v>432.01</v>
      </c>
      <c r="AE471" s="41">
        <f>W471*(1+'What-If Analysis'!$F$18)</f>
        <v>14.04</v>
      </c>
      <c r="AF471" s="42">
        <f t="shared" si="105"/>
        <v>12200.827111199998</v>
      </c>
      <c r="AG471" s="42">
        <f t="shared" si="106"/>
        <v>6065.4203999999991</v>
      </c>
      <c r="AH471" s="42">
        <f t="shared" si="107"/>
        <v>6135.4067111999993</v>
      </c>
      <c r="AI471" s="44">
        <f t="shared" si="108"/>
        <v>0.50286809699711899</v>
      </c>
      <c r="AJ471" s="42">
        <f t="shared" si="109"/>
        <v>1772.7697511999977</v>
      </c>
      <c r="AK471" s="42">
        <f t="shared" si="110"/>
        <v>5243.9373600000008</v>
      </c>
      <c r="AL471" s="9">
        <f t="shared" si="111"/>
        <v>0</v>
      </c>
      <c r="AM471" s="42"/>
    </row>
    <row r="472" spans="1:39" x14ac:dyDescent="0.25">
      <c r="A472" t="s">
        <v>485</v>
      </c>
      <c r="B472" s="20">
        <v>45167</v>
      </c>
      <c r="C472" s="4">
        <v>45188</v>
      </c>
      <c r="D472" s="4" t="s">
        <v>1444</v>
      </c>
      <c r="E472" s="4">
        <v>45188</v>
      </c>
      <c r="F472" s="11">
        <f t="shared" si="98"/>
        <v>21</v>
      </c>
      <c r="G472" s="11" t="str">
        <f t="shared" si="101"/>
        <v>Does not Meet Target</v>
      </c>
      <c r="H472" t="s">
        <v>649</v>
      </c>
      <c r="I472" t="s">
        <v>657</v>
      </c>
      <c r="J472" t="s">
        <v>679</v>
      </c>
      <c r="K472" t="s">
        <v>705</v>
      </c>
      <c r="L472" t="s">
        <v>711</v>
      </c>
      <c r="M472" t="s">
        <v>717</v>
      </c>
      <c r="N472" t="s">
        <v>728</v>
      </c>
      <c r="O472" t="str" cm="1">
        <f t="array" ref="O472">_xlfn.IFS(S472&lt;=_xlfn.PERCENTILE.INC(IF(N472:N1102=N472, S472:S1102), 0.33), "Low", S472&lt;=_xlfn.PERCENTILE.INC(IF(N472:N1102=N472, S472:S1102), 0.66), "Medium", S472 &gt; _xlfn.PERCENTILE.INC(IF(N472:N1102=N472, S472:S1102), 0.66), "High")</f>
        <v>High</v>
      </c>
      <c r="P472" t="s">
        <v>1204</v>
      </c>
      <c r="Q472" s="6">
        <v>784.46</v>
      </c>
      <c r="R472" s="6">
        <v>1843.51</v>
      </c>
      <c r="S472" s="6">
        <v>1843.51</v>
      </c>
      <c r="T472" s="9">
        <v>0.13800000000000001</v>
      </c>
      <c r="U472" s="9">
        <f>IF(T472&gt;0.3, $AO$4, T472)</f>
        <v>0.13800000000000001</v>
      </c>
      <c r="V472" s="7" t="str">
        <f t="shared" si="102"/>
        <v>Less than 20%</v>
      </c>
      <c r="W472" s="11">
        <v>23</v>
      </c>
      <c r="X472" s="6">
        <f t="shared" si="99"/>
        <v>36549.429260000004</v>
      </c>
      <c r="Y472" s="6">
        <f t="shared" si="100"/>
        <v>18042.580000000002</v>
      </c>
      <c r="Z472" s="6">
        <f t="shared" si="103"/>
        <v>18506.849260000003</v>
      </c>
      <c r="AA472" s="9">
        <f t="shared" si="104"/>
        <v>0.50635125184441798</v>
      </c>
      <c r="AB472" s="9">
        <f>IF(U472&gt;'What-If Analysis'!$F$16, 'What-If Analysis'!$F$16,T472)</f>
        <v>0.13800000000000001</v>
      </c>
      <c r="AC472" s="42">
        <f>S472*(1-AB472)</f>
        <v>1589.10562</v>
      </c>
      <c r="AD472" s="42">
        <f>Q472*(1+'What-If Analysis'!F487)</f>
        <v>784.46</v>
      </c>
      <c r="AE472" s="41">
        <f>W472*(1+'What-If Analysis'!$F$18)</f>
        <v>26.909999999999997</v>
      </c>
      <c r="AF472" s="42">
        <f t="shared" si="105"/>
        <v>42762.832234199996</v>
      </c>
      <c r="AG472" s="42">
        <f t="shared" si="106"/>
        <v>21109.818599999999</v>
      </c>
      <c r="AH472" s="42">
        <f t="shared" si="107"/>
        <v>21653.013634199997</v>
      </c>
      <c r="AI472" s="44">
        <f t="shared" si="108"/>
        <v>0.50635125184441798</v>
      </c>
      <c r="AJ472" s="42">
        <f t="shared" si="109"/>
        <v>6213.4029741999911</v>
      </c>
      <c r="AK472" s="42">
        <f t="shared" si="110"/>
        <v>18506.849260000003</v>
      </c>
      <c r="AL472" s="9">
        <f t="shared" si="111"/>
        <v>0</v>
      </c>
      <c r="AM472" s="42"/>
    </row>
    <row r="473" spans="1:39" x14ac:dyDescent="0.25">
      <c r="A473" t="s">
        <v>486</v>
      </c>
      <c r="B473" s="20">
        <v>45841</v>
      </c>
      <c r="C473" s="4">
        <v>45861</v>
      </c>
      <c r="D473" s="4" t="s">
        <v>1441</v>
      </c>
      <c r="E473" s="4">
        <v>45861</v>
      </c>
      <c r="F473" s="11">
        <f t="shared" si="98"/>
        <v>20</v>
      </c>
      <c r="G473" s="11" t="str">
        <f t="shared" si="101"/>
        <v>Does not Meet Target</v>
      </c>
      <c r="H473" t="s">
        <v>647</v>
      </c>
      <c r="I473" t="s">
        <v>659</v>
      </c>
      <c r="J473" t="s">
        <v>699</v>
      </c>
      <c r="K473" t="s">
        <v>705</v>
      </c>
      <c r="L473" t="s">
        <v>708</v>
      </c>
      <c r="M473" t="s">
        <v>724</v>
      </c>
      <c r="N473" t="s">
        <v>727</v>
      </c>
      <c r="O473" t="str" cm="1">
        <f t="array" ref="O473">_xlfn.IFS(S473&lt;=_xlfn.PERCENTILE.INC(IF(N473:N1103=N473, S473:S1103), 0.33), "Low", S473&lt;=_xlfn.PERCENTILE.INC(IF(N473:N1103=N473, S473:S1103), 0.66), "Medium", S473 &gt; _xlfn.PERCENTILE.INC(IF(N473:N1103=N473, S473:S1103), 0.66), "High")</f>
        <v>Medium</v>
      </c>
      <c r="P473" t="s">
        <v>1205</v>
      </c>
      <c r="Q473" s="6">
        <v>647.36</v>
      </c>
      <c r="R473" s="6">
        <v>1383.6</v>
      </c>
      <c r="S473" s="6">
        <v>1383.6</v>
      </c>
      <c r="T473" s="9">
        <v>7.3999999999999996E-2</v>
      </c>
      <c r="U473" s="9">
        <f>IF(T473&gt;0.3, $AO$4, T473)</f>
        <v>7.3999999999999996E-2</v>
      </c>
      <c r="V473" s="7" t="str">
        <f t="shared" si="102"/>
        <v>Less than 20%</v>
      </c>
      <c r="W473" s="11">
        <v>12</v>
      </c>
      <c r="X473" s="6">
        <f t="shared" si="99"/>
        <v>15374.563199999999</v>
      </c>
      <c r="Y473" s="6">
        <f t="shared" si="100"/>
        <v>7768.32</v>
      </c>
      <c r="Z473" s="6">
        <f t="shared" si="103"/>
        <v>7606.243199999999</v>
      </c>
      <c r="AA473" s="9">
        <f t="shared" si="104"/>
        <v>0.49472906000997802</v>
      </c>
      <c r="AB473" s="9">
        <f>IF(U473&gt;'What-If Analysis'!$F$16, 'What-If Analysis'!$F$16,T473)</f>
        <v>7.3999999999999996E-2</v>
      </c>
      <c r="AC473" s="42">
        <f>S473*(1-AB473)</f>
        <v>1281.2136</v>
      </c>
      <c r="AD473" s="42">
        <f>Q473*(1+'What-If Analysis'!F488)</f>
        <v>647.36</v>
      </c>
      <c r="AE473" s="41">
        <f>W473*(1+'What-If Analysis'!$F$18)</f>
        <v>14.04</v>
      </c>
      <c r="AF473" s="42">
        <f t="shared" si="105"/>
        <v>17988.238944000001</v>
      </c>
      <c r="AG473" s="42">
        <f t="shared" si="106"/>
        <v>9088.9344000000001</v>
      </c>
      <c r="AH473" s="42">
        <f t="shared" si="107"/>
        <v>8899.3045440000005</v>
      </c>
      <c r="AI473" s="44">
        <f t="shared" si="108"/>
        <v>0.49472906000997807</v>
      </c>
      <c r="AJ473" s="42">
        <f t="shared" si="109"/>
        <v>2613.6757440000019</v>
      </c>
      <c r="AK473" s="42">
        <f t="shared" si="110"/>
        <v>7606.243199999999</v>
      </c>
      <c r="AL473" s="9">
        <f t="shared" si="111"/>
        <v>0</v>
      </c>
      <c r="AM473" s="42"/>
    </row>
    <row r="474" spans="1:39" x14ac:dyDescent="0.25">
      <c r="A474" t="s">
        <v>487</v>
      </c>
      <c r="B474" s="20">
        <v>45328</v>
      </c>
      <c r="C474" s="4">
        <v>45350</v>
      </c>
      <c r="D474" s="4" t="s">
        <v>1434</v>
      </c>
      <c r="E474" s="4">
        <v>45350</v>
      </c>
      <c r="F474" s="11">
        <f t="shared" si="98"/>
        <v>22</v>
      </c>
      <c r="G474" s="11" t="str">
        <f t="shared" si="101"/>
        <v>Does not Meet Target</v>
      </c>
      <c r="H474" t="s">
        <v>646</v>
      </c>
      <c r="I474" t="s">
        <v>650</v>
      </c>
      <c r="J474" t="s">
        <v>662</v>
      </c>
      <c r="K474" t="s">
        <v>703</v>
      </c>
      <c r="L474" t="s">
        <v>708</v>
      </c>
      <c r="M474" t="s">
        <v>723</v>
      </c>
      <c r="N474" t="s">
        <v>732</v>
      </c>
      <c r="O474" t="str" cm="1">
        <f t="array" ref="O474">_xlfn.IFS(S474&lt;=_xlfn.PERCENTILE.INC(IF(N474:N1104=N474, S474:S1104), 0.33), "Low", S474&lt;=_xlfn.PERCENTILE.INC(IF(N474:N1104=N474, S474:S1104), 0.66), "Medium", S474 &gt; _xlfn.PERCENTILE.INC(IF(N474:N1104=N474, S474:S1104), 0.66), "High")</f>
        <v>High</v>
      </c>
      <c r="P474" t="s">
        <v>1206</v>
      </c>
      <c r="Q474" s="6">
        <v>834.93</v>
      </c>
      <c r="R474" s="6">
        <v>1588.53</v>
      </c>
      <c r="S474" s="6">
        <v>1588.53</v>
      </c>
      <c r="T474" s="9">
        <v>0.126</v>
      </c>
      <c r="U474" s="9">
        <f>IF(T474&gt;0.3, $AO$4, T474)</f>
        <v>0.126</v>
      </c>
      <c r="V474" s="7" t="str">
        <f t="shared" si="102"/>
        <v>Less than 20%</v>
      </c>
      <c r="W474" s="11">
        <v>6</v>
      </c>
      <c r="X474" s="6">
        <f t="shared" si="99"/>
        <v>8330.2513199999994</v>
      </c>
      <c r="Y474" s="6">
        <f t="shared" si="100"/>
        <v>5009.58</v>
      </c>
      <c r="Z474" s="6">
        <f t="shared" si="103"/>
        <v>3320.6713199999995</v>
      </c>
      <c r="AA474" s="9">
        <f t="shared" si="104"/>
        <v>0.39862798761274343</v>
      </c>
      <c r="AB474" s="9">
        <f>IF(U474&gt;'What-If Analysis'!$F$16, 'What-If Analysis'!$F$16,T474)</f>
        <v>0.126</v>
      </c>
      <c r="AC474" s="42">
        <f>S474*(1-AB474)</f>
        <v>1388.3752199999999</v>
      </c>
      <c r="AD474" s="42">
        <f>Q474*(1+'What-If Analysis'!F489)</f>
        <v>834.93</v>
      </c>
      <c r="AE474" s="41">
        <f>W474*(1+'What-If Analysis'!$F$18)</f>
        <v>7.02</v>
      </c>
      <c r="AF474" s="42">
        <f t="shared" si="105"/>
        <v>9746.3940443999982</v>
      </c>
      <c r="AG474" s="42">
        <f t="shared" si="106"/>
        <v>5861.208599999999</v>
      </c>
      <c r="AH474" s="42">
        <f t="shared" si="107"/>
        <v>3885.1854443999991</v>
      </c>
      <c r="AI474" s="44">
        <f t="shared" si="108"/>
        <v>0.39862798761274348</v>
      </c>
      <c r="AJ474" s="42">
        <f t="shared" si="109"/>
        <v>1416.1427243999988</v>
      </c>
      <c r="AK474" s="42">
        <f t="shared" si="110"/>
        <v>3320.6713199999995</v>
      </c>
      <c r="AL474" s="9">
        <f t="shared" si="111"/>
        <v>0</v>
      </c>
      <c r="AM474" s="42"/>
    </row>
    <row r="475" spans="1:39" x14ac:dyDescent="0.25">
      <c r="A475" t="s">
        <v>488</v>
      </c>
      <c r="B475" s="20">
        <v>45882</v>
      </c>
      <c r="C475" s="4">
        <v>45903</v>
      </c>
      <c r="D475" s="4" t="s">
        <v>1441</v>
      </c>
      <c r="E475" s="4">
        <v>45903</v>
      </c>
      <c r="F475" s="11">
        <f t="shared" si="98"/>
        <v>21</v>
      </c>
      <c r="G475" s="11" t="str">
        <f t="shared" si="101"/>
        <v>Does not Meet Target</v>
      </c>
      <c r="H475" t="s">
        <v>649</v>
      </c>
      <c r="I475" t="s">
        <v>657</v>
      </c>
      <c r="J475" t="s">
        <v>690</v>
      </c>
      <c r="K475" t="s">
        <v>702</v>
      </c>
      <c r="L475" t="s">
        <v>707</v>
      </c>
      <c r="M475" t="s">
        <v>714</v>
      </c>
      <c r="N475" t="s">
        <v>730</v>
      </c>
      <c r="O475" t="str" cm="1">
        <f t="array" ref="O475">_xlfn.IFS(S475&lt;=_xlfn.PERCENTILE.INC(IF(N475:N1105=N475, S475:S1105), 0.33), "Low", S475&lt;=_xlfn.PERCENTILE.INC(IF(N475:N1105=N475, S475:S1105), 0.66), "Medium", S475 &gt; _xlfn.PERCENTILE.INC(IF(N475:N1105=N475, S475:S1105), 0.66), "High")</f>
        <v>Medium</v>
      </c>
      <c r="P475" t="s">
        <v>1207</v>
      </c>
      <c r="Q475" s="6">
        <v>603.47</v>
      </c>
      <c r="R475" s="6">
        <v>1344.05</v>
      </c>
      <c r="S475" s="6">
        <v>1344.05</v>
      </c>
      <c r="T475" s="9">
        <v>0.20499999999999999</v>
      </c>
      <c r="U475" s="9">
        <f>IF(T475&gt;0.3, $AO$4, T475)</f>
        <v>0.20499999999999999</v>
      </c>
      <c r="V475" s="7" t="str">
        <f t="shared" si="102"/>
        <v>Greater than 20%</v>
      </c>
      <c r="W475" s="11">
        <v>18</v>
      </c>
      <c r="X475" s="6">
        <f t="shared" si="99"/>
        <v>19233.355499999998</v>
      </c>
      <c r="Y475" s="6">
        <f t="shared" si="100"/>
        <v>10862.460000000001</v>
      </c>
      <c r="Z475" s="6">
        <f t="shared" si="103"/>
        <v>8370.8954999999969</v>
      </c>
      <c r="AA475" s="9">
        <f t="shared" si="104"/>
        <v>0.43522803392262976</v>
      </c>
      <c r="AB475" s="9">
        <f>IF(U475&gt;'What-If Analysis'!$F$16, 'What-If Analysis'!$F$16,T475)</f>
        <v>0.17</v>
      </c>
      <c r="AC475" s="42">
        <f>S475*(1-AB475)</f>
        <v>1115.5614999999998</v>
      </c>
      <c r="AD475" s="42">
        <f>Q475*(1+'What-If Analysis'!F490)</f>
        <v>603.47</v>
      </c>
      <c r="AE475" s="41">
        <f>W475*(1+'What-If Analysis'!$F$18)</f>
        <v>21.06</v>
      </c>
      <c r="AF475" s="42">
        <f t="shared" si="105"/>
        <v>23493.725189999994</v>
      </c>
      <c r="AG475" s="42">
        <f t="shared" si="106"/>
        <v>12709.0782</v>
      </c>
      <c r="AH475" s="42">
        <f t="shared" si="107"/>
        <v>10784.646989999994</v>
      </c>
      <c r="AI475" s="44">
        <f t="shared" si="108"/>
        <v>0.45904371923914533</v>
      </c>
      <c r="AJ475" s="42">
        <f t="shared" si="109"/>
        <v>4260.3696899999959</v>
      </c>
      <c r="AK475" s="42">
        <f t="shared" si="110"/>
        <v>8370.8954999999969</v>
      </c>
      <c r="AL475" s="9">
        <f t="shared" si="111"/>
        <v>2.3815685316515567E-2</v>
      </c>
      <c r="AM475" s="42"/>
    </row>
    <row r="476" spans="1:39" x14ac:dyDescent="0.25">
      <c r="A476" t="s">
        <v>489</v>
      </c>
      <c r="B476" s="20">
        <v>45069</v>
      </c>
      <c r="C476" s="4">
        <v>45071</v>
      </c>
      <c r="D476" s="4" t="s">
        <v>1442</v>
      </c>
      <c r="E476" s="4">
        <v>45071</v>
      </c>
      <c r="F476" s="11">
        <f t="shared" si="98"/>
        <v>2</v>
      </c>
      <c r="G476" s="11" t="str">
        <f t="shared" si="101"/>
        <v>Meets Target</v>
      </c>
      <c r="H476" t="s">
        <v>648</v>
      </c>
      <c r="I476" t="s">
        <v>655</v>
      </c>
      <c r="J476" t="s">
        <v>692</v>
      </c>
      <c r="K476" t="s">
        <v>706</v>
      </c>
      <c r="L476" t="s">
        <v>707</v>
      </c>
      <c r="M476" t="s">
        <v>724</v>
      </c>
      <c r="N476" t="s">
        <v>728</v>
      </c>
      <c r="O476" t="str" cm="1">
        <f t="array" ref="O476">_xlfn.IFS(S476&lt;=_xlfn.PERCENTILE.INC(IF(N476:N1106=N476, S476:S1106), 0.33), "Low", S476&lt;=_xlfn.PERCENTILE.INC(IF(N476:N1106=N476, S476:S1106), 0.66), "Medium", S476 &gt; _xlfn.PERCENTILE.INC(IF(N476:N1106=N476, S476:S1106), 0.66), "High")</f>
        <v>Medium</v>
      </c>
      <c r="P476" t="s">
        <v>1208</v>
      </c>
      <c r="Q476" s="6">
        <v>690.49</v>
      </c>
      <c r="R476" s="6">
        <v>1290.29</v>
      </c>
      <c r="S476" s="6">
        <v>1290.29</v>
      </c>
      <c r="T476" s="9">
        <v>4.2000000000000003E-2</v>
      </c>
      <c r="U476" s="9">
        <f>IF(T476&gt;0.3, $AO$4, T476)</f>
        <v>4.2000000000000003E-2</v>
      </c>
      <c r="V476" s="7" t="str">
        <f t="shared" si="102"/>
        <v>Less than 20%</v>
      </c>
      <c r="W476" s="11">
        <v>22</v>
      </c>
      <c r="X476" s="6">
        <f t="shared" si="99"/>
        <v>27194.152039999997</v>
      </c>
      <c r="Y476" s="6">
        <f t="shared" si="100"/>
        <v>15190.78</v>
      </c>
      <c r="Z476" s="6">
        <f t="shared" si="103"/>
        <v>12003.372039999997</v>
      </c>
      <c r="AA476" s="9">
        <f t="shared" si="104"/>
        <v>0.44139534199647718</v>
      </c>
      <c r="AB476" s="9">
        <f>IF(U476&gt;'What-If Analysis'!$F$16, 'What-If Analysis'!$F$16,T476)</f>
        <v>4.2000000000000003E-2</v>
      </c>
      <c r="AC476" s="42">
        <f>S476*(1-AB476)</f>
        <v>1236.09782</v>
      </c>
      <c r="AD476" s="42">
        <f>Q476*(1+'What-If Analysis'!F491)</f>
        <v>690.49</v>
      </c>
      <c r="AE476" s="41">
        <f>W476*(1+'What-If Analysis'!$F$18)</f>
        <v>25.74</v>
      </c>
      <c r="AF476" s="42">
        <f t="shared" si="105"/>
        <v>31817.157886799996</v>
      </c>
      <c r="AG476" s="42">
        <f t="shared" si="106"/>
        <v>17773.212599999999</v>
      </c>
      <c r="AH476" s="42">
        <f t="shared" si="107"/>
        <v>14043.945286799997</v>
      </c>
      <c r="AI476" s="44">
        <f t="shared" si="108"/>
        <v>0.44139534199647723</v>
      </c>
      <c r="AJ476" s="42">
        <f t="shared" si="109"/>
        <v>4623.0058467999988</v>
      </c>
      <c r="AK476" s="42">
        <f t="shared" si="110"/>
        <v>12003.372039999997</v>
      </c>
      <c r="AL476" s="9">
        <f t="shared" si="111"/>
        <v>0</v>
      </c>
      <c r="AM476" s="42"/>
    </row>
    <row r="477" spans="1:39" x14ac:dyDescent="0.25">
      <c r="A477" t="s">
        <v>490</v>
      </c>
      <c r="B477" s="20">
        <v>45422</v>
      </c>
      <c r="C477" s="4">
        <v>45428</v>
      </c>
      <c r="D477" s="4" t="s">
        <v>1439</v>
      </c>
      <c r="E477" s="4">
        <v>45428</v>
      </c>
      <c r="F477" s="11">
        <f t="shared" si="98"/>
        <v>6</v>
      </c>
      <c r="G477" s="11" t="str">
        <f t="shared" si="101"/>
        <v>Meets Target</v>
      </c>
      <c r="H477" t="s">
        <v>649</v>
      </c>
      <c r="I477" t="s">
        <v>658</v>
      </c>
      <c r="J477" t="s">
        <v>674</v>
      </c>
      <c r="K477" t="s">
        <v>703</v>
      </c>
      <c r="L477" t="s">
        <v>711</v>
      </c>
      <c r="M477" t="s">
        <v>715</v>
      </c>
      <c r="N477" t="s">
        <v>731</v>
      </c>
      <c r="O477" t="str" cm="1">
        <f t="array" ref="O477">_xlfn.IFS(S477&lt;=_xlfn.PERCENTILE.INC(IF(N477:N1107=N477, S477:S1107), 0.33), "Low", S477&lt;=_xlfn.PERCENTILE.INC(IF(N477:N1107=N477, S477:S1107), 0.66), "Medium", S477 &gt; _xlfn.PERCENTILE.INC(IF(N477:N1107=N477, S477:S1107), 0.66), "High")</f>
        <v>Low</v>
      </c>
      <c r="P477" t="s">
        <v>1209</v>
      </c>
      <c r="Q477" s="6">
        <v>210.76</v>
      </c>
      <c r="R477" s="6">
        <v>221.58</v>
      </c>
      <c r="S477" s="6">
        <v>221.58</v>
      </c>
      <c r="T477" s="9">
        <v>8.8999999999999996E-2</v>
      </c>
      <c r="U477" s="9">
        <f>IF(T477&gt;0.3, $AO$4, T477)</f>
        <v>8.8999999999999996E-2</v>
      </c>
      <c r="V477" s="7" t="str">
        <f t="shared" si="102"/>
        <v>Less than 20%</v>
      </c>
      <c r="W477" s="11">
        <v>5</v>
      </c>
      <c r="X477" s="6">
        <f t="shared" si="99"/>
        <v>1009.2969000000002</v>
      </c>
      <c r="Y477" s="6">
        <f t="shared" si="100"/>
        <v>1053.8</v>
      </c>
      <c r="Z477" s="6">
        <f t="shared" si="103"/>
        <v>-44.50309999999979</v>
      </c>
      <c r="AA477" s="9">
        <f t="shared" si="104"/>
        <v>-4.4093170205912434E-2</v>
      </c>
      <c r="AB477" s="9">
        <f>IF(U477&gt;'What-If Analysis'!$F$16, 'What-If Analysis'!$F$16,T477)</f>
        <v>8.8999999999999996E-2</v>
      </c>
      <c r="AC477" s="42">
        <f>S477*(1-AB477)</f>
        <v>201.85938000000002</v>
      </c>
      <c r="AD477" s="42">
        <f>Q477*(1+'What-If Analysis'!F492)</f>
        <v>210.76</v>
      </c>
      <c r="AE477" s="41">
        <f>W477*(1+'What-If Analysis'!$F$18)</f>
        <v>5.85</v>
      </c>
      <c r="AF477" s="42">
        <f t="shared" si="105"/>
        <v>1180.877373</v>
      </c>
      <c r="AG477" s="42">
        <f t="shared" si="106"/>
        <v>1232.9459999999999</v>
      </c>
      <c r="AH477" s="42">
        <f t="shared" si="107"/>
        <v>-52.068626999999879</v>
      </c>
      <c r="AI477" s="44">
        <f t="shared" si="108"/>
        <v>-4.4093170205912545E-2</v>
      </c>
      <c r="AJ477" s="42">
        <f t="shared" si="109"/>
        <v>171.58047299999987</v>
      </c>
      <c r="AK477" s="42">
        <f t="shared" si="110"/>
        <v>-44.50309999999979</v>
      </c>
      <c r="AL477" s="9">
        <f t="shared" si="111"/>
        <v>-1.1102230246251565E-16</v>
      </c>
      <c r="AM477" s="42"/>
    </row>
    <row r="478" spans="1:39" x14ac:dyDescent="0.25">
      <c r="A478" t="s">
        <v>491</v>
      </c>
      <c r="B478" s="20">
        <v>44999</v>
      </c>
      <c r="C478" s="4">
        <v>45003</v>
      </c>
      <c r="D478" s="4" t="s">
        <v>1436</v>
      </c>
      <c r="E478" s="4">
        <v>45003</v>
      </c>
      <c r="F478" s="11">
        <f t="shared" si="98"/>
        <v>4</v>
      </c>
      <c r="G478" s="11" t="str">
        <f t="shared" si="101"/>
        <v>Meets Target</v>
      </c>
      <c r="H478" t="s">
        <v>649</v>
      </c>
      <c r="I478" t="s">
        <v>656</v>
      </c>
      <c r="J478" t="s">
        <v>698</v>
      </c>
      <c r="K478" t="s">
        <v>706</v>
      </c>
      <c r="L478" t="s">
        <v>711</v>
      </c>
      <c r="M478" t="s">
        <v>720</v>
      </c>
      <c r="N478" t="s">
        <v>727</v>
      </c>
      <c r="O478" t="str" cm="1">
        <f t="array" ref="O478">_xlfn.IFS(S478&lt;=_xlfn.PERCENTILE.INC(IF(N478:N1108=N478, S478:S1108), 0.33), "Low", S478&lt;=_xlfn.PERCENTILE.INC(IF(N478:N1108=N478, S478:S1108), 0.66), "Medium", S478 &gt; _xlfn.PERCENTILE.INC(IF(N478:N1108=N478, S478:S1108), 0.66), "High")</f>
        <v>Low</v>
      </c>
      <c r="P478" t="s">
        <v>1210</v>
      </c>
      <c r="Q478" s="6">
        <v>472.33</v>
      </c>
      <c r="R478" s="6">
        <v>360.34</v>
      </c>
      <c r="S478" s="6">
        <v>360.34</v>
      </c>
      <c r="T478" s="9">
        <v>0.16500000000000001</v>
      </c>
      <c r="U478" s="9">
        <f>IF(T478&gt;0.3, $AO$4, T478)</f>
        <v>0.16500000000000001</v>
      </c>
      <c r="V478" s="7" t="str">
        <f t="shared" si="102"/>
        <v>Less than 20%</v>
      </c>
      <c r="W478" s="11">
        <v>14</v>
      </c>
      <c r="X478" s="6">
        <f t="shared" si="99"/>
        <v>4212.3745999999992</v>
      </c>
      <c r="Y478" s="6">
        <f t="shared" si="100"/>
        <v>6612.62</v>
      </c>
      <c r="Z478" s="6">
        <f t="shared" si="103"/>
        <v>-2400.2454000000007</v>
      </c>
      <c r="AA478" s="9">
        <f t="shared" si="104"/>
        <v>-0.56980815523861561</v>
      </c>
      <c r="AB478" s="9">
        <f>IF(U478&gt;'What-If Analysis'!$F$16, 'What-If Analysis'!$F$16,T478)</f>
        <v>0.16500000000000001</v>
      </c>
      <c r="AC478" s="42">
        <f>S478*(1-AB478)</f>
        <v>300.88389999999998</v>
      </c>
      <c r="AD478" s="42">
        <f>Q478*(1+'What-If Analysis'!F493)</f>
        <v>472.33</v>
      </c>
      <c r="AE478" s="41">
        <f>W478*(1+'What-If Analysis'!$F$18)</f>
        <v>16.38</v>
      </c>
      <c r="AF478" s="42">
        <f t="shared" si="105"/>
        <v>4928.4782819999991</v>
      </c>
      <c r="AG478" s="42">
        <f t="shared" si="106"/>
        <v>7736.7653999999993</v>
      </c>
      <c r="AH478" s="42">
        <f t="shared" si="107"/>
        <v>-2808.2871180000002</v>
      </c>
      <c r="AI478" s="44">
        <f t="shared" si="108"/>
        <v>-0.56980815523861539</v>
      </c>
      <c r="AJ478" s="42">
        <f t="shared" si="109"/>
        <v>716.10368199999994</v>
      </c>
      <c r="AK478" s="42">
        <f t="shared" si="110"/>
        <v>-2400.2454000000007</v>
      </c>
      <c r="AL478" s="9">
        <f t="shared" si="111"/>
        <v>0</v>
      </c>
      <c r="AM478" s="42"/>
    </row>
    <row r="479" spans="1:39" x14ac:dyDescent="0.25">
      <c r="A479" t="s">
        <v>492</v>
      </c>
      <c r="B479" s="20">
        <v>45123</v>
      </c>
      <c r="C479" s="4">
        <v>45151</v>
      </c>
      <c r="D479" s="4" t="s">
        <v>1444</v>
      </c>
      <c r="E479" s="4">
        <v>45151</v>
      </c>
      <c r="F479" s="11">
        <f t="shared" si="98"/>
        <v>28</v>
      </c>
      <c r="G479" s="11" t="str">
        <f t="shared" si="101"/>
        <v>Does not Meet Target</v>
      </c>
      <c r="H479" t="s">
        <v>649</v>
      </c>
      <c r="I479" t="s">
        <v>658</v>
      </c>
      <c r="J479" t="s">
        <v>693</v>
      </c>
      <c r="K479" t="s">
        <v>703</v>
      </c>
      <c r="L479" t="s">
        <v>708</v>
      </c>
      <c r="M479" t="s">
        <v>713</v>
      </c>
      <c r="N479" t="s">
        <v>731</v>
      </c>
      <c r="O479" t="str" cm="1">
        <f t="array" ref="O479">_xlfn.IFS(S479&lt;=_xlfn.PERCENTILE.INC(IF(N479:N1109=N479, S479:S1109), 0.33), "Low", S479&lt;=_xlfn.PERCENTILE.INC(IF(N479:N1109=N479, S479:S1109), 0.66), "Medium", S479 &gt; _xlfn.PERCENTILE.INC(IF(N479:N1109=N479, S479:S1109), 0.66), "High")</f>
        <v>High</v>
      </c>
      <c r="P479" t="s">
        <v>1211</v>
      </c>
      <c r="Q479" s="6">
        <v>1039.03</v>
      </c>
      <c r="R479" s="6">
        <v>2545.81</v>
      </c>
      <c r="S479" s="6">
        <v>2545.81</v>
      </c>
      <c r="T479" s="9">
        <v>0.216</v>
      </c>
      <c r="U479" s="9">
        <f>IF(T479&gt;0.3, $AO$4, T479)</f>
        <v>0.216</v>
      </c>
      <c r="V479" s="7" t="str">
        <f t="shared" si="102"/>
        <v>Greater than 20%</v>
      </c>
      <c r="W479" s="11">
        <v>21</v>
      </c>
      <c r="X479" s="6">
        <f t="shared" si="99"/>
        <v>41914.215840000004</v>
      </c>
      <c r="Y479" s="6">
        <f t="shared" si="100"/>
        <v>21819.63</v>
      </c>
      <c r="Z479" s="6">
        <f t="shared" si="103"/>
        <v>20094.585840000003</v>
      </c>
      <c r="AA479" s="9">
        <f t="shared" si="104"/>
        <v>0.47942172929364774</v>
      </c>
      <c r="AB479" s="9">
        <f>IF(U479&gt;'What-If Analysis'!$F$16, 'What-If Analysis'!$F$16,T479)</f>
        <v>0.17</v>
      </c>
      <c r="AC479" s="42">
        <f>S479*(1-AB479)</f>
        <v>2113.0222999999996</v>
      </c>
      <c r="AD479" s="42">
        <f>Q479*(1+'What-If Analysis'!F494)</f>
        <v>1039.03</v>
      </c>
      <c r="AE479" s="41">
        <f>W479*(1+'What-If Analysis'!$F$18)</f>
        <v>24.57</v>
      </c>
      <c r="AF479" s="42">
        <f t="shared" si="105"/>
        <v>51916.95791099999</v>
      </c>
      <c r="AG479" s="42">
        <f t="shared" si="106"/>
        <v>25528.967099999998</v>
      </c>
      <c r="AH479" s="42">
        <f t="shared" si="107"/>
        <v>26387.990810999992</v>
      </c>
      <c r="AI479" s="44">
        <f t="shared" si="108"/>
        <v>0.50827305514002374</v>
      </c>
      <c r="AJ479" s="42">
        <f t="shared" si="109"/>
        <v>10002.742070999986</v>
      </c>
      <c r="AK479" s="42">
        <f t="shared" si="110"/>
        <v>20094.585840000003</v>
      </c>
      <c r="AL479" s="9">
        <f t="shared" si="111"/>
        <v>2.8851325846376008E-2</v>
      </c>
      <c r="AM479" s="42"/>
    </row>
    <row r="480" spans="1:39" x14ac:dyDescent="0.25">
      <c r="A480" t="s">
        <v>493</v>
      </c>
      <c r="B480" s="20">
        <v>45032</v>
      </c>
      <c r="C480" s="4">
        <v>45035</v>
      </c>
      <c r="D480" s="4" t="s">
        <v>1442</v>
      </c>
      <c r="E480" s="4">
        <v>45035</v>
      </c>
      <c r="F480" s="11">
        <f t="shared" si="98"/>
        <v>3</v>
      </c>
      <c r="G480" s="11" t="str">
        <f t="shared" si="101"/>
        <v>Meets Target</v>
      </c>
      <c r="H480" t="s">
        <v>649</v>
      </c>
      <c r="I480" t="s">
        <v>656</v>
      </c>
      <c r="J480" t="s">
        <v>684</v>
      </c>
      <c r="K480" t="s">
        <v>701</v>
      </c>
      <c r="L480" t="s">
        <v>711</v>
      </c>
      <c r="M480" t="s">
        <v>717</v>
      </c>
      <c r="N480" t="s">
        <v>733</v>
      </c>
      <c r="O480" t="str" cm="1">
        <f t="array" ref="O480">_xlfn.IFS(S480&lt;=_xlfn.PERCENTILE.INC(IF(N480:N1110=N480, S480:S1110), 0.33), "Low", S480&lt;=_xlfn.PERCENTILE.INC(IF(N480:N1110=N480, S480:S1110), 0.66), "Medium", S480 &gt; _xlfn.PERCENTILE.INC(IF(N480:N1110=N480, S480:S1110), 0.66), "High")</f>
        <v>Low</v>
      </c>
      <c r="P480" t="s">
        <v>1212</v>
      </c>
      <c r="Q480" s="6">
        <v>553.61</v>
      </c>
      <c r="R480" s="6">
        <v>699.47</v>
      </c>
      <c r="S480" s="6">
        <v>699.47</v>
      </c>
      <c r="T480" s="9">
        <v>0.02</v>
      </c>
      <c r="U480" s="9">
        <f>IF(T480&gt;0.3, $AO$4, T480)</f>
        <v>0.02</v>
      </c>
      <c r="V480" s="7" t="str">
        <f t="shared" si="102"/>
        <v>Less than 20%</v>
      </c>
      <c r="W480" s="11">
        <v>33</v>
      </c>
      <c r="X480" s="6">
        <f t="shared" si="99"/>
        <v>22620.859800000002</v>
      </c>
      <c r="Y480" s="6">
        <f t="shared" si="100"/>
        <v>18269.13</v>
      </c>
      <c r="Z480" s="6">
        <f t="shared" si="103"/>
        <v>4351.729800000001</v>
      </c>
      <c r="AA480" s="9">
        <f t="shared" si="104"/>
        <v>0.19237685209472014</v>
      </c>
      <c r="AB480" s="9">
        <f>IF(U480&gt;'What-If Analysis'!$F$16, 'What-If Analysis'!$F$16,T480)</f>
        <v>0.02</v>
      </c>
      <c r="AC480" s="42">
        <f>S480*(1-AB480)</f>
        <v>685.48059999999998</v>
      </c>
      <c r="AD480" s="42">
        <f>Q480*(1+'What-If Analysis'!F495)</f>
        <v>553.61</v>
      </c>
      <c r="AE480" s="41">
        <f>W480*(1+'What-If Analysis'!$F$18)</f>
        <v>38.61</v>
      </c>
      <c r="AF480" s="42">
        <f t="shared" si="105"/>
        <v>26466.405965999998</v>
      </c>
      <c r="AG480" s="42">
        <f t="shared" si="106"/>
        <v>21374.882099999999</v>
      </c>
      <c r="AH480" s="42">
        <f t="shared" si="107"/>
        <v>5091.5238659999995</v>
      </c>
      <c r="AI480" s="44">
        <f t="shared" si="108"/>
        <v>0.19237685209472011</v>
      </c>
      <c r="AJ480" s="42">
        <f t="shared" si="109"/>
        <v>3845.5461659999964</v>
      </c>
      <c r="AK480" s="42">
        <f t="shared" si="110"/>
        <v>4351.729800000001</v>
      </c>
      <c r="AL480" s="9">
        <f t="shared" si="111"/>
        <v>0</v>
      </c>
      <c r="AM480" s="42"/>
    </row>
    <row r="481" spans="1:39" x14ac:dyDescent="0.25">
      <c r="A481" t="s">
        <v>494</v>
      </c>
      <c r="B481" s="20">
        <v>45293</v>
      </c>
      <c r="C481" s="4">
        <v>45306</v>
      </c>
      <c r="D481" s="4" t="s">
        <v>1434</v>
      </c>
      <c r="E481" s="4">
        <v>45306</v>
      </c>
      <c r="F481" s="11">
        <f t="shared" si="98"/>
        <v>13</v>
      </c>
      <c r="G481" s="11" t="str">
        <f t="shared" si="101"/>
        <v>Does not Meet Target</v>
      </c>
      <c r="H481" t="s">
        <v>647</v>
      </c>
      <c r="I481" t="s">
        <v>652</v>
      </c>
      <c r="J481" t="s">
        <v>694</v>
      </c>
      <c r="K481" t="s">
        <v>705</v>
      </c>
      <c r="L481" t="s">
        <v>709</v>
      </c>
      <c r="M481" t="s">
        <v>715</v>
      </c>
      <c r="N481" t="s">
        <v>729</v>
      </c>
      <c r="O481" t="str" cm="1">
        <f t="array" ref="O481">_xlfn.IFS(S481&lt;=_xlfn.PERCENTILE.INC(IF(N481:N1111=N481, S481:S1111), 0.33), "Low", S481&lt;=_xlfn.PERCENTILE.INC(IF(N481:N1111=N481, S481:S1111), 0.66), "Medium", S481 &gt; _xlfn.PERCENTILE.INC(IF(N481:N1111=N481, S481:S1111), 0.66), "High")</f>
        <v>High</v>
      </c>
      <c r="P481" t="s">
        <v>1213</v>
      </c>
      <c r="Q481" s="6">
        <v>1219.06</v>
      </c>
      <c r="R481" s="6">
        <v>2738.69</v>
      </c>
      <c r="S481" s="6">
        <v>2738.69</v>
      </c>
      <c r="T481" s="9">
        <v>7.5999999999999998E-2</v>
      </c>
      <c r="U481" s="9">
        <f>IF(T481&gt;0.3, $AO$4, T481)</f>
        <v>7.5999999999999998E-2</v>
      </c>
      <c r="V481" s="7" t="str">
        <f t="shared" si="102"/>
        <v>Less than 20%</v>
      </c>
      <c r="W481" s="11">
        <v>16</v>
      </c>
      <c r="X481" s="6">
        <f t="shared" si="99"/>
        <v>40488.792960000006</v>
      </c>
      <c r="Y481" s="6">
        <f t="shared" si="100"/>
        <v>19504.96</v>
      </c>
      <c r="Z481" s="6">
        <f t="shared" si="103"/>
        <v>20983.832960000007</v>
      </c>
      <c r="AA481" s="9">
        <f t="shared" si="104"/>
        <v>0.51826274447673737</v>
      </c>
      <c r="AB481" s="9">
        <f>IF(U481&gt;'What-If Analysis'!$F$16, 'What-If Analysis'!$F$16,T481)</f>
        <v>7.5999999999999998E-2</v>
      </c>
      <c r="AC481" s="42">
        <f>S481*(1-AB481)</f>
        <v>2530.5495600000004</v>
      </c>
      <c r="AD481" s="42">
        <f>Q481*(1+'What-If Analysis'!F496)</f>
        <v>1219.06</v>
      </c>
      <c r="AE481" s="41">
        <f>W481*(1+'What-If Analysis'!$F$18)</f>
        <v>18.72</v>
      </c>
      <c r="AF481" s="42">
        <f t="shared" si="105"/>
        <v>47371.887763200008</v>
      </c>
      <c r="AG481" s="42">
        <f t="shared" si="106"/>
        <v>22820.803199999998</v>
      </c>
      <c r="AH481" s="42">
        <f t="shared" si="107"/>
        <v>24551.084563200009</v>
      </c>
      <c r="AI481" s="44">
        <f t="shared" si="108"/>
        <v>0.51826274447673737</v>
      </c>
      <c r="AJ481" s="42">
        <f t="shared" si="109"/>
        <v>6883.0948032000015</v>
      </c>
      <c r="AK481" s="42">
        <f t="shared" si="110"/>
        <v>20983.832960000007</v>
      </c>
      <c r="AL481" s="9">
        <f t="shared" si="111"/>
        <v>0</v>
      </c>
      <c r="AM481" s="42"/>
    </row>
    <row r="482" spans="1:39" x14ac:dyDescent="0.25">
      <c r="A482" t="s">
        <v>495</v>
      </c>
      <c r="B482" s="20">
        <v>45538</v>
      </c>
      <c r="C482" s="4">
        <v>45542</v>
      </c>
      <c r="D482" s="4" t="s">
        <v>1443</v>
      </c>
      <c r="E482" s="4">
        <v>45542</v>
      </c>
      <c r="F482" s="11">
        <f t="shared" si="98"/>
        <v>4</v>
      </c>
      <c r="G482" s="11" t="str">
        <f t="shared" si="101"/>
        <v>Meets Target</v>
      </c>
      <c r="H482" t="s">
        <v>647</v>
      </c>
      <c r="I482" t="s">
        <v>652</v>
      </c>
      <c r="J482" t="s">
        <v>689</v>
      </c>
      <c r="K482" t="s">
        <v>705</v>
      </c>
      <c r="L482" t="s">
        <v>710</v>
      </c>
      <c r="M482" t="s">
        <v>725</v>
      </c>
      <c r="N482" t="s">
        <v>728</v>
      </c>
      <c r="O482" t="str" cm="1">
        <f t="array" ref="O482">_xlfn.IFS(S482&lt;=_xlfn.PERCENTILE.INC(IF(N482:N1112=N482, S482:S1112), 0.33), "Low", S482&lt;=_xlfn.PERCENTILE.INC(IF(N482:N1112=N482, S482:S1112), 0.66), "Medium", S482 &gt; _xlfn.PERCENTILE.INC(IF(N482:N1112=N482, S482:S1112), 0.66), "High")</f>
        <v>Low</v>
      </c>
      <c r="P482" t="s">
        <v>1214</v>
      </c>
      <c r="Q482" s="6">
        <v>43.23</v>
      </c>
      <c r="R482" s="6">
        <v>94.78</v>
      </c>
      <c r="S482" s="6">
        <v>94.78</v>
      </c>
      <c r="T482" s="9">
        <v>9.0999999999999998E-2</v>
      </c>
      <c r="U482" s="9">
        <f>IF(T482&gt;0.3, $AO$4, T482)</f>
        <v>9.0999999999999998E-2</v>
      </c>
      <c r="V482" s="7" t="str">
        <f t="shared" si="102"/>
        <v>Less than 20%</v>
      </c>
      <c r="W482" s="11">
        <v>55</v>
      </c>
      <c r="X482" s="6">
        <f t="shared" si="99"/>
        <v>4738.5261</v>
      </c>
      <c r="Y482" s="6">
        <f t="shared" si="100"/>
        <v>2377.6499999999996</v>
      </c>
      <c r="Z482" s="6">
        <f t="shared" si="103"/>
        <v>2360.8761000000004</v>
      </c>
      <c r="AA482" s="9">
        <f t="shared" si="104"/>
        <v>0.49823005090127082</v>
      </c>
      <c r="AB482" s="9">
        <f>IF(U482&gt;'What-If Analysis'!$F$16, 'What-If Analysis'!$F$16,T482)</f>
        <v>9.0999999999999998E-2</v>
      </c>
      <c r="AC482" s="42">
        <f>S482*(1-AB482)</f>
        <v>86.155020000000007</v>
      </c>
      <c r="AD482" s="42">
        <f>Q482*(1+'What-If Analysis'!F497)</f>
        <v>43.23</v>
      </c>
      <c r="AE482" s="41">
        <f>W482*(1+'What-If Analysis'!$F$18)</f>
        <v>64.349999999999994</v>
      </c>
      <c r="AF482" s="42">
        <f t="shared" si="105"/>
        <v>5544.0755369999997</v>
      </c>
      <c r="AG482" s="42">
        <f t="shared" si="106"/>
        <v>2781.8504999999996</v>
      </c>
      <c r="AH482" s="42">
        <f t="shared" si="107"/>
        <v>2762.2250370000002</v>
      </c>
      <c r="AI482" s="44">
        <f t="shared" si="108"/>
        <v>0.49823005090127082</v>
      </c>
      <c r="AJ482" s="42">
        <f t="shared" si="109"/>
        <v>805.54943699999967</v>
      </c>
      <c r="AK482" s="42">
        <f t="shared" si="110"/>
        <v>2360.8761000000004</v>
      </c>
      <c r="AL482" s="9">
        <f t="shared" si="111"/>
        <v>0</v>
      </c>
      <c r="AM482" s="42"/>
    </row>
    <row r="483" spans="1:39" x14ac:dyDescent="0.25">
      <c r="A483" t="s">
        <v>496</v>
      </c>
      <c r="B483" s="20">
        <v>45899</v>
      </c>
      <c r="C483" s="4">
        <v>45903</v>
      </c>
      <c r="D483" s="4" t="s">
        <v>1441</v>
      </c>
      <c r="E483" s="4">
        <v>45903</v>
      </c>
      <c r="F483" s="11">
        <f t="shared" si="98"/>
        <v>4</v>
      </c>
      <c r="G483" s="11" t="str">
        <f t="shared" si="101"/>
        <v>Meets Target</v>
      </c>
      <c r="H483" t="s">
        <v>649</v>
      </c>
      <c r="I483" t="s">
        <v>657</v>
      </c>
      <c r="J483" t="s">
        <v>673</v>
      </c>
      <c r="K483" t="s">
        <v>705</v>
      </c>
      <c r="L483" t="s">
        <v>709</v>
      </c>
      <c r="M483" t="s">
        <v>713</v>
      </c>
      <c r="N483" t="s">
        <v>731</v>
      </c>
      <c r="O483" t="str" cm="1">
        <f t="array" ref="O483">_xlfn.IFS(S483&lt;=_xlfn.PERCENTILE.INC(IF(N483:N1113=N483, S483:S1113), 0.33), "Low", S483&lt;=_xlfn.PERCENTILE.INC(IF(N483:N1113=N483, S483:S1113), 0.66), "Medium", S483 &gt; _xlfn.PERCENTILE.INC(IF(N483:N1113=N483, S483:S1113), 0.66), "High")</f>
        <v>High</v>
      </c>
      <c r="P483" t="s">
        <v>1215</v>
      </c>
      <c r="Q483" s="6">
        <v>1286.56</v>
      </c>
      <c r="R483" s="6">
        <v>2777.35</v>
      </c>
      <c r="S483" s="6">
        <v>2777.35</v>
      </c>
      <c r="T483" s="9">
        <v>0.13200000000000001</v>
      </c>
      <c r="U483" s="9">
        <f>IF(T483&gt;0.3, $AO$4, T483)</f>
        <v>0.13200000000000001</v>
      </c>
      <c r="V483" s="7" t="str">
        <f t="shared" si="102"/>
        <v>Less than 20%</v>
      </c>
      <c r="W483" s="11">
        <v>15</v>
      </c>
      <c r="X483" s="6">
        <f t="shared" si="99"/>
        <v>36161.097000000002</v>
      </c>
      <c r="Y483" s="6">
        <f t="shared" si="100"/>
        <v>19298.399999999998</v>
      </c>
      <c r="Z483" s="6">
        <f t="shared" si="103"/>
        <v>16862.697000000004</v>
      </c>
      <c r="AA483" s="9">
        <f t="shared" si="104"/>
        <v>0.46632150014696744</v>
      </c>
      <c r="AB483" s="9">
        <f>IF(U483&gt;'What-If Analysis'!$F$16, 'What-If Analysis'!$F$16,T483)</f>
        <v>0.13200000000000001</v>
      </c>
      <c r="AC483" s="42">
        <f>S483*(1-AB483)</f>
        <v>2410.7397999999998</v>
      </c>
      <c r="AD483" s="42">
        <f>Q483*(1+'What-If Analysis'!F498)</f>
        <v>1286.56</v>
      </c>
      <c r="AE483" s="41">
        <f>W483*(1+'What-If Analysis'!$F$18)</f>
        <v>17.549999999999997</v>
      </c>
      <c r="AF483" s="42">
        <f t="shared" si="105"/>
        <v>42308.483489999991</v>
      </c>
      <c r="AG483" s="42">
        <f t="shared" si="106"/>
        <v>22579.127999999997</v>
      </c>
      <c r="AH483" s="42">
        <f t="shared" si="107"/>
        <v>19729.355489999994</v>
      </c>
      <c r="AI483" s="44">
        <f t="shared" si="108"/>
        <v>0.46632150014696727</v>
      </c>
      <c r="AJ483" s="42">
        <f t="shared" si="109"/>
        <v>6147.3864899999899</v>
      </c>
      <c r="AK483" s="42">
        <f t="shared" si="110"/>
        <v>16862.697000000004</v>
      </c>
      <c r="AL483" s="9">
        <f t="shared" si="111"/>
        <v>0</v>
      </c>
      <c r="AM483" s="42"/>
    </row>
    <row r="484" spans="1:39" x14ac:dyDescent="0.25">
      <c r="A484" t="s">
        <v>497</v>
      </c>
      <c r="B484" s="20">
        <v>45775</v>
      </c>
      <c r="C484" s="4">
        <v>45796</v>
      </c>
      <c r="D484" s="4" t="s">
        <v>1440</v>
      </c>
      <c r="E484" s="4">
        <v>45796</v>
      </c>
      <c r="F484" s="11">
        <f t="shared" si="98"/>
        <v>21</v>
      </c>
      <c r="G484" s="11" t="str">
        <f t="shared" si="101"/>
        <v>Does not Meet Target</v>
      </c>
      <c r="H484" t="s">
        <v>649</v>
      </c>
      <c r="I484" t="s">
        <v>656</v>
      </c>
      <c r="J484" t="s">
        <v>671</v>
      </c>
      <c r="K484" t="s">
        <v>701</v>
      </c>
      <c r="L484" t="s">
        <v>710</v>
      </c>
      <c r="M484" t="s">
        <v>717</v>
      </c>
      <c r="N484" t="s">
        <v>730</v>
      </c>
      <c r="O484" t="str" cm="1">
        <f t="array" ref="O484">_xlfn.IFS(S484&lt;=_xlfn.PERCENTILE.INC(IF(N484:N1114=N484, S484:S1114), 0.33), "Low", S484&lt;=_xlfn.PERCENTILE.INC(IF(N484:N1114=N484, S484:S1114), 0.66), "Medium", S484 &gt; _xlfn.PERCENTILE.INC(IF(N484:N1114=N484, S484:S1114), 0.66), "High")</f>
        <v>Low</v>
      </c>
      <c r="P484" t="s">
        <v>1216</v>
      </c>
      <c r="Q484" s="6">
        <v>350.76</v>
      </c>
      <c r="R484" s="6">
        <v>492.18</v>
      </c>
      <c r="S484" s="6">
        <v>492.18</v>
      </c>
      <c r="T484" s="9">
        <v>5.2999999999999999E-2</v>
      </c>
      <c r="U484" s="9">
        <f>IF(T484&gt;0.3, $AO$4, T484)</f>
        <v>5.2999999999999999E-2</v>
      </c>
      <c r="V484" s="7" t="str">
        <f t="shared" si="102"/>
        <v>Less than 20%</v>
      </c>
      <c r="W484" s="11">
        <v>11</v>
      </c>
      <c r="X484" s="6">
        <f t="shared" si="99"/>
        <v>5127.0390600000001</v>
      </c>
      <c r="Y484" s="6">
        <f t="shared" si="100"/>
        <v>3858.3599999999997</v>
      </c>
      <c r="Z484" s="6">
        <f t="shared" si="103"/>
        <v>1268.6790600000004</v>
      </c>
      <c r="AA484" s="9">
        <f t="shared" si="104"/>
        <v>0.24744868239798437</v>
      </c>
      <c r="AB484" s="9">
        <f>IF(U484&gt;'What-If Analysis'!$F$16, 'What-If Analysis'!$F$16,T484)</f>
        <v>5.2999999999999999E-2</v>
      </c>
      <c r="AC484" s="42">
        <f>S484*(1-AB484)</f>
        <v>466.09445999999997</v>
      </c>
      <c r="AD484" s="42">
        <f>Q484*(1+'What-If Analysis'!F499)</f>
        <v>350.76</v>
      </c>
      <c r="AE484" s="41">
        <f>W484*(1+'What-If Analysis'!$F$18)</f>
        <v>12.87</v>
      </c>
      <c r="AF484" s="42">
        <f t="shared" si="105"/>
        <v>5998.6357001999995</v>
      </c>
      <c r="AG484" s="42">
        <f t="shared" si="106"/>
        <v>4514.2811999999994</v>
      </c>
      <c r="AH484" s="42">
        <f t="shared" si="107"/>
        <v>1484.3545002000001</v>
      </c>
      <c r="AI484" s="44">
        <f t="shared" si="108"/>
        <v>0.24744868239798434</v>
      </c>
      <c r="AJ484" s="42">
        <f t="shared" si="109"/>
        <v>871.59664019999946</v>
      </c>
      <c r="AK484" s="42">
        <f t="shared" si="110"/>
        <v>1268.6790600000004</v>
      </c>
      <c r="AL484" s="9">
        <f t="shared" si="111"/>
        <v>0</v>
      </c>
      <c r="AM484" s="42"/>
    </row>
    <row r="485" spans="1:39" x14ac:dyDescent="0.25">
      <c r="A485" t="s">
        <v>498</v>
      </c>
      <c r="B485" s="20">
        <v>45148</v>
      </c>
      <c r="C485" s="4">
        <v>45153</v>
      </c>
      <c r="D485" s="4" t="s">
        <v>1444</v>
      </c>
      <c r="E485" s="4">
        <v>45153</v>
      </c>
      <c r="F485" s="11">
        <f t="shared" si="98"/>
        <v>5</v>
      </c>
      <c r="G485" s="11" t="str">
        <f t="shared" si="101"/>
        <v>Meets Target</v>
      </c>
      <c r="H485" t="s">
        <v>648</v>
      </c>
      <c r="I485" t="s">
        <v>655</v>
      </c>
      <c r="J485" t="s">
        <v>670</v>
      </c>
      <c r="K485" t="s">
        <v>702</v>
      </c>
      <c r="L485" t="s">
        <v>711</v>
      </c>
      <c r="M485" t="s">
        <v>715</v>
      </c>
      <c r="N485" t="s">
        <v>729</v>
      </c>
      <c r="O485" t="str" cm="1">
        <f t="array" ref="O485">_xlfn.IFS(S485&lt;=_xlfn.PERCENTILE.INC(IF(N485:N1115=N485, S485:S1115), 0.33), "Low", S485&lt;=_xlfn.PERCENTILE.INC(IF(N485:N1115=N485, S485:S1115), 0.66), "Medium", S485 &gt; _xlfn.PERCENTILE.INC(IF(N485:N1115=N485, S485:S1115), 0.66), "High")</f>
        <v>Medium</v>
      </c>
      <c r="P485" t="s">
        <v>1217</v>
      </c>
      <c r="Q485" s="6">
        <v>1307.52</v>
      </c>
      <c r="R485" s="6">
        <v>1921.65</v>
      </c>
      <c r="S485" s="6">
        <v>1921.65</v>
      </c>
      <c r="T485" s="9">
        <v>0.123</v>
      </c>
      <c r="U485" s="9">
        <f>IF(T485&gt;0.3, $AO$4, T485)</f>
        <v>0.123</v>
      </c>
      <c r="V485" s="7" t="str">
        <f t="shared" si="102"/>
        <v>Less than 20%</v>
      </c>
      <c r="W485" s="11">
        <v>13</v>
      </c>
      <c r="X485" s="6">
        <f t="shared" si="99"/>
        <v>21908.731650000002</v>
      </c>
      <c r="Y485" s="6">
        <f t="shared" si="100"/>
        <v>16997.759999999998</v>
      </c>
      <c r="Z485" s="6">
        <f t="shared" si="103"/>
        <v>4910.9716500000031</v>
      </c>
      <c r="AA485" s="9">
        <f t="shared" si="104"/>
        <v>0.22415590863289445</v>
      </c>
      <c r="AB485" s="9">
        <f>IF(U485&gt;'What-If Analysis'!$F$16, 'What-If Analysis'!$F$16,T485)</f>
        <v>0.123</v>
      </c>
      <c r="AC485" s="42">
        <f>S485*(1-AB485)</f>
        <v>1685.2870500000001</v>
      </c>
      <c r="AD485" s="42">
        <f>Q485*(1+'What-If Analysis'!F500)</f>
        <v>1307.52</v>
      </c>
      <c r="AE485" s="41">
        <f>W485*(1+'What-If Analysis'!$F$18)</f>
        <v>15.209999999999999</v>
      </c>
      <c r="AF485" s="42">
        <f t="shared" si="105"/>
        <v>25633.2160305</v>
      </c>
      <c r="AG485" s="42">
        <f t="shared" si="106"/>
        <v>19887.379199999999</v>
      </c>
      <c r="AH485" s="42">
        <f t="shared" si="107"/>
        <v>5745.8368305000004</v>
      </c>
      <c r="AI485" s="44">
        <f t="shared" si="108"/>
        <v>0.22415590863289434</v>
      </c>
      <c r="AJ485" s="42">
        <f t="shared" si="109"/>
        <v>3724.4843804999982</v>
      </c>
      <c r="AK485" s="42">
        <f t="shared" si="110"/>
        <v>4910.9716500000031</v>
      </c>
      <c r="AL485" s="9">
        <f t="shared" si="111"/>
        <v>0</v>
      </c>
      <c r="AM485" s="42"/>
    </row>
    <row r="486" spans="1:39" x14ac:dyDescent="0.25">
      <c r="A486" t="s">
        <v>499</v>
      </c>
      <c r="B486" s="20">
        <v>45634</v>
      </c>
      <c r="C486" s="4">
        <v>45634</v>
      </c>
      <c r="D486" s="4" t="s">
        <v>1435</v>
      </c>
      <c r="E486" s="4">
        <v>45634</v>
      </c>
      <c r="F486" s="11">
        <f t="shared" si="98"/>
        <v>0</v>
      </c>
      <c r="G486" s="11" t="str">
        <f t="shared" si="101"/>
        <v>Meets Target</v>
      </c>
      <c r="H486" t="s">
        <v>649</v>
      </c>
      <c r="I486" t="s">
        <v>657</v>
      </c>
      <c r="J486" t="s">
        <v>679</v>
      </c>
      <c r="K486" t="s">
        <v>706</v>
      </c>
      <c r="L486" t="s">
        <v>707</v>
      </c>
      <c r="M486" t="s">
        <v>722</v>
      </c>
      <c r="N486" t="s">
        <v>727</v>
      </c>
      <c r="O486" t="str" cm="1">
        <f t="array" ref="O486">_xlfn.IFS(S486&lt;=_xlfn.PERCENTILE.INC(IF(N486:N1116=N486, S486:S1116), 0.33), "Low", S486&lt;=_xlfn.PERCENTILE.INC(IF(N486:N1116=N486, S486:S1116), 0.66), "Medium", S486 &gt; _xlfn.PERCENTILE.INC(IF(N486:N1116=N486, S486:S1116), 0.66), "High")</f>
        <v>Low</v>
      </c>
      <c r="P486" t="s">
        <v>1218</v>
      </c>
      <c r="Q486" s="6">
        <v>257.44</v>
      </c>
      <c r="R486" s="6">
        <v>290.33</v>
      </c>
      <c r="S486" s="6">
        <v>290.33</v>
      </c>
      <c r="T486" s="9">
        <v>9.1999999999999998E-2</v>
      </c>
      <c r="U486" s="9">
        <f>IF(T486&gt;0.3, $AO$4, T486)</f>
        <v>9.1999999999999998E-2</v>
      </c>
      <c r="V486" s="7" t="str">
        <f t="shared" si="102"/>
        <v>Less than 20%</v>
      </c>
      <c r="W486" s="11">
        <v>23</v>
      </c>
      <c r="X486" s="6">
        <f t="shared" si="99"/>
        <v>6063.2517199999993</v>
      </c>
      <c r="Y486" s="6">
        <f t="shared" si="100"/>
        <v>5921.12</v>
      </c>
      <c r="Z486" s="6">
        <f t="shared" si="103"/>
        <v>142.1317199999994</v>
      </c>
      <c r="AA486" s="9">
        <f t="shared" si="104"/>
        <v>2.3441500792581216E-2</v>
      </c>
      <c r="AB486" s="9">
        <f>IF(U486&gt;'What-If Analysis'!$F$16, 'What-If Analysis'!$F$16,T486)</f>
        <v>9.1999999999999998E-2</v>
      </c>
      <c r="AC486" s="42">
        <f>S486*(1-AB486)</f>
        <v>263.61964</v>
      </c>
      <c r="AD486" s="42">
        <f>Q486*(1+'What-If Analysis'!F501)</f>
        <v>257.44</v>
      </c>
      <c r="AE486" s="41">
        <f>W486*(1+'What-If Analysis'!$F$18)</f>
        <v>26.909999999999997</v>
      </c>
      <c r="AF486" s="42">
        <f t="shared" si="105"/>
        <v>7094.0045123999989</v>
      </c>
      <c r="AG486" s="42">
        <f t="shared" si="106"/>
        <v>6927.710399999999</v>
      </c>
      <c r="AH486" s="42">
        <f t="shared" si="107"/>
        <v>166.2941123999999</v>
      </c>
      <c r="AI486" s="44">
        <f t="shared" si="108"/>
        <v>2.34415007925813E-2</v>
      </c>
      <c r="AJ486" s="42">
        <f t="shared" si="109"/>
        <v>1030.7527923999996</v>
      </c>
      <c r="AK486" s="42">
        <f t="shared" si="110"/>
        <v>142.1317199999994</v>
      </c>
      <c r="AL486" s="9">
        <f t="shared" si="111"/>
        <v>8.3266726846886741E-17</v>
      </c>
      <c r="AM486" s="42"/>
    </row>
    <row r="487" spans="1:39" x14ac:dyDescent="0.25">
      <c r="A487" t="s">
        <v>500</v>
      </c>
      <c r="B487" s="20">
        <v>45224</v>
      </c>
      <c r="C487" s="4">
        <v>45254</v>
      </c>
      <c r="D487" s="4" t="s">
        <v>1438</v>
      </c>
      <c r="E487" s="4">
        <v>45254</v>
      </c>
      <c r="F487" s="11">
        <f t="shared" si="98"/>
        <v>30</v>
      </c>
      <c r="G487" s="11" t="str">
        <f t="shared" si="101"/>
        <v>Does not Meet Target</v>
      </c>
      <c r="H487" t="s">
        <v>649</v>
      </c>
      <c r="I487" t="s">
        <v>657</v>
      </c>
      <c r="J487" t="s">
        <v>690</v>
      </c>
      <c r="K487" t="s">
        <v>706</v>
      </c>
      <c r="L487" t="s">
        <v>710</v>
      </c>
      <c r="M487" t="s">
        <v>712</v>
      </c>
      <c r="N487" t="s">
        <v>730</v>
      </c>
      <c r="O487" t="str" cm="1">
        <f t="array" ref="O487">_xlfn.IFS(S487&lt;=_xlfn.PERCENTILE.INC(IF(N487:N1117=N487, S487:S1117), 0.33), "Low", S487&lt;=_xlfn.PERCENTILE.INC(IF(N487:N1117=N487, S487:S1117), 0.66), "Medium", S487 &gt; _xlfn.PERCENTILE.INC(IF(N487:N1117=N487, S487:S1117), 0.66), "High")</f>
        <v>Low</v>
      </c>
      <c r="P487" t="s">
        <v>1219</v>
      </c>
      <c r="Q487" s="6">
        <v>287.85000000000002</v>
      </c>
      <c r="R487" s="6">
        <v>602.91999999999996</v>
      </c>
      <c r="S487" s="6">
        <v>602.91999999999996</v>
      </c>
      <c r="T487" s="9">
        <v>0.222</v>
      </c>
      <c r="U487" s="9">
        <f>IF(T487&gt;0.3, $AO$4, T487)</f>
        <v>0.222</v>
      </c>
      <c r="V487" s="7" t="str">
        <f t="shared" si="102"/>
        <v>Greater than 20%</v>
      </c>
      <c r="W487" s="11">
        <v>11</v>
      </c>
      <c r="X487" s="6">
        <f t="shared" si="99"/>
        <v>5159.7893599999998</v>
      </c>
      <c r="Y487" s="6">
        <f t="shared" si="100"/>
        <v>3166.3500000000004</v>
      </c>
      <c r="Z487" s="6">
        <f t="shared" si="103"/>
        <v>1993.4393599999994</v>
      </c>
      <c r="AA487" s="9">
        <f t="shared" si="104"/>
        <v>0.38634122847216373</v>
      </c>
      <c r="AB487" s="9">
        <f>IF(U487&gt;'What-If Analysis'!$F$16, 'What-If Analysis'!$F$16,T487)</f>
        <v>0.17</v>
      </c>
      <c r="AC487" s="42">
        <f>S487*(1-AB487)</f>
        <v>500.42359999999996</v>
      </c>
      <c r="AD487" s="42">
        <f>Q487*(1+'What-If Analysis'!F502)</f>
        <v>287.85000000000002</v>
      </c>
      <c r="AE487" s="41">
        <f>W487*(1+'What-If Analysis'!$F$18)</f>
        <v>12.87</v>
      </c>
      <c r="AF487" s="42">
        <f t="shared" si="105"/>
        <v>6440.4517319999995</v>
      </c>
      <c r="AG487" s="42">
        <f t="shared" si="106"/>
        <v>3704.6295</v>
      </c>
      <c r="AH487" s="42">
        <f t="shared" si="107"/>
        <v>2735.8222319999995</v>
      </c>
      <c r="AI487" s="44">
        <f t="shared" si="108"/>
        <v>0.4247873201823415</v>
      </c>
      <c r="AJ487" s="42">
        <f t="shared" si="109"/>
        <v>1280.6623719999998</v>
      </c>
      <c r="AK487" s="42">
        <f t="shared" si="110"/>
        <v>1993.4393599999994</v>
      </c>
      <c r="AL487" s="9">
        <f t="shared" si="111"/>
        <v>3.8446091710177765E-2</v>
      </c>
      <c r="AM487" s="42"/>
    </row>
    <row r="488" spans="1:39" x14ac:dyDescent="0.25">
      <c r="A488" t="s">
        <v>501</v>
      </c>
      <c r="B488" s="20">
        <v>45613</v>
      </c>
      <c r="C488" s="4">
        <v>45624</v>
      </c>
      <c r="D488" s="4" t="s">
        <v>1435</v>
      </c>
      <c r="E488" s="4">
        <v>45624</v>
      </c>
      <c r="F488" s="11">
        <f t="shared" si="98"/>
        <v>11</v>
      </c>
      <c r="G488" s="11" t="str">
        <f t="shared" si="101"/>
        <v>Does not Meet Target</v>
      </c>
      <c r="H488" t="s">
        <v>648</v>
      </c>
      <c r="I488" t="s">
        <v>653</v>
      </c>
      <c r="J488" t="s">
        <v>1422</v>
      </c>
      <c r="K488" t="s">
        <v>704</v>
      </c>
      <c r="L488" t="s">
        <v>710</v>
      </c>
      <c r="M488" t="s">
        <v>720</v>
      </c>
      <c r="N488" t="s">
        <v>728</v>
      </c>
      <c r="O488" t="str" cm="1">
        <f t="array" ref="O488">_xlfn.IFS(S488&lt;=_xlfn.PERCENTILE.INC(IF(N488:N1118=N488, S488:S1118), 0.33), "Low", S488&lt;=_xlfn.PERCENTILE.INC(IF(N488:N1118=N488, S488:S1118), 0.66), "Medium", S488 &gt; _xlfn.PERCENTILE.INC(IF(N488:N1118=N488, S488:S1118), 0.66), "High")</f>
        <v>High</v>
      </c>
      <c r="P488" t="s">
        <v>1220</v>
      </c>
      <c r="Q488" s="6">
        <v>1008.16</v>
      </c>
      <c r="R488" s="6">
        <v>2077.5</v>
      </c>
      <c r="S488" s="6">
        <v>2077.5</v>
      </c>
      <c r="T488" s="9">
        <v>7.3999999999999996E-2</v>
      </c>
      <c r="U488" s="9">
        <f>IF(T488&gt;0.3, $AO$4, T488)</f>
        <v>7.3999999999999996E-2</v>
      </c>
      <c r="V488" s="7" t="str">
        <f t="shared" si="102"/>
        <v>Less than 20%</v>
      </c>
      <c r="W488" s="11">
        <v>15</v>
      </c>
      <c r="X488" s="6">
        <f t="shared" si="99"/>
        <v>28856.475000000002</v>
      </c>
      <c r="Y488" s="6">
        <f t="shared" si="100"/>
        <v>15122.4</v>
      </c>
      <c r="Z488" s="6">
        <f t="shared" si="103"/>
        <v>13734.075000000003</v>
      </c>
      <c r="AA488" s="9">
        <f t="shared" si="104"/>
        <v>0.47594430712691005</v>
      </c>
      <c r="AB488" s="9">
        <f>IF(U488&gt;'What-If Analysis'!$F$16, 'What-If Analysis'!$F$16,T488)</f>
        <v>7.3999999999999996E-2</v>
      </c>
      <c r="AC488" s="42">
        <f>S488*(1-AB488)</f>
        <v>1923.7650000000001</v>
      </c>
      <c r="AD488" s="42">
        <f>Q488*(1+'What-If Analysis'!F503)</f>
        <v>1008.16</v>
      </c>
      <c r="AE488" s="41">
        <f>W488*(1+'What-If Analysis'!$F$18)</f>
        <v>17.549999999999997</v>
      </c>
      <c r="AF488" s="42">
        <f t="shared" si="105"/>
        <v>33762.075749999996</v>
      </c>
      <c r="AG488" s="42">
        <f t="shared" si="106"/>
        <v>17693.207999999995</v>
      </c>
      <c r="AH488" s="42">
        <f t="shared" si="107"/>
        <v>16068.867750000001</v>
      </c>
      <c r="AI488" s="44">
        <f t="shared" si="108"/>
        <v>0.4759443071269101</v>
      </c>
      <c r="AJ488" s="42">
        <f t="shared" si="109"/>
        <v>4905.6007499999942</v>
      </c>
      <c r="AK488" s="42">
        <f t="shared" si="110"/>
        <v>13734.075000000003</v>
      </c>
      <c r="AL488" s="9">
        <f t="shared" si="111"/>
        <v>0</v>
      </c>
      <c r="AM488" s="42"/>
    </row>
    <row r="489" spans="1:39" x14ac:dyDescent="0.25">
      <c r="A489" t="s">
        <v>502</v>
      </c>
      <c r="B489" s="20">
        <v>45424</v>
      </c>
      <c r="C489" s="4">
        <v>45436</v>
      </c>
      <c r="D489" s="4" t="s">
        <v>1439</v>
      </c>
      <c r="E489" s="4">
        <v>45436</v>
      </c>
      <c r="F489" s="11">
        <f t="shared" si="98"/>
        <v>12</v>
      </c>
      <c r="G489" s="11" t="str">
        <f t="shared" si="101"/>
        <v>Does not Meet Target</v>
      </c>
      <c r="H489" t="s">
        <v>649</v>
      </c>
      <c r="I489" t="s">
        <v>658</v>
      </c>
      <c r="J489" t="s">
        <v>693</v>
      </c>
      <c r="K489" t="s">
        <v>702</v>
      </c>
      <c r="L489" t="s">
        <v>709</v>
      </c>
      <c r="M489" t="s">
        <v>723</v>
      </c>
      <c r="N489" t="s">
        <v>728</v>
      </c>
      <c r="O489" t="str" cm="1">
        <f t="array" ref="O489">_xlfn.IFS(S489&lt;=_xlfn.PERCENTILE.INC(IF(N489:N1119=N489, S489:S1119), 0.33), "Low", S489&lt;=_xlfn.PERCENTILE.INC(IF(N489:N1119=N489, S489:S1119), 0.66), "Medium", S489 &gt; _xlfn.PERCENTILE.INC(IF(N489:N1119=N489, S489:S1119), 0.66), "High")</f>
        <v>Low</v>
      </c>
      <c r="P489" t="s">
        <v>1221</v>
      </c>
      <c r="Q489" s="6">
        <v>111.02</v>
      </c>
      <c r="R489" s="6">
        <v>172.88</v>
      </c>
      <c r="S489" s="6">
        <v>172.88</v>
      </c>
      <c r="T489" s="9">
        <v>0.19700000000000001</v>
      </c>
      <c r="U489" s="9">
        <f>IF(T489&gt;0.3, $AO$4, T489)</f>
        <v>0.19700000000000001</v>
      </c>
      <c r="V489" s="7" t="str">
        <f t="shared" si="102"/>
        <v>Less than 20%</v>
      </c>
      <c r="W489" s="11">
        <v>29</v>
      </c>
      <c r="X489" s="6">
        <f t="shared" si="99"/>
        <v>4025.8565599999993</v>
      </c>
      <c r="Y489" s="6">
        <f t="shared" si="100"/>
        <v>3219.58</v>
      </c>
      <c r="Z489" s="6">
        <f t="shared" si="103"/>
        <v>806.27655999999934</v>
      </c>
      <c r="AA489" s="9">
        <f t="shared" si="104"/>
        <v>0.20027453735212053</v>
      </c>
      <c r="AB489" s="9">
        <f>IF(U489&gt;'What-If Analysis'!$F$16, 'What-If Analysis'!$F$16,T489)</f>
        <v>0.17</v>
      </c>
      <c r="AC489" s="42">
        <f>S489*(1-AB489)</f>
        <v>143.49039999999999</v>
      </c>
      <c r="AD489" s="42">
        <f>Q489*(1+'What-If Analysis'!F504)</f>
        <v>111.02</v>
      </c>
      <c r="AE489" s="41">
        <f>W489*(1+'What-If Analysis'!$F$18)</f>
        <v>33.93</v>
      </c>
      <c r="AF489" s="42">
        <f t="shared" si="105"/>
        <v>4868.6292720000001</v>
      </c>
      <c r="AG489" s="42">
        <f t="shared" si="106"/>
        <v>3766.9085999999998</v>
      </c>
      <c r="AH489" s="42">
        <f t="shared" si="107"/>
        <v>1101.7206720000004</v>
      </c>
      <c r="AI489" s="44">
        <f t="shared" si="108"/>
        <v>0.22628970300452164</v>
      </c>
      <c r="AJ489" s="42">
        <f t="shared" si="109"/>
        <v>842.77271200000087</v>
      </c>
      <c r="AK489" s="42">
        <f t="shared" si="110"/>
        <v>806.27655999999934</v>
      </c>
      <c r="AL489" s="9">
        <f t="shared" si="111"/>
        <v>2.6015165652401112E-2</v>
      </c>
      <c r="AM489" s="42"/>
    </row>
    <row r="490" spans="1:39" x14ac:dyDescent="0.25">
      <c r="A490" t="s">
        <v>503</v>
      </c>
      <c r="B490" s="20">
        <v>45792</v>
      </c>
      <c r="C490" s="4">
        <v>45813</v>
      </c>
      <c r="D490" s="4" t="s">
        <v>1440</v>
      </c>
      <c r="E490" s="4">
        <v>45813</v>
      </c>
      <c r="F490" s="11">
        <f t="shared" si="98"/>
        <v>21</v>
      </c>
      <c r="G490" s="11" t="str">
        <f t="shared" si="101"/>
        <v>Does not Meet Target</v>
      </c>
      <c r="H490" t="s">
        <v>647</v>
      </c>
      <c r="I490" t="s">
        <v>652</v>
      </c>
      <c r="J490" t="s">
        <v>666</v>
      </c>
      <c r="K490" t="s">
        <v>706</v>
      </c>
      <c r="L490" t="s">
        <v>711</v>
      </c>
      <c r="M490" t="s">
        <v>722</v>
      </c>
      <c r="N490" t="s">
        <v>730</v>
      </c>
      <c r="O490" t="str" cm="1">
        <f t="array" ref="O490">_xlfn.IFS(S490&lt;=_xlfn.PERCENTILE.INC(IF(N490:N1120=N490, S490:S1120), 0.33), "Low", S490&lt;=_xlfn.PERCENTILE.INC(IF(N490:N1120=N490, S490:S1120), 0.66), "Medium", S490 &gt; _xlfn.PERCENTILE.INC(IF(N490:N1120=N490, S490:S1120), 0.66), "High")</f>
        <v>High</v>
      </c>
      <c r="P490" t="s">
        <v>1222</v>
      </c>
      <c r="Q490" s="6">
        <v>1466.5</v>
      </c>
      <c r="R490" s="6">
        <v>2778.74</v>
      </c>
      <c r="S490" s="6">
        <v>2778.74</v>
      </c>
      <c r="T490" s="9">
        <v>0.13500000000000001</v>
      </c>
      <c r="U490" s="9">
        <f>IF(T490&gt;0.3, $AO$4, T490)</f>
        <v>0.13500000000000001</v>
      </c>
      <c r="V490" s="7" t="str">
        <f t="shared" si="102"/>
        <v>Less than 20%</v>
      </c>
      <c r="W490" s="11">
        <v>4</v>
      </c>
      <c r="X490" s="6">
        <f t="shared" si="99"/>
        <v>9614.4403999999995</v>
      </c>
      <c r="Y490" s="6">
        <f t="shared" si="100"/>
        <v>5866</v>
      </c>
      <c r="Z490" s="6">
        <f t="shared" si="103"/>
        <v>3748.4403999999995</v>
      </c>
      <c r="AA490" s="9">
        <f t="shared" si="104"/>
        <v>0.38987608680792279</v>
      </c>
      <c r="AB490" s="9">
        <f>IF(U490&gt;'What-If Analysis'!$F$16, 'What-If Analysis'!$F$16,T490)</f>
        <v>0.13500000000000001</v>
      </c>
      <c r="AC490" s="42">
        <f>S490*(1-AB490)</f>
        <v>2403.6100999999999</v>
      </c>
      <c r="AD490" s="42">
        <f>Q490*(1+'What-If Analysis'!F505)</f>
        <v>1466.5</v>
      </c>
      <c r="AE490" s="41">
        <f>W490*(1+'What-If Analysis'!$F$18)</f>
        <v>4.68</v>
      </c>
      <c r="AF490" s="42">
        <f t="shared" si="105"/>
        <v>11248.895267999998</v>
      </c>
      <c r="AG490" s="42">
        <f t="shared" si="106"/>
        <v>6863.2199999999993</v>
      </c>
      <c r="AH490" s="42">
        <f t="shared" si="107"/>
        <v>4385.6752679999991</v>
      </c>
      <c r="AI490" s="44">
        <f t="shared" si="108"/>
        <v>0.38987608680792279</v>
      </c>
      <c r="AJ490" s="42">
        <f t="shared" si="109"/>
        <v>1634.4548679999989</v>
      </c>
      <c r="AK490" s="42">
        <f t="shared" si="110"/>
        <v>3748.4403999999995</v>
      </c>
      <c r="AL490" s="9">
        <f t="shared" si="111"/>
        <v>0</v>
      </c>
      <c r="AM490" s="42"/>
    </row>
    <row r="491" spans="1:39" x14ac:dyDescent="0.25">
      <c r="A491" t="s">
        <v>504</v>
      </c>
      <c r="B491" s="20">
        <v>45403</v>
      </c>
      <c r="C491" s="4">
        <v>45431</v>
      </c>
      <c r="D491" s="4" t="s">
        <v>1439</v>
      </c>
      <c r="E491" s="4">
        <v>45431</v>
      </c>
      <c r="F491" s="11">
        <f t="shared" si="98"/>
        <v>28</v>
      </c>
      <c r="G491" s="11" t="str">
        <f t="shared" si="101"/>
        <v>Does not Meet Target</v>
      </c>
      <c r="H491" t="s">
        <v>646</v>
      </c>
      <c r="I491" t="s">
        <v>651</v>
      </c>
      <c r="J491" t="s">
        <v>665</v>
      </c>
      <c r="K491" t="s">
        <v>701</v>
      </c>
      <c r="L491" t="s">
        <v>710</v>
      </c>
      <c r="M491" t="s">
        <v>720</v>
      </c>
      <c r="N491" t="s">
        <v>733</v>
      </c>
      <c r="O491" t="str" cm="1">
        <f t="array" ref="O491">_xlfn.IFS(S491&lt;=_xlfn.PERCENTILE.INC(IF(N491:N1121=N491, S491:S1121), 0.33), "Low", S491&lt;=_xlfn.PERCENTILE.INC(IF(N491:N1121=N491, S491:S1121), 0.66), "Medium", S491 &gt; _xlfn.PERCENTILE.INC(IF(N491:N1121=N491, S491:S1121), 0.66), "High")</f>
        <v>Low</v>
      </c>
      <c r="P491" t="s">
        <v>1223</v>
      </c>
      <c r="Q491" s="6">
        <v>187.22</v>
      </c>
      <c r="R491" s="6">
        <v>309.47000000000003</v>
      </c>
      <c r="S491" s="6">
        <v>309.47000000000003</v>
      </c>
      <c r="T491" s="9">
        <v>0</v>
      </c>
      <c r="U491" s="9">
        <f>IF(T491&gt;0.3, $AO$4, T491)</f>
        <v>0</v>
      </c>
      <c r="V491" s="7" t="str">
        <f t="shared" si="102"/>
        <v>Less than 20%</v>
      </c>
      <c r="W491" s="11">
        <v>5</v>
      </c>
      <c r="X491" s="6">
        <f t="shared" si="99"/>
        <v>1547.3500000000001</v>
      </c>
      <c r="Y491" s="6">
        <f t="shared" si="100"/>
        <v>936.1</v>
      </c>
      <c r="Z491" s="6">
        <f t="shared" si="103"/>
        <v>611.25000000000011</v>
      </c>
      <c r="AA491" s="9">
        <f t="shared" si="104"/>
        <v>0.39503021294471197</v>
      </c>
      <c r="AB491" s="9">
        <f>IF(U491&gt;'What-If Analysis'!$F$16, 'What-If Analysis'!$F$16,T491)</f>
        <v>0</v>
      </c>
      <c r="AC491" s="42">
        <f>S491*(1-AB491)</f>
        <v>309.47000000000003</v>
      </c>
      <c r="AD491" s="42">
        <f>Q491*(1+'What-If Analysis'!F506)</f>
        <v>187.22</v>
      </c>
      <c r="AE491" s="41">
        <f>W491*(1+'What-If Analysis'!$F$18)</f>
        <v>5.85</v>
      </c>
      <c r="AF491" s="42">
        <f t="shared" si="105"/>
        <v>1810.3995</v>
      </c>
      <c r="AG491" s="42">
        <f t="shared" si="106"/>
        <v>1095.2369999999999</v>
      </c>
      <c r="AH491" s="42">
        <f t="shared" si="107"/>
        <v>715.16250000000014</v>
      </c>
      <c r="AI491" s="44">
        <f t="shared" si="108"/>
        <v>0.39503021294471202</v>
      </c>
      <c r="AJ491" s="42">
        <f t="shared" si="109"/>
        <v>263.04949999999985</v>
      </c>
      <c r="AK491" s="42">
        <f t="shared" si="110"/>
        <v>611.25000000000011</v>
      </c>
      <c r="AL491" s="9">
        <f t="shared" si="111"/>
        <v>0</v>
      </c>
      <c r="AM491" s="42"/>
    </row>
    <row r="492" spans="1:39" x14ac:dyDescent="0.25">
      <c r="A492" t="s">
        <v>505</v>
      </c>
      <c r="B492" s="20">
        <v>45523</v>
      </c>
      <c r="C492" s="4">
        <v>45542</v>
      </c>
      <c r="D492" s="4" t="s">
        <v>1443</v>
      </c>
      <c r="E492" s="4">
        <v>45542</v>
      </c>
      <c r="F492" s="11">
        <f t="shared" si="98"/>
        <v>19</v>
      </c>
      <c r="G492" s="11" t="str">
        <f t="shared" si="101"/>
        <v>Does not Meet Target</v>
      </c>
      <c r="H492" t="s">
        <v>649</v>
      </c>
      <c r="I492" t="s">
        <v>657</v>
      </c>
      <c r="J492" t="s">
        <v>679</v>
      </c>
      <c r="K492" t="s">
        <v>701</v>
      </c>
      <c r="L492" t="s">
        <v>711</v>
      </c>
      <c r="M492" t="s">
        <v>713</v>
      </c>
      <c r="N492" t="s">
        <v>727</v>
      </c>
      <c r="O492" t="str" cm="1">
        <f t="array" ref="O492">_xlfn.IFS(S492&lt;=_xlfn.PERCENTILE.INC(IF(N492:N1122=N492, S492:S1122), 0.33), "Low", S492&lt;=_xlfn.PERCENTILE.INC(IF(N492:N1122=N492, S492:S1122), 0.66), "Medium", S492 &gt; _xlfn.PERCENTILE.INC(IF(N492:N1122=N492, S492:S1122), 0.66), "High")</f>
        <v>Low</v>
      </c>
      <c r="P492" t="s">
        <v>1224</v>
      </c>
      <c r="Q492" s="6">
        <v>297.58999999999997</v>
      </c>
      <c r="R492" s="6">
        <v>666.41</v>
      </c>
      <c r="S492" s="6">
        <v>666.41</v>
      </c>
      <c r="T492" s="9">
        <v>0</v>
      </c>
      <c r="U492" s="9">
        <f>IF(T492&gt;0.3, $AO$4, T492)</f>
        <v>0</v>
      </c>
      <c r="V492" s="7" t="str">
        <f t="shared" si="102"/>
        <v>Less than 20%</v>
      </c>
      <c r="W492" s="11">
        <v>10</v>
      </c>
      <c r="X492" s="6">
        <f t="shared" si="99"/>
        <v>6664.0999999999995</v>
      </c>
      <c r="Y492" s="6">
        <f t="shared" si="100"/>
        <v>2975.8999999999996</v>
      </c>
      <c r="Z492" s="6">
        <f t="shared" si="103"/>
        <v>3688.2</v>
      </c>
      <c r="AA492" s="9">
        <f t="shared" si="104"/>
        <v>0.55344307558409989</v>
      </c>
      <c r="AB492" s="9">
        <f>IF(U492&gt;'What-If Analysis'!$F$16, 'What-If Analysis'!$F$16,T492)</f>
        <v>0</v>
      </c>
      <c r="AC492" s="42">
        <f>S492*(1-AB492)</f>
        <v>666.41</v>
      </c>
      <c r="AD492" s="42">
        <f>Q492*(1+'What-If Analysis'!F507)</f>
        <v>297.58999999999997</v>
      </c>
      <c r="AE492" s="41">
        <f>W492*(1+'What-If Analysis'!$F$18)</f>
        <v>11.7</v>
      </c>
      <c r="AF492" s="42">
        <f t="shared" si="105"/>
        <v>7796.9969999999994</v>
      </c>
      <c r="AG492" s="42">
        <f t="shared" si="106"/>
        <v>3481.8029999999994</v>
      </c>
      <c r="AH492" s="42">
        <f t="shared" si="107"/>
        <v>4315.1939999999995</v>
      </c>
      <c r="AI492" s="44">
        <f t="shared" si="108"/>
        <v>0.55344307558409989</v>
      </c>
      <c r="AJ492" s="42">
        <f t="shared" si="109"/>
        <v>1132.8969999999999</v>
      </c>
      <c r="AK492" s="42">
        <f t="shared" si="110"/>
        <v>3688.2</v>
      </c>
      <c r="AL492" s="9">
        <f t="shared" si="111"/>
        <v>0</v>
      </c>
      <c r="AM492" s="42"/>
    </row>
    <row r="493" spans="1:39" x14ac:dyDescent="0.25">
      <c r="A493" t="s">
        <v>506</v>
      </c>
      <c r="B493" s="20">
        <v>45861</v>
      </c>
      <c r="C493" s="4">
        <v>45888</v>
      </c>
      <c r="D493" s="4" t="s">
        <v>1441</v>
      </c>
      <c r="E493" s="4">
        <v>45888</v>
      </c>
      <c r="F493" s="11">
        <f t="shared" si="98"/>
        <v>27</v>
      </c>
      <c r="G493" s="11" t="str">
        <f t="shared" si="101"/>
        <v>Does not Meet Target</v>
      </c>
      <c r="H493" t="s">
        <v>647</v>
      </c>
      <c r="I493" t="s">
        <v>652</v>
      </c>
      <c r="J493" t="s">
        <v>694</v>
      </c>
      <c r="K493" t="s">
        <v>704</v>
      </c>
      <c r="L493" t="s">
        <v>709</v>
      </c>
      <c r="M493" t="s">
        <v>717</v>
      </c>
      <c r="N493" t="s">
        <v>733</v>
      </c>
      <c r="O493" t="str" cm="1">
        <f t="array" ref="O493">_xlfn.IFS(S493&lt;=_xlfn.PERCENTILE.INC(IF(N493:N1123=N493, S493:S1123), 0.33), "Low", S493&lt;=_xlfn.PERCENTILE.INC(IF(N493:N1123=N493, S493:S1123), 0.66), "Medium", S493 &gt; _xlfn.PERCENTILE.INC(IF(N493:N1123=N493, S493:S1123), 0.66), "High")</f>
        <v>Low</v>
      </c>
      <c r="P493" t="s">
        <v>1225</v>
      </c>
      <c r="Q493" s="6">
        <v>896.09</v>
      </c>
      <c r="R493" s="6">
        <v>744.27</v>
      </c>
      <c r="S493" s="6">
        <v>744.27</v>
      </c>
      <c r="T493" s="9">
        <v>8.3000000000000004E-2</v>
      </c>
      <c r="U493" s="9">
        <f>IF(T493&gt;0.3, $AO$4, T493)</f>
        <v>8.3000000000000004E-2</v>
      </c>
      <c r="V493" s="7" t="str">
        <f t="shared" si="102"/>
        <v>Less than 20%</v>
      </c>
      <c r="W493" s="11">
        <v>11</v>
      </c>
      <c r="X493" s="6">
        <f t="shared" si="99"/>
        <v>7507.4514899999995</v>
      </c>
      <c r="Y493" s="6">
        <f t="shared" si="100"/>
        <v>9856.99</v>
      </c>
      <c r="Z493" s="6">
        <f t="shared" si="103"/>
        <v>-2349.5385100000003</v>
      </c>
      <c r="AA493" s="9">
        <f t="shared" si="104"/>
        <v>-0.31296086469950679</v>
      </c>
      <c r="AB493" s="9">
        <f>IF(U493&gt;'What-If Analysis'!$F$16, 'What-If Analysis'!$F$16,T493)</f>
        <v>8.3000000000000004E-2</v>
      </c>
      <c r="AC493" s="42">
        <f>S493*(1-AB493)</f>
        <v>682.49558999999999</v>
      </c>
      <c r="AD493" s="42">
        <f>Q493*(1+'What-If Analysis'!F508)</f>
        <v>896.09</v>
      </c>
      <c r="AE493" s="41">
        <f>W493*(1+'What-If Analysis'!$F$18)</f>
        <v>12.87</v>
      </c>
      <c r="AF493" s="42">
        <f t="shared" si="105"/>
        <v>8783.7182432999998</v>
      </c>
      <c r="AG493" s="42">
        <f t="shared" si="106"/>
        <v>11532.6783</v>
      </c>
      <c r="AH493" s="42">
        <f t="shared" si="107"/>
        <v>-2748.9600566999998</v>
      </c>
      <c r="AI493" s="44">
        <f t="shared" si="108"/>
        <v>-0.31296086469950668</v>
      </c>
      <c r="AJ493" s="42">
        <f t="shared" si="109"/>
        <v>1276.2667533000003</v>
      </c>
      <c r="AK493" s="42">
        <f t="shared" si="110"/>
        <v>-2349.5385100000003</v>
      </c>
      <c r="AL493" s="9">
        <f t="shared" si="111"/>
        <v>0</v>
      </c>
      <c r="AM493" s="42"/>
    </row>
    <row r="494" spans="1:39" x14ac:dyDescent="0.25">
      <c r="A494" t="s">
        <v>507</v>
      </c>
      <c r="B494" s="20">
        <v>45352</v>
      </c>
      <c r="C494" s="4">
        <v>45351</v>
      </c>
      <c r="D494" s="4" t="s">
        <v>1434</v>
      </c>
      <c r="E494" s="4">
        <v>45371</v>
      </c>
      <c r="F494" s="11">
        <f t="shared" si="98"/>
        <v>19</v>
      </c>
      <c r="G494" s="11" t="str">
        <f t="shared" si="101"/>
        <v>Does not Meet Target</v>
      </c>
      <c r="H494" t="s">
        <v>648</v>
      </c>
      <c r="I494" t="s">
        <v>655</v>
      </c>
      <c r="J494" t="s">
        <v>670</v>
      </c>
      <c r="K494" t="s">
        <v>703</v>
      </c>
      <c r="L494" t="s">
        <v>711</v>
      </c>
      <c r="M494" t="s">
        <v>714</v>
      </c>
      <c r="N494" t="s">
        <v>730</v>
      </c>
      <c r="O494" t="str" cm="1">
        <f t="array" ref="O494">_xlfn.IFS(S494&lt;=_xlfn.PERCENTILE.INC(IF(N494:N1124=N494, S494:S1124), 0.33), "Low", S494&lt;=_xlfn.PERCENTILE.INC(IF(N494:N1124=N494, S494:S1124), 0.66), "Medium", S494 &gt; _xlfn.PERCENTILE.INC(IF(N494:N1124=N494, S494:S1124), 0.66), "High")</f>
        <v>Low</v>
      </c>
      <c r="P494" t="s">
        <v>1226</v>
      </c>
      <c r="Q494" s="6">
        <v>5.34</v>
      </c>
      <c r="R494" s="6">
        <v>12.69</v>
      </c>
      <c r="S494" s="6">
        <v>12.69</v>
      </c>
      <c r="T494" s="9">
        <v>0.13200000000000001</v>
      </c>
      <c r="U494" s="9">
        <f>IF(T494&gt;0.3, $AO$4, T494)</f>
        <v>0.13200000000000001</v>
      </c>
      <c r="V494" s="7" t="str">
        <f t="shared" si="102"/>
        <v>Less than 20%</v>
      </c>
      <c r="W494" s="11">
        <v>10</v>
      </c>
      <c r="X494" s="6">
        <f t="shared" si="99"/>
        <v>110.14919999999999</v>
      </c>
      <c r="Y494" s="6">
        <f t="shared" si="100"/>
        <v>53.4</v>
      </c>
      <c r="Z494" s="6">
        <f t="shared" si="103"/>
        <v>56.749199999999995</v>
      </c>
      <c r="AA494" s="9">
        <f t="shared" si="104"/>
        <v>0.51520301554618642</v>
      </c>
      <c r="AB494" s="9">
        <f>IF(U494&gt;'What-If Analysis'!$F$16, 'What-If Analysis'!$F$16,T494)</f>
        <v>0.13200000000000001</v>
      </c>
      <c r="AC494" s="42">
        <f>S494*(1-AB494)</f>
        <v>11.01492</v>
      </c>
      <c r="AD494" s="42">
        <f>Q494*(1+'What-If Analysis'!F509)</f>
        <v>5.34</v>
      </c>
      <c r="AE494" s="41">
        <f>W494*(1+'What-If Analysis'!$F$18)</f>
        <v>11.7</v>
      </c>
      <c r="AF494" s="42">
        <f t="shared" si="105"/>
        <v>128.87456399999999</v>
      </c>
      <c r="AG494" s="42">
        <f t="shared" si="106"/>
        <v>62.477999999999994</v>
      </c>
      <c r="AH494" s="42">
        <f t="shared" si="107"/>
        <v>66.396563999999998</v>
      </c>
      <c r="AI494" s="44">
        <f t="shared" si="108"/>
        <v>0.51520301554618642</v>
      </c>
      <c r="AJ494" s="42">
        <f t="shared" si="109"/>
        <v>18.725363999999999</v>
      </c>
      <c r="AK494" s="42">
        <f t="shared" si="110"/>
        <v>56.749199999999995</v>
      </c>
      <c r="AL494" s="9">
        <f t="shared" si="111"/>
        <v>0</v>
      </c>
      <c r="AM494" s="42"/>
    </row>
    <row r="495" spans="1:39" x14ac:dyDescent="0.25">
      <c r="A495" t="s">
        <v>508</v>
      </c>
      <c r="B495" s="20">
        <v>45439</v>
      </c>
      <c r="C495" s="4">
        <v>45460</v>
      </c>
      <c r="D495" s="4" t="s">
        <v>1439</v>
      </c>
      <c r="E495" s="4">
        <v>45460</v>
      </c>
      <c r="F495" s="11">
        <f t="shared" si="98"/>
        <v>21</v>
      </c>
      <c r="G495" s="11" t="str">
        <f t="shared" si="101"/>
        <v>Does not Meet Target</v>
      </c>
      <c r="H495" t="s">
        <v>647</v>
      </c>
      <c r="I495" t="s">
        <v>654</v>
      </c>
      <c r="J495" t="s">
        <v>680</v>
      </c>
      <c r="K495" t="s">
        <v>705</v>
      </c>
      <c r="L495" t="s">
        <v>708</v>
      </c>
      <c r="M495" t="s">
        <v>722</v>
      </c>
      <c r="N495" t="s">
        <v>733</v>
      </c>
      <c r="O495" t="str" cm="1">
        <f t="array" ref="O495">_xlfn.IFS(S495&lt;=_xlfn.PERCENTILE.INC(IF(N495:N1125=N495, S495:S1125), 0.33), "Low", S495&lt;=_xlfn.PERCENTILE.INC(IF(N495:N1125=N495, S495:S1125), 0.66), "Medium", S495 &gt; _xlfn.PERCENTILE.INC(IF(N495:N1125=N495, S495:S1125), 0.66), "High")</f>
        <v>Low</v>
      </c>
      <c r="P495" t="s">
        <v>1227</v>
      </c>
      <c r="Q495" s="6">
        <v>465.02</v>
      </c>
      <c r="R495" s="6">
        <v>651.55999999999995</v>
      </c>
      <c r="S495" s="6">
        <v>651.55999999999995</v>
      </c>
      <c r="T495" s="9">
        <v>4.2000000000000003E-2</v>
      </c>
      <c r="U495" s="9">
        <f>IF(T495&gt;0.3, $AO$4, T495)</f>
        <v>4.2000000000000003E-2</v>
      </c>
      <c r="V495" s="7" t="str">
        <f t="shared" si="102"/>
        <v>Less than 20%</v>
      </c>
      <c r="W495" s="11">
        <v>19</v>
      </c>
      <c r="X495" s="6">
        <f t="shared" si="99"/>
        <v>11859.695119999998</v>
      </c>
      <c r="Y495" s="6">
        <f t="shared" si="100"/>
        <v>8835.3799999999992</v>
      </c>
      <c r="Z495" s="6">
        <f t="shared" si="103"/>
        <v>3024.3151199999993</v>
      </c>
      <c r="AA495" s="9">
        <f t="shared" si="104"/>
        <v>0.25500783025187918</v>
      </c>
      <c r="AB495" s="9">
        <f>IF(U495&gt;'What-If Analysis'!$F$16, 'What-If Analysis'!$F$16,T495)</f>
        <v>4.2000000000000003E-2</v>
      </c>
      <c r="AC495" s="42">
        <f>S495*(1-AB495)</f>
        <v>624.19447999999988</v>
      </c>
      <c r="AD495" s="42">
        <f>Q495*(1+'What-If Analysis'!F510)</f>
        <v>465.02</v>
      </c>
      <c r="AE495" s="41">
        <f>W495*(1+'What-If Analysis'!$F$18)</f>
        <v>22.229999999999997</v>
      </c>
      <c r="AF495" s="42">
        <f t="shared" si="105"/>
        <v>13875.843290399995</v>
      </c>
      <c r="AG495" s="42">
        <f t="shared" si="106"/>
        <v>10337.394599999998</v>
      </c>
      <c r="AH495" s="42">
        <f t="shared" si="107"/>
        <v>3538.4486903999968</v>
      </c>
      <c r="AI495" s="44">
        <f t="shared" si="108"/>
        <v>0.25500783025187906</v>
      </c>
      <c r="AJ495" s="42">
        <f t="shared" si="109"/>
        <v>2016.1481703999962</v>
      </c>
      <c r="AK495" s="42">
        <f t="shared" si="110"/>
        <v>3024.3151199999993</v>
      </c>
      <c r="AL495" s="9">
        <f t="shared" si="111"/>
        <v>0</v>
      </c>
      <c r="AM495" s="42"/>
    </row>
    <row r="496" spans="1:39" x14ac:dyDescent="0.25">
      <c r="A496" t="s">
        <v>509</v>
      </c>
      <c r="B496" s="20">
        <v>45508</v>
      </c>
      <c r="C496" s="4">
        <v>45521</v>
      </c>
      <c r="D496" s="4" t="s">
        <v>1443</v>
      </c>
      <c r="E496" s="4">
        <v>45521</v>
      </c>
      <c r="F496" s="11">
        <f t="shared" si="98"/>
        <v>13</v>
      </c>
      <c r="G496" s="11" t="str">
        <f t="shared" si="101"/>
        <v>Does not Meet Target</v>
      </c>
      <c r="H496" t="s">
        <v>648</v>
      </c>
      <c r="I496" t="s">
        <v>660</v>
      </c>
      <c r="J496" t="s">
        <v>697</v>
      </c>
      <c r="K496" t="s">
        <v>704</v>
      </c>
      <c r="L496" t="s">
        <v>707</v>
      </c>
      <c r="M496" t="s">
        <v>726</v>
      </c>
      <c r="N496" t="s">
        <v>732</v>
      </c>
      <c r="O496" t="str" cm="1">
        <f t="array" ref="O496">_xlfn.IFS(S496&lt;=_xlfn.PERCENTILE.INC(IF(N496:N1126=N496, S496:S1126), 0.33), "Low", S496&lt;=_xlfn.PERCENTILE.INC(IF(N496:N1126=N496, S496:S1126), 0.66), "Medium", S496 &gt; _xlfn.PERCENTILE.INC(IF(N496:N1126=N496, S496:S1126), 0.66), "High")</f>
        <v>Low</v>
      </c>
      <c r="P496" t="s">
        <v>1228</v>
      </c>
      <c r="Q496" s="6">
        <v>352.79</v>
      </c>
      <c r="R496" s="6">
        <v>754.22</v>
      </c>
      <c r="S496" s="6">
        <v>754.22</v>
      </c>
      <c r="T496" s="9">
        <v>0.113</v>
      </c>
      <c r="U496" s="9">
        <f>IF(T496&gt;0.3, $AO$4, T496)</f>
        <v>0.113</v>
      </c>
      <c r="V496" s="7" t="str">
        <f t="shared" si="102"/>
        <v>Less than 20%</v>
      </c>
      <c r="W496" s="11">
        <v>7</v>
      </c>
      <c r="X496" s="6">
        <f t="shared" si="99"/>
        <v>4682.9519799999998</v>
      </c>
      <c r="Y496" s="6">
        <f t="shared" si="100"/>
        <v>2469.5300000000002</v>
      </c>
      <c r="Z496" s="6">
        <f t="shared" si="103"/>
        <v>2213.4219799999996</v>
      </c>
      <c r="AA496" s="9">
        <f t="shared" si="104"/>
        <v>0.47265528014233443</v>
      </c>
      <c r="AB496" s="9">
        <f>IF(U496&gt;'What-If Analysis'!$F$16, 'What-If Analysis'!$F$16,T496)</f>
        <v>0.113</v>
      </c>
      <c r="AC496" s="42">
        <f>S496*(1-AB496)</f>
        <v>668.99314000000004</v>
      </c>
      <c r="AD496" s="42">
        <f>Q496*(1+'What-If Analysis'!F511)</f>
        <v>352.79</v>
      </c>
      <c r="AE496" s="41">
        <f>W496*(1+'What-If Analysis'!$F$18)</f>
        <v>8.19</v>
      </c>
      <c r="AF496" s="42">
        <f t="shared" si="105"/>
        <v>5479.0538165999997</v>
      </c>
      <c r="AG496" s="42">
        <f t="shared" si="106"/>
        <v>2889.3501000000001</v>
      </c>
      <c r="AH496" s="42">
        <f t="shared" si="107"/>
        <v>2589.7037165999996</v>
      </c>
      <c r="AI496" s="44">
        <f t="shared" si="108"/>
        <v>0.47265528014233443</v>
      </c>
      <c r="AJ496" s="42">
        <f t="shared" si="109"/>
        <v>796.10183659999984</v>
      </c>
      <c r="AK496" s="42">
        <f t="shared" si="110"/>
        <v>2213.4219799999996</v>
      </c>
      <c r="AL496" s="9">
        <f t="shared" si="111"/>
        <v>0</v>
      </c>
      <c r="AM496" s="42"/>
    </row>
    <row r="497" spans="1:39" x14ac:dyDescent="0.25">
      <c r="A497" t="s">
        <v>510</v>
      </c>
      <c r="B497" s="20">
        <v>45097</v>
      </c>
      <c r="C497" s="4">
        <v>45111</v>
      </c>
      <c r="D497" s="4" t="s">
        <v>1442</v>
      </c>
      <c r="E497" s="4">
        <v>45111</v>
      </c>
      <c r="F497" s="11">
        <f t="shared" si="98"/>
        <v>14</v>
      </c>
      <c r="G497" s="11" t="str">
        <f t="shared" si="101"/>
        <v>Does not Meet Target</v>
      </c>
      <c r="H497" t="s">
        <v>648</v>
      </c>
      <c r="I497" t="s">
        <v>655</v>
      </c>
      <c r="J497" t="s">
        <v>672</v>
      </c>
      <c r="K497" t="s">
        <v>703</v>
      </c>
      <c r="L497" t="s">
        <v>711</v>
      </c>
      <c r="M497" t="s">
        <v>712</v>
      </c>
      <c r="N497" t="s">
        <v>729</v>
      </c>
      <c r="O497" t="str" cm="1">
        <f t="array" ref="O497">_xlfn.IFS(S497&lt;=_xlfn.PERCENTILE.INC(IF(N497:N1127=N497, S497:S1127), 0.33), "Low", S497&lt;=_xlfn.PERCENTILE.INC(IF(N497:N1127=N497, S497:S1127), 0.66), "Medium", S497 &gt; _xlfn.PERCENTILE.INC(IF(N497:N1127=N497, S497:S1127), 0.66), "High")</f>
        <v>High</v>
      </c>
      <c r="P497" t="s">
        <v>1229</v>
      </c>
      <c r="Q497" s="6">
        <v>1292.8599999999999</v>
      </c>
      <c r="R497" s="6">
        <v>2981.01</v>
      </c>
      <c r="S497" s="6">
        <v>2981.01</v>
      </c>
      <c r="T497" s="9">
        <v>0.14199999999999999</v>
      </c>
      <c r="U497" s="9">
        <f>IF(T497&gt;0.3, $AO$4, T497)</f>
        <v>0.14199999999999999</v>
      </c>
      <c r="V497" s="7" t="str">
        <f t="shared" si="102"/>
        <v>Less than 20%</v>
      </c>
      <c r="W497" s="11">
        <v>12</v>
      </c>
      <c r="X497" s="6">
        <f t="shared" si="99"/>
        <v>30692.47896</v>
      </c>
      <c r="Y497" s="6">
        <f t="shared" si="100"/>
        <v>15514.32</v>
      </c>
      <c r="Z497" s="6">
        <f t="shared" si="103"/>
        <v>15178.158960000001</v>
      </c>
      <c r="AA497" s="9">
        <f t="shared" si="104"/>
        <v>0.49452372288927687</v>
      </c>
      <c r="AB497" s="9">
        <f>IF(U497&gt;'What-If Analysis'!$F$16, 'What-If Analysis'!$F$16,T497)</f>
        <v>0.14199999999999999</v>
      </c>
      <c r="AC497" s="42">
        <f>S497*(1-AB497)</f>
        <v>2557.70658</v>
      </c>
      <c r="AD497" s="42">
        <f>Q497*(1+'What-If Analysis'!F512)</f>
        <v>1292.8599999999999</v>
      </c>
      <c r="AE497" s="41">
        <f>W497*(1+'What-If Analysis'!$F$18)</f>
        <v>14.04</v>
      </c>
      <c r="AF497" s="42">
        <f t="shared" si="105"/>
        <v>35910.200383199997</v>
      </c>
      <c r="AG497" s="42">
        <f t="shared" si="106"/>
        <v>18151.754399999998</v>
      </c>
      <c r="AH497" s="42">
        <f t="shared" si="107"/>
        <v>17758.445983199999</v>
      </c>
      <c r="AI497" s="44">
        <f t="shared" si="108"/>
        <v>0.49452372288927687</v>
      </c>
      <c r="AJ497" s="42">
        <f t="shared" si="109"/>
        <v>5217.7214231999969</v>
      </c>
      <c r="AK497" s="42">
        <f t="shared" si="110"/>
        <v>15178.158960000001</v>
      </c>
      <c r="AL497" s="9">
        <f t="shared" si="111"/>
        <v>0</v>
      </c>
      <c r="AM497" s="42"/>
    </row>
    <row r="498" spans="1:39" x14ac:dyDescent="0.25">
      <c r="A498" t="s">
        <v>511</v>
      </c>
      <c r="B498" s="20">
        <v>45544</v>
      </c>
      <c r="C498" s="4">
        <v>45548</v>
      </c>
      <c r="D498" s="4" t="s">
        <v>1443</v>
      </c>
      <c r="E498" s="4">
        <v>45548</v>
      </c>
      <c r="F498" s="11">
        <f t="shared" si="98"/>
        <v>4</v>
      </c>
      <c r="G498" s="11" t="str">
        <f t="shared" si="101"/>
        <v>Meets Target</v>
      </c>
      <c r="H498" t="s">
        <v>649</v>
      </c>
      <c r="I498" t="s">
        <v>658</v>
      </c>
      <c r="J498" t="s">
        <v>683</v>
      </c>
      <c r="K498" t="s">
        <v>704</v>
      </c>
      <c r="L498" t="s">
        <v>709</v>
      </c>
      <c r="M498" t="s">
        <v>721</v>
      </c>
      <c r="N498" t="s">
        <v>729</v>
      </c>
      <c r="O498" t="str" cm="1">
        <f t="array" ref="O498">_xlfn.IFS(S498&lt;=_xlfn.PERCENTILE.INC(IF(N498:N1128=N498, S498:S1128), 0.33), "Low", S498&lt;=_xlfn.PERCENTILE.INC(IF(N498:N1128=N498, S498:S1128), 0.66), "Medium", S498 &gt; _xlfn.PERCENTILE.INC(IF(N498:N1128=N498, S498:S1128), 0.66), "High")</f>
        <v>Medium</v>
      </c>
      <c r="P498" t="s">
        <v>1230</v>
      </c>
      <c r="Q498" s="6">
        <v>1133.08</v>
      </c>
      <c r="R498" s="6">
        <v>976.17</v>
      </c>
      <c r="S498" s="6">
        <v>976.17</v>
      </c>
      <c r="T498" s="9">
        <v>4.2000000000000003E-2</v>
      </c>
      <c r="U498" s="9">
        <f>IF(T498&gt;0.3, $AO$4, T498)</f>
        <v>4.2000000000000003E-2</v>
      </c>
      <c r="V498" s="7" t="str">
        <f t="shared" si="102"/>
        <v>Less than 20%</v>
      </c>
      <c r="W498" s="11">
        <v>27</v>
      </c>
      <c r="X498" s="6">
        <f t="shared" si="99"/>
        <v>25249.613219999999</v>
      </c>
      <c r="Y498" s="6">
        <f t="shared" si="100"/>
        <v>30593.159999999996</v>
      </c>
      <c r="Z498" s="6">
        <f t="shared" si="103"/>
        <v>-5343.5467799999969</v>
      </c>
      <c r="AA498" s="9">
        <f t="shared" si="104"/>
        <v>-0.21162885678452373</v>
      </c>
      <c r="AB498" s="9">
        <f>IF(U498&gt;'What-If Analysis'!$F$16, 'What-If Analysis'!$F$16,T498)</f>
        <v>4.2000000000000003E-2</v>
      </c>
      <c r="AC498" s="42">
        <f>S498*(1-AB498)</f>
        <v>935.17085999999995</v>
      </c>
      <c r="AD498" s="42">
        <f>Q498*(1+'What-If Analysis'!F513)</f>
        <v>1133.08</v>
      </c>
      <c r="AE498" s="41">
        <f>W498*(1+'What-If Analysis'!$F$18)</f>
        <v>31.589999999999996</v>
      </c>
      <c r="AF498" s="42">
        <f t="shared" si="105"/>
        <v>29542.047467399996</v>
      </c>
      <c r="AG498" s="42">
        <f t="shared" si="106"/>
        <v>35793.997199999991</v>
      </c>
      <c r="AH498" s="42">
        <f t="shared" si="107"/>
        <v>-6251.9497325999946</v>
      </c>
      <c r="AI498" s="44">
        <f t="shared" si="108"/>
        <v>-0.2116288567845237</v>
      </c>
      <c r="AJ498" s="42">
        <f t="shared" si="109"/>
        <v>4292.4342473999968</v>
      </c>
      <c r="AK498" s="42">
        <f t="shared" si="110"/>
        <v>-5343.5467799999969</v>
      </c>
      <c r="AL498" s="9">
        <f t="shared" si="111"/>
        <v>0</v>
      </c>
      <c r="AM498" s="42"/>
    </row>
    <row r="499" spans="1:39" x14ac:dyDescent="0.25">
      <c r="A499" t="s">
        <v>512</v>
      </c>
      <c r="B499" s="20">
        <v>45224</v>
      </c>
      <c r="C499" s="4">
        <v>45227</v>
      </c>
      <c r="D499" s="4" t="s">
        <v>1438</v>
      </c>
      <c r="E499" s="4">
        <v>45227</v>
      </c>
      <c r="F499" s="11">
        <f t="shared" si="98"/>
        <v>3</v>
      </c>
      <c r="G499" s="11" t="str">
        <f t="shared" si="101"/>
        <v>Meets Target</v>
      </c>
      <c r="H499" t="s">
        <v>648</v>
      </c>
      <c r="I499" t="s">
        <v>655</v>
      </c>
      <c r="J499" t="s">
        <v>672</v>
      </c>
      <c r="K499" t="s">
        <v>701</v>
      </c>
      <c r="L499" t="s">
        <v>710</v>
      </c>
      <c r="M499" t="s">
        <v>716</v>
      </c>
      <c r="N499" t="s">
        <v>733</v>
      </c>
      <c r="O499" t="str" cm="1">
        <f t="array" ref="O499">_xlfn.IFS(S499&lt;=_xlfn.PERCENTILE.INC(IF(N499:N1129=N499, S499:S1129), 0.33), "Low", S499&lt;=_xlfn.PERCENTILE.INC(IF(N499:N1129=N499, S499:S1129), 0.66), "Medium", S499 &gt; _xlfn.PERCENTILE.INC(IF(N499:N1129=N499, S499:S1129), 0.66), "High")</f>
        <v>Medium</v>
      </c>
      <c r="P499" t="s">
        <v>1231</v>
      </c>
      <c r="Q499" s="6">
        <v>509.31</v>
      </c>
      <c r="R499" s="6">
        <v>1145.9000000000001</v>
      </c>
      <c r="S499" s="6">
        <v>1145.9000000000001</v>
      </c>
      <c r="T499" s="9">
        <v>5.7000000000000002E-2</v>
      </c>
      <c r="U499" s="9">
        <f>IF(T499&gt;0.3, $AO$4, T499)</f>
        <v>5.7000000000000002E-2</v>
      </c>
      <c r="V499" s="7" t="str">
        <f t="shared" si="102"/>
        <v>Less than 20%</v>
      </c>
      <c r="W499" s="11">
        <v>8</v>
      </c>
      <c r="X499" s="6">
        <f t="shared" si="99"/>
        <v>8644.6696000000011</v>
      </c>
      <c r="Y499" s="6">
        <f t="shared" si="100"/>
        <v>4074.48</v>
      </c>
      <c r="Z499" s="6">
        <f t="shared" si="103"/>
        <v>4570.1896000000015</v>
      </c>
      <c r="AA499" s="9">
        <f t="shared" si="104"/>
        <v>0.52867140231709964</v>
      </c>
      <c r="AB499" s="9">
        <f>IF(U499&gt;'What-If Analysis'!$F$16, 'What-If Analysis'!$F$16,T499)</f>
        <v>5.7000000000000002E-2</v>
      </c>
      <c r="AC499" s="42">
        <f>S499*(1-AB499)</f>
        <v>1080.5837000000001</v>
      </c>
      <c r="AD499" s="42">
        <f>Q499*(1+'What-If Analysis'!F514)</f>
        <v>509.31</v>
      </c>
      <c r="AE499" s="41">
        <f>W499*(1+'What-If Analysis'!$F$18)</f>
        <v>9.36</v>
      </c>
      <c r="AF499" s="42">
        <f t="shared" si="105"/>
        <v>10114.263432000002</v>
      </c>
      <c r="AG499" s="42">
        <f t="shared" si="106"/>
        <v>4767.1415999999999</v>
      </c>
      <c r="AH499" s="42">
        <f t="shared" si="107"/>
        <v>5347.1218320000016</v>
      </c>
      <c r="AI499" s="44">
        <f t="shared" si="108"/>
        <v>0.52867140231709964</v>
      </c>
      <c r="AJ499" s="42">
        <f t="shared" si="109"/>
        <v>1469.5938320000005</v>
      </c>
      <c r="AK499" s="42">
        <f t="shared" si="110"/>
        <v>4570.1896000000015</v>
      </c>
      <c r="AL499" s="9">
        <f t="shared" si="111"/>
        <v>0</v>
      </c>
      <c r="AM499" s="42"/>
    </row>
    <row r="500" spans="1:39" x14ac:dyDescent="0.25">
      <c r="A500" t="s">
        <v>513</v>
      </c>
      <c r="B500" s="20">
        <v>45908</v>
      </c>
      <c r="C500" s="4">
        <v>45935</v>
      </c>
      <c r="D500" s="4" t="s">
        <v>1441</v>
      </c>
      <c r="E500" s="4">
        <v>45935</v>
      </c>
      <c r="F500" s="11">
        <f t="shared" si="98"/>
        <v>27</v>
      </c>
      <c r="G500" s="11" t="str">
        <f t="shared" si="101"/>
        <v>Does not Meet Target</v>
      </c>
      <c r="H500" t="s">
        <v>648</v>
      </c>
      <c r="I500" t="s">
        <v>655</v>
      </c>
      <c r="J500" t="s">
        <v>692</v>
      </c>
      <c r="K500" t="s">
        <v>702</v>
      </c>
      <c r="L500" t="s">
        <v>708</v>
      </c>
      <c r="M500" t="s">
        <v>712</v>
      </c>
      <c r="N500" t="s">
        <v>732</v>
      </c>
      <c r="O500" t="str" cm="1">
        <f t="array" ref="O500">_xlfn.IFS(S500&lt;=_xlfn.PERCENTILE.INC(IF(N500:N1130=N500, S500:S1130), 0.33), "Low", S500&lt;=_xlfn.PERCENTILE.INC(IF(N500:N1130=N500, S500:S1130), 0.66), "Medium", S500 &gt; _xlfn.PERCENTILE.INC(IF(N500:N1130=N500, S500:S1130), 0.66), "High")</f>
        <v>High</v>
      </c>
      <c r="P500" t="s">
        <v>1232</v>
      </c>
      <c r="Q500" s="6">
        <v>660.78</v>
      </c>
      <c r="R500" s="6">
        <v>1630.39</v>
      </c>
      <c r="S500" s="6">
        <v>1630.39</v>
      </c>
      <c r="T500" s="9">
        <v>0.218</v>
      </c>
      <c r="U500" s="9">
        <f>IF(T500&gt;0.3, $AO$4, T500)</f>
        <v>0.218</v>
      </c>
      <c r="V500" s="7" t="str">
        <f t="shared" si="102"/>
        <v>Greater than 20%</v>
      </c>
      <c r="W500" s="11">
        <v>13</v>
      </c>
      <c r="X500" s="6">
        <f t="shared" si="99"/>
        <v>16574.544740000001</v>
      </c>
      <c r="Y500" s="6">
        <f t="shared" si="100"/>
        <v>8590.14</v>
      </c>
      <c r="Z500" s="6">
        <f t="shared" si="103"/>
        <v>7984.4047400000018</v>
      </c>
      <c r="AA500" s="9">
        <f t="shared" si="104"/>
        <v>0.48172694123724097</v>
      </c>
      <c r="AB500" s="9">
        <f>IF(U500&gt;'What-If Analysis'!$F$16, 'What-If Analysis'!$F$16,T500)</f>
        <v>0.17</v>
      </c>
      <c r="AC500" s="42">
        <f>S500*(1-AB500)</f>
        <v>1353.2237</v>
      </c>
      <c r="AD500" s="42">
        <f>Q500*(1+'What-If Analysis'!F515)</f>
        <v>660.78</v>
      </c>
      <c r="AE500" s="41">
        <f>W500*(1+'What-If Analysis'!$F$18)</f>
        <v>15.209999999999999</v>
      </c>
      <c r="AF500" s="42">
        <f t="shared" si="105"/>
        <v>20582.532477000001</v>
      </c>
      <c r="AG500" s="42">
        <f t="shared" si="106"/>
        <v>10050.4638</v>
      </c>
      <c r="AH500" s="42">
        <f t="shared" si="107"/>
        <v>10532.068677000001</v>
      </c>
      <c r="AI500" s="44">
        <f t="shared" si="108"/>
        <v>0.51169935909340047</v>
      </c>
      <c r="AJ500" s="42">
        <f t="shared" si="109"/>
        <v>4007.9877369999995</v>
      </c>
      <c r="AK500" s="42">
        <f t="shared" si="110"/>
        <v>7984.4047400000018</v>
      </c>
      <c r="AL500" s="9">
        <f t="shared" si="111"/>
        <v>2.9972417856159506E-2</v>
      </c>
      <c r="AM500" s="42"/>
    </row>
    <row r="501" spans="1:39" x14ac:dyDescent="0.25">
      <c r="A501" t="s">
        <v>514</v>
      </c>
      <c r="B501" s="20">
        <v>45048</v>
      </c>
      <c r="C501" s="4">
        <v>45062</v>
      </c>
      <c r="D501" s="4" t="s">
        <v>1442</v>
      </c>
      <c r="E501" s="4">
        <v>45062</v>
      </c>
      <c r="F501" s="11">
        <f t="shared" si="98"/>
        <v>14</v>
      </c>
      <c r="G501" s="11" t="str">
        <f t="shared" si="101"/>
        <v>Does not Meet Target</v>
      </c>
      <c r="H501" t="s">
        <v>647</v>
      </c>
      <c r="I501" t="s">
        <v>654</v>
      </c>
      <c r="J501" t="s">
        <v>668</v>
      </c>
      <c r="K501" t="s">
        <v>703</v>
      </c>
      <c r="L501" t="s">
        <v>707</v>
      </c>
      <c r="M501" t="s">
        <v>716</v>
      </c>
      <c r="N501" t="s">
        <v>732</v>
      </c>
      <c r="O501" t="str" cm="1">
        <f t="array" ref="O501">_xlfn.IFS(S501&lt;=_xlfn.PERCENTILE.INC(IF(N501:N1131=N501, S501:S1131), 0.33), "Low", S501&lt;=_xlfn.PERCENTILE.INC(IF(N501:N1131=N501, S501:S1131), 0.66), "Medium", S501 &gt; _xlfn.PERCENTILE.INC(IF(N501:N1131=N501, S501:S1131), 0.66), "High")</f>
        <v>Medium</v>
      </c>
      <c r="P501" t="s">
        <v>1233</v>
      </c>
      <c r="Q501" s="6">
        <v>475.37</v>
      </c>
      <c r="R501" s="6">
        <v>963.73</v>
      </c>
      <c r="S501" s="6">
        <v>963.73</v>
      </c>
      <c r="T501" s="9">
        <v>4.1000000000000002E-2</v>
      </c>
      <c r="U501" s="9">
        <f>IF(T501&gt;0.3, $AO$4, T501)</f>
        <v>4.1000000000000002E-2</v>
      </c>
      <c r="V501" s="7" t="str">
        <f t="shared" si="102"/>
        <v>Less than 20%</v>
      </c>
      <c r="W501" s="11">
        <v>22</v>
      </c>
      <c r="X501" s="6">
        <f t="shared" si="99"/>
        <v>20332.775539999999</v>
      </c>
      <c r="Y501" s="6">
        <f t="shared" si="100"/>
        <v>10458.14</v>
      </c>
      <c r="Z501" s="6">
        <f t="shared" si="103"/>
        <v>9874.6355399999993</v>
      </c>
      <c r="AA501" s="9">
        <f t="shared" si="104"/>
        <v>0.48565113604750881</v>
      </c>
      <c r="AB501" s="9">
        <f>IF(U501&gt;'What-If Analysis'!$F$16, 'What-If Analysis'!$F$16,T501)</f>
        <v>4.1000000000000002E-2</v>
      </c>
      <c r="AC501" s="42">
        <f>S501*(1-AB501)</f>
        <v>924.21707000000004</v>
      </c>
      <c r="AD501" s="42">
        <f>Q501*(1+'What-If Analysis'!F516)</f>
        <v>475.37</v>
      </c>
      <c r="AE501" s="41">
        <f>W501*(1+'What-If Analysis'!$F$18)</f>
        <v>25.74</v>
      </c>
      <c r="AF501" s="42">
        <f t="shared" si="105"/>
        <v>23789.347381799998</v>
      </c>
      <c r="AG501" s="42">
        <f t="shared" si="106"/>
        <v>12236.023799999999</v>
      </c>
      <c r="AH501" s="42">
        <f t="shared" si="107"/>
        <v>11553.323581799999</v>
      </c>
      <c r="AI501" s="44">
        <f t="shared" si="108"/>
        <v>0.48565113604750887</v>
      </c>
      <c r="AJ501" s="42">
        <f t="shared" si="109"/>
        <v>3456.5718417999997</v>
      </c>
      <c r="AK501" s="42">
        <f t="shared" si="110"/>
        <v>9874.6355399999993</v>
      </c>
      <c r="AL501" s="9">
        <f t="shared" si="111"/>
        <v>0</v>
      </c>
      <c r="AM501" s="42"/>
    </row>
    <row r="502" spans="1:39" x14ac:dyDescent="0.25">
      <c r="A502" t="s">
        <v>515</v>
      </c>
      <c r="B502" s="20">
        <v>45408</v>
      </c>
      <c r="C502" s="4">
        <v>45406</v>
      </c>
      <c r="D502" s="4" t="s">
        <v>1439</v>
      </c>
      <c r="E502" s="4">
        <v>45426</v>
      </c>
      <c r="F502" s="11">
        <f t="shared" si="98"/>
        <v>18</v>
      </c>
      <c r="G502" s="11" t="str">
        <f t="shared" si="101"/>
        <v>Does not Meet Target</v>
      </c>
      <c r="H502" t="s">
        <v>649</v>
      </c>
      <c r="I502" t="s">
        <v>658</v>
      </c>
      <c r="J502" t="s">
        <v>683</v>
      </c>
      <c r="K502" t="s">
        <v>703</v>
      </c>
      <c r="L502" t="s">
        <v>710</v>
      </c>
      <c r="M502" t="s">
        <v>725</v>
      </c>
      <c r="N502" t="s">
        <v>730</v>
      </c>
      <c r="O502" t="str" cm="1">
        <f t="array" ref="O502">_xlfn.IFS(S502&lt;=_xlfn.PERCENTILE.INC(IF(N502:N1132=N502, S502:S1132), 0.33), "Low", S502&lt;=_xlfn.PERCENTILE.INC(IF(N502:N1132=N502, S502:S1132), 0.66), "Medium", S502 &gt; _xlfn.PERCENTILE.INC(IF(N502:N1132=N502, S502:S1132), 0.66), "High")</f>
        <v>Low</v>
      </c>
      <c r="P502" t="s">
        <v>1234</v>
      </c>
      <c r="Q502" s="6">
        <v>1232.77</v>
      </c>
      <c r="R502" s="6">
        <v>891.73</v>
      </c>
      <c r="S502" s="6">
        <v>891.73</v>
      </c>
      <c r="T502" s="9">
        <v>0.16700000000000001</v>
      </c>
      <c r="U502" s="9">
        <f>IF(T502&gt;0.3, $AO$4, T502)</f>
        <v>0.16700000000000001</v>
      </c>
      <c r="V502" s="7" t="str">
        <f t="shared" si="102"/>
        <v>Less than 20%</v>
      </c>
      <c r="W502" s="11">
        <v>10</v>
      </c>
      <c r="X502" s="6">
        <f t="shared" si="99"/>
        <v>7428.1108999999988</v>
      </c>
      <c r="Y502" s="6">
        <f t="shared" si="100"/>
        <v>12327.7</v>
      </c>
      <c r="Z502" s="6">
        <f t="shared" si="103"/>
        <v>-4899.589100000002</v>
      </c>
      <c r="AA502" s="9">
        <f t="shared" si="104"/>
        <v>-0.65960096260813805</v>
      </c>
      <c r="AB502" s="9">
        <f>IF(U502&gt;'What-If Analysis'!$F$16, 'What-If Analysis'!$F$16,T502)</f>
        <v>0.16700000000000001</v>
      </c>
      <c r="AC502" s="42">
        <f>S502*(1-AB502)</f>
        <v>742.81109000000004</v>
      </c>
      <c r="AD502" s="42">
        <f>Q502*(1+'What-If Analysis'!F517)</f>
        <v>1232.77</v>
      </c>
      <c r="AE502" s="41">
        <f>W502*(1+'What-If Analysis'!$F$18)</f>
        <v>11.7</v>
      </c>
      <c r="AF502" s="42">
        <f t="shared" si="105"/>
        <v>8690.8897529999995</v>
      </c>
      <c r="AG502" s="42">
        <f t="shared" si="106"/>
        <v>14423.409</v>
      </c>
      <c r="AH502" s="42">
        <f t="shared" si="107"/>
        <v>-5732.5192470000002</v>
      </c>
      <c r="AI502" s="44">
        <f t="shared" si="108"/>
        <v>-0.65960096260813772</v>
      </c>
      <c r="AJ502" s="42">
        <f t="shared" si="109"/>
        <v>1262.7788530000007</v>
      </c>
      <c r="AK502" s="42">
        <f t="shared" si="110"/>
        <v>-4899.589100000002</v>
      </c>
      <c r="AL502" s="9">
        <f t="shared" si="111"/>
        <v>0</v>
      </c>
      <c r="AM502" s="42"/>
    </row>
    <row r="503" spans="1:39" x14ac:dyDescent="0.25">
      <c r="A503" t="s">
        <v>516</v>
      </c>
      <c r="B503" s="20">
        <v>44980</v>
      </c>
      <c r="C503" s="4">
        <v>45003</v>
      </c>
      <c r="D503" s="4" t="s">
        <v>1436</v>
      </c>
      <c r="E503" s="4">
        <v>45003</v>
      </c>
      <c r="F503" s="11">
        <f t="shared" si="98"/>
        <v>23</v>
      </c>
      <c r="G503" s="11" t="str">
        <f t="shared" si="101"/>
        <v>Does not Meet Target</v>
      </c>
      <c r="H503" t="s">
        <v>647</v>
      </c>
      <c r="I503" t="s">
        <v>659</v>
      </c>
      <c r="J503" t="s">
        <v>699</v>
      </c>
      <c r="K503" t="s">
        <v>702</v>
      </c>
      <c r="L503" t="s">
        <v>710</v>
      </c>
      <c r="M503" t="s">
        <v>723</v>
      </c>
      <c r="N503" t="s">
        <v>728</v>
      </c>
      <c r="O503" t="str" cm="1">
        <f t="array" ref="O503">_xlfn.IFS(S503&lt;=_xlfn.PERCENTILE.INC(IF(N503:N1133=N503, S503:S1133), 0.33), "Low", S503&lt;=_xlfn.PERCENTILE.INC(IF(N503:N1133=N503, S503:S1133), 0.66), "Medium", S503 &gt; _xlfn.PERCENTILE.INC(IF(N503:N1133=N503, S503:S1133), 0.66), "High")</f>
        <v>High</v>
      </c>
      <c r="P503" t="s">
        <v>1235</v>
      </c>
      <c r="Q503" s="6">
        <v>770.11</v>
      </c>
      <c r="R503" s="6">
        <v>1667.82</v>
      </c>
      <c r="S503" s="6">
        <v>1667.82</v>
      </c>
      <c r="T503" s="9">
        <v>6.9000000000000006E-2</v>
      </c>
      <c r="U503" s="9">
        <f>IF(T503&gt;0.3, $AO$4, T503)</f>
        <v>6.9000000000000006E-2</v>
      </c>
      <c r="V503" s="7" t="str">
        <f t="shared" si="102"/>
        <v>Less than 20%</v>
      </c>
      <c r="W503" s="11">
        <v>7</v>
      </c>
      <c r="X503" s="6">
        <f t="shared" si="99"/>
        <v>10869.182940000001</v>
      </c>
      <c r="Y503" s="6">
        <f t="shared" si="100"/>
        <v>5390.77</v>
      </c>
      <c r="Z503" s="6">
        <f t="shared" si="103"/>
        <v>5478.4129400000002</v>
      </c>
      <c r="AA503" s="9">
        <f t="shared" si="104"/>
        <v>0.50403171703355287</v>
      </c>
      <c r="AB503" s="9">
        <f>IF(U503&gt;'What-If Analysis'!$F$16, 'What-If Analysis'!$F$16,T503)</f>
        <v>6.9000000000000006E-2</v>
      </c>
      <c r="AC503" s="42">
        <f>S503*(1-AB503)</f>
        <v>1552.7404200000001</v>
      </c>
      <c r="AD503" s="42">
        <f>Q503*(1+'What-If Analysis'!F518)</f>
        <v>770.11</v>
      </c>
      <c r="AE503" s="41">
        <f>W503*(1+'What-If Analysis'!$F$18)</f>
        <v>8.19</v>
      </c>
      <c r="AF503" s="42">
        <f t="shared" si="105"/>
        <v>12716.944039800001</v>
      </c>
      <c r="AG503" s="42">
        <f t="shared" si="106"/>
        <v>6307.2008999999998</v>
      </c>
      <c r="AH503" s="42">
        <f t="shared" si="107"/>
        <v>6409.7431398000008</v>
      </c>
      <c r="AI503" s="44">
        <f t="shared" si="108"/>
        <v>0.50403171703355287</v>
      </c>
      <c r="AJ503" s="42">
        <f t="shared" si="109"/>
        <v>1847.7610998</v>
      </c>
      <c r="AK503" s="42">
        <f t="shared" si="110"/>
        <v>5478.4129400000002</v>
      </c>
      <c r="AL503" s="9">
        <f t="shared" si="111"/>
        <v>0</v>
      </c>
      <c r="AM503" s="42"/>
    </row>
    <row r="504" spans="1:39" x14ac:dyDescent="0.25">
      <c r="A504" t="s">
        <v>517</v>
      </c>
      <c r="B504" s="20">
        <v>45740</v>
      </c>
      <c r="C504" s="4">
        <v>45741</v>
      </c>
      <c r="D504" s="4" t="s">
        <v>1437</v>
      </c>
      <c r="E504" s="4">
        <v>45741</v>
      </c>
      <c r="F504" s="11">
        <f t="shared" si="98"/>
        <v>1</v>
      </c>
      <c r="G504" s="11" t="str">
        <f t="shared" si="101"/>
        <v>Meets Target</v>
      </c>
      <c r="H504" t="s">
        <v>647</v>
      </c>
      <c r="I504" t="s">
        <v>659</v>
      </c>
      <c r="J504" t="s">
        <v>699</v>
      </c>
      <c r="K504" t="s">
        <v>703</v>
      </c>
      <c r="L504" t="s">
        <v>708</v>
      </c>
      <c r="M504" t="s">
        <v>715</v>
      </c>
      <c r="N504" t="s">
        <v>729</v>
      </c>
      <c r="O504" t="str" cm="1">
        <f t="array" ref="O504">_xlfn.IFS(S504&lt;=_xlfn.PERCENTILE.INC(IF(N504:N1134=N504, S504:S1134), 0.33), "Low", S504&lt;=_xlfn.PERCENTILE.INC(IF(N504:N1134=N504, S504:S1134), 0.66), "Medium", S504 &gt; _xlfn.PERCENTILE.INC(IF(N504:N1134=N504, S504:S1134), 0.66), "High")</f>
        <v>Medium</v>
      </c>
      <c r="P504" t="s">
        <v>1236</v>
      </c>
      <c r="Q504" s="6">
        <v>1133.03</v>
      </c>
      <c r="R504" s="6">
        <v>1921.51</v>
      </c>
      <c r="S504" s="6">
        <v>1921.51</v>
      </c>
      <c r="T504" s="9">
        <v>0.10100000000000001</v>
      </c>
      <c r="U504" s="9">
        <f>IF(T504&gt;0.3, $AO$4, T504)</f>
        <v>0.10100000000000001</v>
      </c>
      <c r="V504" s="7" t="str">
        <f t="shared" si="102"/>
        <v>Less than 20%</v>
      </c>
      <c r="W504" s="11">
        <v>5</v>
      </c>
      <c r="X504" s="6">
        <f t="shared" si="99"/>
        <v>8637.1874499999994</v>
      </c>
      <c r="Y504" s="6">
        <f t="shared" si="100"/>
        <v>5665.15</v>
      </c>
      <c r="Z504" s="6">
        <f t="shared" si="103"/>
        <v>2972.0374499999998</v>
      </c>
      <c r="AA504" s="9">
        <f t="shared" si="104"/>
        <v>0.3440978289755654</v>
      </c>
      <c r="AB504" s="9">
        <f>IF(U504&gt;'What-If Analysis'!$F$16, 'What-If Analysis'!$F$16,T504)</f>
        <v>0.10100000000000001</v>
      </c>
      <c r="AC504" s="42">
        <f>S504*(1-AB504)</f>
        <v>1727.43749</v>
      </c>
      <c r="AD504" s="42">
        <f>Q504*(1+'What-If Analysis'!F519)</f>
        <v>1133.03</v>
      </c>
      <c r="AE504" s="41">
        <f>W504*(1+'What-If Analysis'!$F$18)</f>
        <v>5.85</v>
      </c>
      <c r="AF504" s="42">
        <f t="shared" si="105"/>
        <v>10105.5093165</v>
      </c>
      <c r="AG504" s="42">
        <f t="shared" si="106"/>
        <v>6628.2254999999996</v>
      </c>
      <c r="AH504" s="42">
        <f t="shared" si="107"/>
        <v>3477.2838165000003</v>
      </c>
      <c r="AI504" s="44">
        <f t="shared" si="108"/>
        <v>0.34409782897556546</v>
      </c>
      <c r="AJ504" s="42">
        <f t="shared" si="109"/>
        <v>1468.3218665000004</v>
      </c>
      <c r="AK504" s="42">
        <f t="shared" si="110"/>
        <v>2972.0374499999998</v>
      </c>
      <c r="AL504" s="9">
        <f t="shared" si="111"/>
        <v>0</v>
      </c>
      <c r="AM504" s="42"/>
    </row>
    <row r="505" spans="1:39" x14ac:dyDescent="0.25">
      <c r="A505" t="s">
        <v>518</v>
      </c>
      <c r="B505" s="20">
        <v>45726</v>
      </c>
      <c r="C505" s="4">
        <v>45743</v>
      </c>
      <c r="D505" s="4" t="s">
        <v>1437</v>
      </c>
      <c r="E505" s="4">
        <v>45743</v>
      </c>
      <c r="F505" s="11">
        <f t="shared" si="98"/>
        <v>17</v>
      </c>
      <c r="G505" s="11" t="str">
        <f t="shared" si="101"/>
        <v>Does not Meet Target</v>
      </c>
      <c r="H505" t="s">
        <v>648</v>
      </c>
      <c r="I505" t="s">
        <v>655</v>
      </c>
      <c r="J505" t="s">
        <v>692</v>
      </c>
      <c r="K505" t="s">
        <v>706</v>
      </c>
      <c r="L505" t="s">
        <v>711</v>
      </c>
      <c r="M505" t="s">
        <v>721</v>
      </c>
      <c r="N505" t="s">
        <v>729</v>
      </c>
      <c r="O505" t="str" cm="1">
        <f t="array" ref="O505">_xlfn.IFS(S505&lt;=_xlfn.PERCENTILE.INC(IF(N505:N1135=N505, S505:S1135), 0.33), "Low", S505&lt;=_xlfn.PERCENTILE.INC(IF(N505:N1135=N505, S505:S1135), 0.66), "Medium", S505 &gt; _xlfn.PERCENTILE.INC(IF(N505:N1135=N505, S505:S1135), 0.66), "High")</f>
        <v>Medium</v>
      </c>
      <c r="P505" t="s">
        <v>1237</v>
      </c>
      <c r="Q505" s="6">
        <v>996.73</v>
      </c>
      <c r="R505" s="6">
        <v>1217.43</v>
      </c>
      <c r="S505" s="6">
        <v>1217.43</v>
      </c>
      <c r="T505" s="9">
        <v>7.0000000000000007E-2</v>
      </c>
      <c r="U505" s="9">
        <f>IF(T505&gt;0.3, $AO$4, T505)</f>
        <v>7.0000000000000007E-2</v>
      </c>
      <c r="V505" s="7" t="str">
        <f t="shared" si="102"/>
        <v>Less than 20%</v>
      </c>
      <c r="W505" s="11">
        <v>9</v>
      </c>
      <c r="X505" s="6">
        <f t="shared" si="99"/>
        <v>10189.8891</v>
      </c>
      <c r="Y505" s="6">
        <f t="shared" si="100"/>
        <v>8970.57</v>
      </c>
      <c r="Z505" s="6">
        <f t="shared" si="103"/>
        <v>1219.3191000000006</v>
      </c>
      <c r="AA505" s="9">
        <f t="shared" si="104"/>
        <v>0.11965970267527255</v>
      </c>
      <c r="AB505" s="9">
        <f>IF(U505&gt;'What-If Analysis'!$F$16, 'What-If Analysis'!$F$16,T505)</f>
        <v>7.0000000000000007E-2</v>
      </c>
      <c r="AC505" s="42">
        <f>S505*(1-AB505)</f>
        <v>1132.2099000000001</v>
      </c>
      <c r="AD505" s="42">
        <f>Q505*(1+'What-If Analysis'!F520)</f>
        <v>996.73</v>
      </c>
      <c r="AE505" s="41">
        <f>W505*(1+'What-If Analysis'!$F$18)</f>
        <v>10.53</v>
      </c>
      <c r="AF505" s="42">
        <f t="shared" si="105"/>
        <v>11922.170247</v>
      </c>
      <c r="AG505" s="42">
        <f t="shared" si="106"/>
        <v>10495.5669</v>
      </c>
      <c r="AH505" s="42">
        <f t="shared" si="107"/>
        <v>1426.6033470000002</v>
      </c>
      <c r="AI505" s="44">
        <f t="shared" si="108"/>
        <v>0.11965970267527251</v>
      </c>
      <c r="AJ505" s="42">
        <f t="shared" si="109"/>
        <v>1732.2811469999997</v>
      </c>
      <c r="AK505" s="42">
        <f t="shared" si="110"/>
        <v>1219.3191000000006</v>
      </c>
      <c r="AL505" s="9">
        <f t="shared" si="111"/>
        <v>0</v>
      </c>
      <c r="AM505" s="42"/>
    </row>
    <row r="506" spans="1:39" x14ac:dyDescent="0.25">
      <c r="A506" t="s">
        <v>519</v>
      </c>
      <c r="B506" s="20">
        <v>45387</v>
      </c>
      <c r="C506" s="4">
        <v>45391</v>
      </c>
      <c r="D506" s="4" t="s">
        <v>1439</v>
      </c>
      <c r="E506" s="4">
        <v>45391</v>
      </c>
      <c r="F506" s="11">
        <f t="shared" si="98"/>
        <v>4</v>
      </c>
      <c r="G506" s="11" t="str">
        <f t="shared" si="101"/>
        <v>Meets Target</v>
      </c>
      <c r="H506" t="s">
        <v>646</v>
      </c>
      <c r="I506" t="s">
        <v>651</v>
      </c>
      <c r="J506" t="s">
        <v>665</v>
      </c>
      <c r="K506" t="s">
        <v>703</v>
      </c>
      <c r="L506" t="s">
        <v>711</v>
      </c>
      <c r="M506" t="s">
        <v>723</v>
      </c>
      <c r="N506" t="s">
        <v>727</v>
      </c>
      <c r="O506" t="str" cm="1">
        <f t="array" ref="O506">_xlfn.IFS(S506&lt;=_xlfn.PERCENTILE.INC(IF(N506:N1136=N506, S506:S1136), 0.33), "Low", S506&lt;=_xlfn.PERCENTILE.INC(IF(N506:N1136=N506, S506:S1136), 0.66), "Medium", S506 &gt; _xlfn.PERCENTILE.INC(IF(N506:N1136=N506, S506:S1136), 0.66), "High")</f>
        <v>Medium</v>
      </c>
      <c r="P506" t="s">
        <v>1238</v>
      </c>
      <c r="Q506" s="6">
        <v>395.07</v>
      </c>
      <c r="R506" s="6">
        <v>970.27</v>
      </c>
      <c r="S506" s="6">
        <v>970.27</v>
      </c>
      <c r="T506" s="9">
        <v>0.123</v>
      </c>
      <c r="U506" s="9">
        <f>IF(T506&gt;0.3, $AO$4, T506)</f>
        <v>0.123</v>
      </c>
      <c r="V506" s="7" t="str">
        <f t="shared" si="102"/>
        <v>Less than 20%</v>
      </c>
      <c r="W506" s="11">
        <v>38</v>
      </c>
      <c r="X506" s="6">
        <f t="shared" si="99"/>
        <v>32335.21802</v>
      </c>
      <c r="Y506" s="6">
        <f t="shared" si="100"/>
        <v>15012.66</v>
      </c>
      <c r="Z506" s="6">
        <f t="shared" si="103"/>
        <v>17322.55802</v>
      </c>
      <c r="AA506" s="9">
        <f t="shared" si="104"/>
        <v>0.53571799049833657</v>
      </c>
      <c r="AB506" s="9">
        <f>IF(U506&gt;'What-If Analysis'!$F$16, 'What-If Analysis'!$F$16,T506)</f>
        <v>0.123</v>
      </c>
      <c r="AC506" s="42">
        <f>S506*(1-AB506)</f>
        <v>850.92678999999998</v>
      </c>
      <c r="AD506" s="42">
        <f>Q506*(1+'What-If Analysis'!F521)</f>
        <v>395.07</v>
      </c>
      <c r="AE506" s="41">
        <f>W506*(1+'What-If Analysis'!$F$18)</f>
        <v>44.459999999999994</v>
      </c>
      <c r="AF506" s="42">
        <f t="shared" si="105"/>
        <v>37832.205083399997</v>
      </c>
      <c r="AG506" s="42">
        <f t="shared" si="106"/>
        <v>17564.812199999997</v>
      </c>
      <c r="AH506" s="42">
        <f t="shared" si="107"/>
        <v>20267.3928834</v>
      </c>
      <c r="AI506" s="44">
        <f t="shared" si="108"/>
        <v>0.53571799049833657</v>
      </c>
      <c r="AJ506" s="42">
        <f t="shared" si="109"/>
        <v>5496.9870633999963</v>
      </c>
      <c r="AK506" s="42">
        <f t="shared" si="110"/>
        <v>17322.55802</v>
      </c>
      <c r="AL506" s="9">
        <f t="shared" si="111"/>
        <v>0</v>
      </c>
      <c r="AM506" s="42"/>
    </row>
    <row r="507" spans="1:39" x14ac:dyDescent="0.25">
      <c r="A507" t="s">
        <v>520</v>
      </c>
      <c r="B507" s="20">
        <v>45774</v>
      </c>
      <c r="C507" s="4">
        <v>45794</v>
      </c>
      <c r="D507" s="4" t="s">
        <v>1440</v>
      </c>
      <c r="E507" s="4">
        <v>45794</v>
      </c>
      <c r="F507" s="11">
        <f t="shared" si="98"/>
        <v>20</v>
      </c>
      <c r="G507" s="11" t="str">
        <f t="shared" si="101"/>
        <v>Does not Meet Target</v>
      </c>
      <c r="H507" t="s">
        <v>648</v>
      </c>
      <c r="I507" t="s">
        <v>660</v>
      </c>
      <c r="J507" t="s">
        <v>697</v>
      </c>
      <c r="K507" t="s">
        <v>701</v>
      </c>
      <c r="L507" t="s">
        <v>711</v>
      </c>
      <c r="M507" t="s">
        <v>725</v>
      </c>
      <c r="N507" t="s">
        <v>730</v>
      </c>
      <c r="O507" t="str" cm="1">
        <f t="array" ref="O507">_xlfn.IFS(S507&lt;=_xlfn.PERCENTILE.INC(IF(N507:N1137=N507, S507:S1137), 0.33), "Low", S507&lt;=_xlfn.PERCENTILE.INC(IF(N507:N1137=N507, S507:S1137), 0.66), "Medium", S507 &gt; _xlfn.PERCENTILE.INC(IF(N507:N1137=N507, S507:S1137), 0.66), "High")</f>
        <v>Medium</v>
      </c>
      <c r="P507" t="s">
        <v>1239</v>
      </c>
      <c r="Q507" s="6">
        <v>932.26</v>
      </c>
      <c r="R507" s="6">
        <v>1624.67</v>
      </c>
      <c r="S507" s="6">
        <v>1624.67</v>
      </c>
      <c r="T507" s="9">
        <v>0.23499999999999999</v>
      </c>
      <c r="U507" s="9">
        <f>IF(T507&gt;0.3, $AO$4, T507)</f>
        <v>0.23499999999999999</v>
      </c>
      <c r="V507" s="7" t="str">
        <f t="shared" si="102"/>
        <v>Greater than 20%</v>
      </c>
      <c r="W507" s="11">
        <v>28</v>
      </c>
      <c r="X507" s="6">
        <f t="shared" si="99"/>
        <v>34800.431400000001</v>
      </c>
      <c r="Y507" s="6">
        <f t="shared" si="100"/>
        <v>26103.279999999999</v>
      </c>
      <c r="Z507" s="6">
        <f t="shared" si="103"/>
        <v>8697.1514000000025</v>
      </c>
      <c r="AA507" s="9">
        <f t="shared" si="104"/>
        <v>0.24991504559337163</v>
      </c>
      <c r="AB507" s="9">
        <f>IF(U507&gt;'What-If Analysis'!$F$16, 'What-If Analysis'!$F$16,T507)</f>
        <v>0.17</v>
      </c>
      <c r="AC507" s="42">
        <f>S507*(1-AB507)</f>
        <v>1348.4761000000001</v>
      </c>
      <c r="AD507" s="42">
        <f>Q507*(1+'What-If Analysis'!F522)</f>
        <v>932.26</v>
      </c>
      <c r="AE507" s="41">
        <f>W507*(1+'What-If Analysis'!$F$18)</f>
        <v>32.76</v>
      </c>
      <c r="AF507" s="42">
        <f t="shared" si="105"/>
        <v>44176.077036000002</v>
      </c>
      <c r="AG507" s="42">
        <f t="shared" si="106"/>
        <v>30540.837599999999</v>
      </c>
      <c r="AH507" s="42">
        <f t="shared" si="107"/>
        <v>13635.239436000003</v>
      </c>
      <c r="AI507" s="44">
        <f t="shared" si="108"/>
        <v>0.30865663840834856</v>
      </c>
      <c r="AJ507" s="42">
        <f t="shared" si="109"/>
        <v>9375.6456360000011</v>
      </c>
      <c r="AK507" s="42">
        <f t="shared" si="110"/>
        <v>8697.1514000000025</v>
      </c>
      <c r="AL507" s="9">
        <f t="shared" si="111"/>
        <v>5.8741592814976928E-2</v>
      </c>
      <c r="AM507" s="42"/>
    </row>
    <row r="508" spans="1:39" x14ac:dyDescent="0.25">
      <c r="A508" t="s">
        <v>521</v>
      </c>
      <c r="B508" s="20">
        <v>45589</v>
      </c>
      <c r="C508" s="4">
        <v>45593</v>
      </c>
      <c r="D508" s="4" t="s">
        <v>1435</v>
      </c>
      <c r="E508" s="4">
        <v>45593</v>
      </c>
      <c r="F508" s="11">
        <f t="shared" si="98"/>
        <v>4</v>
      </c>
      <c r="G508" s="11" t="str">
        <f t="shared" si="101"/>
        <v>Meets Target</v>
      </c>
      <c r="H508" t="s">
        <v>647</v>
      </c>
      <c r="I508" t="s">
        <v>659</v>
      </c>
      <c r="J508" t="s">
        <v>685</v>
      </c>
      <c r="K508" t="s">
        <v>705</v>
      </c>
      <c r="L508" t="s">
        <v>710</v>
      </c>
      <c r="M508" t="s">
        <v>714</v>
      </c>
      <c r="N508" t="s">
        <v>729</v>
      </c>
      <c r="O508" t="str" cm="1">
        <f t="array" ref="O508">_xlfn.IFS(S508&lt;=_xlfn.PERCENTILE.INC(IF(N508:N1138=N508, S508:S1138), 0.33), "Low", S508&lt;=_xlfn.PERCENTILE.INC(IF(N508:N1138=N508, S508:S1138), 0.66), "Medium", S508 &gt; _xlfn.PERCENTILE.INC(IF(N508:N1138=N508, S508:S1138), 0.66), "High")</f>
        <v>High</v>
      </c>
      <c r="P508" t="s">
        <v>1240</v>
      </c>
      <c r="Q508" s="6">
        <v>1331.77</v>
      </c>
      <c r="R508" s="6">
        <v>2606.11</v>
      </c>
      <c r="S508" s="6">
        <v>2606.11</v>
      </c>
      <c r="T508" s="9">
        <v>0.02</v>
      </c>
      <c r="U508" s="9">
        <f>IF(T508&gt;0.3, $AO$4, T508)</f>
        <v>0.02</v>
      </c>
      <c r="V508" s="7" t="str">
        <f t="shared" si="102"/>
        <v>Less than 20%</v>
      </c>
      <c r="W508" s="11">
        <v>6</v>
      </c>
      <c r="X508" s="6">
        <f t="shared" si="99"/>
        <v>15323.926799999999</v>
      </c>
      <c r="Y508" s="6">
        <f t="shared" si="100"/>
        <v>7990.62</v>
      </c>
      <c r="Z508" s="6">
        <f t="shared" si="103"/>
        <v>7333.3067999999994</v>
      </c>
      <c r="AA508" s="9">
        <f t="shared" si="104"/>
        <v>0.47855271665745619</v>
      </c>
      <c r="AB508" s="9">
        <f>IF(U508&gt;'What-If Analysis'!$F$16, 'What-If Analysis'!$F$16,T508)</f>
        <v>0.02</v>
      </c>
      <c r="AC508" s="42">
        <f>S508*(1-AB508)</f>
        <v>2553.9877999999999</v>
      </c>
      <c r="AD508" s="42">
        <f>Q508*(1+'What-If Analysis'!F523)</f>
        <v>1331.77</v>
      </c>
      <c r="AE508" s="41">
        <f>W508*(1+'What-If Analysis'!$F$18)</f>
        <v>7.02</v>
      </c>
      <c r="AF508" s="42">
        <f t="shared" si="105"/>
        <v>17928.994355999999</v>
      </c>
      <c r="AG508" s="42">
        <f t="shared" si="106"/>
        <v>9349.0253999999986</v>
      </c>
      <c r="AH508" s="42">
        <f t="shared" si="107"/>
        <v>8579.9689560000006</v>
      </c>
      <c r="AI508" s="44">
        <f t="shared" si="108"/>
        <v>0.4785527166574563</v>
      </c>
      <c r="AJ508" s="42">
        <f t="shared" si="109"/>
        <v>2605.067556</v>
      </c>
      <c r="AK508" s="42">
        <f t="shared" si="110"/>
        <v>7333.3067999999994</v>
      </c>
      <c r="AL508" s="9">
        <f t="shared" si="111"/>
        <v>0</v>
      </c>
      <c r="AM508" s="42"/>
    </row>
    <row r="509" spans="1:39" x14ac:dyDescent="0.25">
      <c r="A509" t="s">
        <v>522</v>
      </c>
      <c r="B509" s="20">
        <v>45029</v>
      </c>
      <c r="C509" s="4">
        <v>45036</v>
      </c>
      <c r="D509" s="4" t="s">
        <v>1442</v>
      </c>
      <c r="E509" s="4">
        <v>45036</v>
      </c>
      <c r="F509" s="11">
        <f t="shared" si="98"/>
        <v>7</v>
      </c>
      <c r="G509" s="11" t="str">
        <f t="shared" si="101"/>
        <v>Meets Target</v>
      </c>
      <c r="H509" t="s">
        <v>649</v>
      </c>
      <c r="I509" t="s">
        <v>657</v>
      </c>
      <c r="J509" t="s">
        <v>679</v>
      </c>
      <c r="K509" t="s">
        <v>705</v>
      </c>
      <c r="L509" t="s">
        <v>708</v>
      </c>
      <c r="M509" t="s">
        <v>720</v>
      </c>
      <c r="N509" t="s">
        <v>731</v>
      </c>
      <c r="O509" t="str" cm="1">
        <f t="array" ref="O509">_xlfn.IFS(S509&lt;=_xlfn.PERCENTILE.INC(IF(N509:N1139=N509, S509:S1139), 0.33), "Low", S509&lt;=_xlfn.PERCENTILE.INC(IF(N509:N1139=N509, S509:S1139), 0.66), "Medium", S509 &gt; _xlfn.PERCENTILE.INC(IF(N509:N1139=N509, S509:S1139), 0.66), "High")</f>
        <v>Low</v>
      </c>
      <c r="P509" t="s">
        <v>1241</v>
      </c>
      <c r="Q509" s="6">
        <v>227.02</v>
      </c>
      <c r="R509" s="6">
        <v>434.72</v>
      </c>
      <c r="S509" s="6">
        <v>434.72</v>
      </c>
      <c r="T509" s="9">
        <v>9.8000000000000004E-2</v>
      </c>
      <c r="U509" s="9">
        <f>IF(T509&gt;0.3, $AO$4, T509)</f>
        <v>9.8000000000000004E-2</v>
      </c>
      <c r="V509" s="7" t="str">
        <f t="shared" si="102"/>
        <v>Less than 20%</v>
      </c>
      <c r="W509" s="11">
        <v>10</v>
      </c>
      <c r="X509" s="6">
        <f t="shared" si="99"/>
        <v>3921.1744000000008</v>
      </c>
      <c r="Y509" s="6">
        <f t="shared" si="100"/>
        <v>2270.2000000000003</v>
      </c>
      <c r="Z509" s="6">
        <f t="shared" si="103"/>
        <v>1650.9744000000005</v>
      </c>
      <c r="AA509" s="9">
        <f t="shared" si="104"/>
        <v>0.42104079838938052</v>
      </c>
      <c r="AB509" s="9">
        <f>IF(U509&gt;'What-If Analysis'!$F$16, 'What-If Analysis'!$F$16,T509)</f>
        <v>9.8000000000000004E-2</v>
      </c>
      <c r="AC509" s="42">
        <f>S509*(1-AB509)</f>
        <v>392.11744000000004</v>
      </c>
      <c r="AD509" s="42">
        <f>Q509*(1+'What-If Analysis'!F524)</f>
        <v>227.02</v>
      </c>
      <c r="AE509" s="41">
        <f>W509*(1+'What-If Analysis'!$F$18)</f>
        <v>11.7</v>
      </c>
      <c r="AF509" s="42">
        <f t="shared" si="105"/>
        <v>4587.7740480000002</v>
      </c>
      <c r="AG509" s="42">
        <f t="shared" si="106"/>
        <v>2656.134</v>
      </c>
      <c r="AH509" s="42">
        <f t="shared" si="107"/>
        <v>1931.6400480000002</v>
      </c>
      <c r="AI509" s="44">
        <f t="shared" si="108"/>
        <v>0.42104079838938052</v>
      </c>
      <c r="AJ509" s="42">
        <f t="shared" si="109"/>
        <v>666.59964799999943</v>
      </c>
      <c r="AK509" s="42">
        <f t="shared" si="110"/>
        <v>1650.9744000000005</v>
      </c>
      <c r="AL509" s="9">
        <f t="shared" si="111"/>
        <v>0</v>
      </c>
      <c r="AM509" s="42"/>
    </row>
    <row r="510" spans="1:39" x14ac:dyDescent="0.25">
      <c r="A510" t="s">
        <v>523</v>
      </c>
      <c r="B510" s="20">
        <v>45608</v>
      </c>
      <c r="C510" s="4">
        <v>45617</v>
      </c>
      <c r="D510" s="4" t="s">
        <v>1435</v>
      </c>
      <c r="E510" s="4">
        <v>45617</v>
      </c>
      <c r="F510" s="11">
        <f t="shared" si="98"/>
        <v>9</v>
      </c>
      <c r="G510" s="11" t="str">
        <f t="shared" si="101"/>
        <v>Does not Meet Target</v>
      </c>
      <c r="H510" t="s">
        <v>647</v>
      </c>
      <c r="I510" t="s">
        <v>654</v>
      </c>
      <c r="J510" t="s">
        <v>691</v>
      </c>
      <c r="K510" t="s">
        <v>701</v>
      </c>
      <c r="L510" t="s">
        <v>711</v>
      </c>
      <c r="M510" t="s">
        <v>722</v>
      </c>
      <c r="N510" t="s">
        <v>731</v>
      </c>
      <c r="O510" t="str" cm="1">
        <f t="array" ref="O510">_xlfn.IFS(S510&lt;=_xlfn.PERCENTILE.INC(IF(N510:N1140=N510, S510:S1140), 0.33), "Low", S510&lt;=_xlfn.PERCENTILE.INC(IF(N510:N1140=N510, S510:S1140), 0.66), "Medium", S510 &gt; _xlfn.PERCENTILE.INC(IF(N510:N1140=N510, S510:S1140), 0.66), "High")</f>
        <v>Medium</v>
      </c>
      <c r="P510" t="s">
        <v>1242</v>
      </c>
      <c r="Q510" s="6">
        <v>903.41</v>
      </c>
      <c r="R510" s="6">
        <v>1860.41</v>
      </c>
      <c r="S510" s="6">
        <v>1860.41</v>
      </c>
      <c r="T510" s="9">
        <v>0.108</v>
      </c>
      <c r="U510" s="9">
        <f>IF(T510&gt;0.3, $AO$4, T510)</f>
        <v>0.108</v>
      </c>
      <c r="V510" s="7" t="str">
        <f t="shared" si="102"/>
        <v>Less than 20%</v>
      </c>
      <c r="W510" s="11">
        <v>5</v>
      </c>
      <c r="X510" s="6">
        <f t="shared" si="99"/>
        <v>8297.4286000000011</v>
      </c>
      <c r="Y510" s="6">
        <f t="shared" si="100"/>
        <v>4517.05</v>
      </c>
      <c r="Z510" s="6">
        <f t="shared" si="103"/>
        <v>3780.3786000000009</v>
      </c>
      <c r="AA510" s="9">
        <f t="shared" si="104"/>
        <v>0.455608451996803</v>
      </c>
      <c r="AB510" s="9">
        <f>IF(U510&gt;'What-If Analysis'!$F$16, 'What-If Analysis'!$F$16,T510)</f>
        <v>0.108</v>
      </c>
      <c r="AC510" s="42">
        <f>S510*(1-AB510)</f>
        <v>1659.4857200000001</v>
      </c>
      <c r="AD510" s="42">
        <f>Q510*(1+'What-If Analysis'!F525)</f>
        <v>903.41</v>
      </c>
      <c r="AE510" s="41">
        <f>W510*(1+'What-If Analysis'!$F$18)</f>
        <v>5.85</v>
      </c>
      <c r="AF510" s="42">
        <f t="shared" si="105"/>
        <v>9707.991462</v>
      </c>
      <c r="AG510" s="42">
        <f t="shared" si="106"/>
        <v>5284.9484999999995</v>
      </c>
      <c r="AH510" s="42">
        <f t="shared" si="107"/>
        <v>4423.0429620000004</v>
      </c>
      <c r="AI510" s="44">
        <f t="shared" si="108"/>
        <v>0.455608451996803</v>
      </c>
      <c r="AJ510" s="42">
        <f t="shared" si="109"/>
        <v>1410.5628619999989</v>
      </c>
      <c r="AK510" s="42">
        <f t="shared" si="110"/>
        <v>3780.3786000000009</v>
      </c>
      <c r="AL510" s="9">
        <f t="shared" si="111"/>
        <v>0</v>
      </c>
      <c r="AM510" s="42"/>
    </row>
    <row r="511" spans="1:39" x14ac:dyDescent="0.25">
      <c r="A511" t="s">
        <v>524</v>
      </c>
      <c r="B511" s="20">
        <v>45056</v>
      </c>
      <c r="C511" s="4">
        <v>45060</v>
      </c>
      <c r="D511" s="4" t="s">
        <v>1442</v>
      </c>
      <c r="E511" s="4">
        <v>45060</v>
      </c>
      <c r="F511" s="11">
        <f t="shared" si="98"/>
        <v>4</v>
      </c>
      <c r="G511" s="11" t="str">
        <f t="shared" si="101"/>
        <v>Meets Target</v>
      </c>
      <c r="H511" t="s">
        <v>647</v>
      </c>
      <c r="I511" t="s">
        <v>654</v>
      </c>
      <c r="J511" t="s">
        <v>680</v>
      </c>
      <c r="K511" t="s">
        <v>703</v>
      </c>
      <c r="L511" t="s">
        <v>710</v>
      </c>
      <c r="M511" t="s">
        <v>712</v>
      </c>
      <c r="N511" t="s">
        <v>732</v>
      </c>
      <c r="O511" t="str" cm="1">
        <f t="array" ref="O511">_xlfn.IFS(S511&lt;=_xlfn.PERCENTILE.INC(IF(N511:N1141=N511, S511:S1141), 0.33), "Low", S511&lt;=_xlfn.PERCENTILE.INC(IF(N511:N1141=N511, S511:S1141), 0.66), "Medium", S511 &gt; _xlfn.PERCENTILE.INC(IF(N511:N1141=N511, S511:S1141), 0.66), "High")</f>
        <v>Low</v>
      </c>
      <c r="P511" t="s">
        <v>1243</v>
      </c>
      <c r="Q511" s="6">
        <v>622.6</v>
      </c>
      <c r="R511" s="6">
        <v>833.69</v>
      </c>
      <c r="S511" s="6">
        <v>833.69</v>
      </c>
      <c r="T511" s="9">
        <v>0.20899999999999999</v>
      </c>
      <c r="U511" s="9">
        <f>IF(T511&gt;0.3, $AO$4, T511)</f>
        <v>0.20899999999999999</v>
      </c>
      <c r="V511" s="7" t="str">
        <f t="shared" si="102"/>
        <v>Greater than 20%</v>
      </c>
      <c r="W511" s="11">
        <v>14</v>
      </c>
      <c r="X511" s="6">
        <f t="shared" si="99"/>
        <v>9232.2830599999998</v>
      </c>
      <c r="Y511" s="6">
        <f t="shared" si="100"/>
        <v>8716.4</v>
      </c>
      <c r="Z511" s="6">
        <f t="shared" si="103"/>
        <v>515.88306000000011</v>
      </c>
      <c r="AA511" s="9">
        <f t="shared" si="104"/>
        <v>5.5878167582959715E-2</v>
      </c>
      <c r="AB511" s="9">
        <f>IF(U511&gt;'What-If Analysis'!$F$16, 'What-If Analysis'!$F$16,T511)</f>
        <v>0.17</v>
      </c>
      <c r="AC511" s="42">
        <f>S511*(1-AB511)</f>
        <v>691.96270000000004</v>
      </c>
      <c r="AD511" s="42">
        <f>Q511*(1+'What-If Analysis'!F526)</f>
        <v>622.6</v>
      </c>
      <c r="AE511" s="41">
        <f>W511*(1+'What-If Analysis'!$F$18)</f>
        <v>16.38</v>
      </c>
      <c r="AF511" s="42">
        <f t="shared" si="105"/>
        <v>11334.349026</v>
      </c>
      <c r="AG511" s="42">
        <f t="shared" si="106"/>
        <v>10198.188</v>
      </c>
      <c r="AH511" s="42">
        <f t="shared" si="107"/>
        <v>1136.1610259999998</v>
      </c>
      <c r="AI511" s="44">
        <f t="shared" si="108"/>
        <v>0.10024051874472423</v>
      </c>
      <c r="AJ511" s="42">
        <f t="shared" si="109"/>
        <v>2102.0659660000001</v>
      </c>
      <c r="AK511" s="42">
        <f t="shared" si="110"/>
        <v>515.88306000000011</v>
      </c>
      <c r="AL511" s="9">
        <f t="shared" si="111"/>
        <v>4.4362351161764513E-2</v>
      </c>
      <c r="AM511" s="42"/>
    </row>
    <row r="512" spans="1:39" x14ac:dyDescent="0.25">
      <c r="A512" t="s">
        <v>525</v>
      </c>
      <c r="B512" s="20">
        <v>45353</v>
      </c>
      <c r="C512" s="4">
        <v>45374</v>
      </c>
      <c r="D512" s="4" t="s">
        <v>1434</v>
      </c>
      <c r="E512" s="4">
        <v>45374</v>
      </c>
      <c r="F512" s="11">
        <f t="shared" si="98"/>
        <v>21</v>
      </c>
      <c r="G512" s="11" t="str">
        <f t="shared" si="101"/>
        <v>Does not Meet Target</v>
      </c>
      <c r="H512" t="s">
        <v>648</v>
      </c>
      <c r="I512" t="s">
        <v>660</v>
      </c>
      <c r="J512" t="s">
        <v>677</v>
      </c>
      <c r="K512" t="s">
        <v>705</v>
      </c>
      <c r="L512" t="s">
        <v>708</v>
      </c>
      <c r="M512" t="s">
        <v>721</v>
      </c>
      <c r="N512" t="s">
        <v>727</v>
      </c>
      <c r="O512" t="str" cm="1">
        <f t="array" ref="O512">_xlfn.IFS(S512&lt;=_xlfn.PERCENTILE.INC(IF(N512:N1142=N512, S512:S1142), 0.33), "Low", S512&lt;=_xlfn.PERCENTILE.INC(IF(N512:N1142=N512, S512:S1142), 0.66), "Medium", S512 &gt; _xlfn.PERCENTILE.INC(IF(N512:N1142=N512, S512:S1142), 0.66), "High")</f>
        <v>Low</v>
      </c>
      <c r="P512" t="s">
        <v>1244</v>
      </c>
      <c r="Q512" s="6">
        <v>225.01</v>
      </c>
      <c r="R512" s="6">
        <v>333.48</v>
      </c>
      <c r="S512" s="6">
        <v>333.48</v>
      </c>
      <c r="T512" s="9">
        <v>0.11899999999999999</v>
      </c>
      <c r="U512" s="9">
        <f>IF(T512&gt;0.3, $AO$4, T512)</f>
        <v>0.11899999999999999</v>
      </c>
      <c r="V512" s="7" t="str">
        <f t="shared" si="102"/>
        <v>Less than 20%</v>
      </c>
      <c r="W512" s="11">
        <v>12</v>
      </c>
      <c r="X512" s="6">
        <f t="shared" si="99"/>
        <v>3525.5505600000001</v>
      </c>
      <c r="Y512" s="6">
        <f t="shared" si="100"/>
        <v>2700.12</v>
      </c>
      <c r="Z512" s="6">
        <f t="shared" si="103"/>
        <v>825.43056000000024</v>
      </c>
      <c r="AA512" s="9">
        <f t="shared" si="104"/>
        <v>0.23412813004729685</v>
      </c>
      <c r="AB512" s="9">
        <f>IF(U512&gt;'What-If Analysis'!$F$16, 'What-If Analysis'!$F$16,T512)</f>
        <v>0.11899999999999999</v>
      </c>
      <c r="AC512" s="42">
        <f>S512*(1-AB512)</f>
        <v>293.79588000000001</v>
      </c>
      <c r="AD512" s="42">
        <f>Q512*(1+'What-If Analysis'!F527)</f>
        <v>225.01</v>
      </c>
      <c r="AE512" s="41">
        <f>W512*(1+'What-If Analysis'!$F$18)</f>
        <v>14.04</v>
      </c>
      <c r="AF512" s="42">
        <f t="shared" si="105"/>
        <v>4124.8941551999997</v>
      </c>
      <c r="AG512" s="42">
        <f t="shared" si="106"/>
        <v>3159.1403999999998</v>
      </c>
      <c r="AH512" s="42">
        <f t="shared" si="107"/>
        <v>965.75375519999989</v>
      </c>
      <c r="AI512" s="44">
        <f t="shared" si="108"/>
        <v>0.23412813004729677</v>
      </c>
      <c r="AJ512" s="42">
        <f t="shared" si="109"/>
        <v>599.34359519999953</v>
      </c>
      <c r="AK512" s="42">
        <f t="shared" si="110"/>
        <v>825.43056000000024</v>
      </c>
      <c r="AL512" s="9">
        <f t="shared" si="111"/>
        <v>0</v>
      </c>
      <c r="AM512" s="42"/>
    </row>
    <row r="513" spans="1:39" x14ac:dyDescent="0.25">
      <c r="A513" t="s">
        <v>526</v>
      </c>
      <c r="B513" s="20">
        <v>45575</v>
      </c>
      <c r="C513" s="4">
        <v>45576</v>
      </c>
      <c r="D513" s="4" t="s">
        <v>1435</v>
      </c>
      <c r="E513" s="4">
        <v>45576</v>
      </c>
      <c r="F513" s="11">
        <f t="shared" si="98"/>
        <v>1</v>
      </c>
      <c r="G513" s="11" t="str">
        <f t="shared" si="101"/>
        <v>Meets Target</v>
      </c>
      <c r="H513" t="s">
        <v>649</v>
      </c>
      <c r="I513" t="s">
        <v>658</v>
      </c>
      <c r="J513" t="s">
        <v>693</v>
      </c>
      <c r="K513" t="s">
        <v>703</v>
      </c>
      <c r="L513" t="s">
        <v>710</v>
      </c>
      <c r="M513" t="s">
        <v>716</v>
      </c>
      <c r="N513" t="s">
        <v>727</v>
      </c>
      <c r="O513" t="str" cm="1">
        <f t="array" ref="O513">_xlfn.IFS(S513&lt;=_xlfn.PERCENTILE.INC(IF(N513:N1143=N513, S513:S1143), 0.33), "Low", S513&lt;=_xlfn.PERCENTILE.INC(IF(N513:N1143=N513, S513:S1143), 0.66), "Medium", S513 &gt; _xlfn.PERCENTILE.INC(IF(N513:N1143=N513, S513:S1143), 0.66), "High")</f>
        <v>High</v>
      </c>
      <c r="P513" t="s">
        <v>1245</v>
      </c>
      <c r="Q513" s="6">
        <v>1389.46</v>
      </c>
      <c r="R513" s="6">
        <v>1784.7</v>
      </c>
      <c r="S513" s="6">
        <v>1784.7</v>
      </c>
      <c r="T513" s="9">
        <v>0.14599999999999999</v>
      </c>
      <c r="U513" s="9">
        <f>IF(T513&gt;0.3, $AO$4, T513)</f>
        <v>0.14599999999999999</v>
      </c>
      <c r="V513" s="7" t="str">
        <f t="shared" si="102"/>
        <v>Less than 20%</v>
      </c>
      <c r="W513" s="11">
        <v>33</v>
      </c>
      <c r="X513" s="6">
        <f t="shared" si="99"/>
        <v>50296.415399999998</v>
      </c>
      <c r="Y513" s="6">
        <f t="shared" si="100"/>
        <v>45852.18</v>
      </c>
      <c r="Z513" s="6">
        <f t="shared" si="103"/>
        <v>4444.2353999999978</v>
      </c>
      <c r="AA513" s="9">
        <f t="shared" si="104"/>
        <v>8.8360877503011831E-2</v>
      </c>
      <c r="AB513" s="9">
        <f>IF(U513&gt;'What-If Analysis'!$F$16, 'What-If Analysis'!$F$16,T513)</f>
        <v>0.14599999999999999</v>
      </c>
      <c r="AC513" s="42">
        <f>S513*(1-AB513)</f>
        <v>1524.1338000000001</v>
      </c>
      <c r="AD513" s="42">
        <f>Q513*(1+'What-If Analysis'!F528)</f>
        <v>1389.46</v>
      </c>
      <c r="AE513" s="41">
        <f>W513*(1+'What-If Analysis'!$F$18)</f>
        <v>38.61</v>
      </c>
      <c r="AF513" s="42">
        <f t="shared" si="105"/>
        <v>58846.806018000003</v>
      </c>
      <c r="AG513" s="42">
        <f t="shared" si="106"/>
        <v>53647.050600000002</v>
      </c>
      <c r="AH513" s="42">
        <f t="shared" si="107"/>
        <v>5199.7554180000006</v>
      </c>
      <c r="AI513" s="44">
        <f t="shared" si="108"/>
        <v>8.8360877503011886E-2</v>
      </c>
      <c r="AJ513" s="42">
        <f t="shared" si="109"/>
        <v>8550.3906180000049</v>
      </c>
      <c r="AK513" s="42">
        <f t="shared" si="110"/>
        <v>4444.2353999999978</v>
      </c>
      <c r="AL513" s="9">
        <f t="shared" si="111"/>
        <v>0</v>
      </c>
      <c r="AM513" s="42"/>
    </row>
    <row r="514" spans="1:39" x14ac:dyDescent="0.25">
      <c r="A514" t="s">
        <v>527</v>
      </c>
      <c r="B514" s="20">
        <v>45078</v>
      </c>
      <c r="C514" s="4">
        <v>45085</v>
      </c>
      <c r="D514" s="4" t="s">
        <v>1442</v>
      </c>
      <c r="E514" s="4">
        <v>45085</v>
      </c>
      <c r="F514" s="11">
        <f t="shared" ref="F514:F577" si="112">E514-B514</f>
        <v>7</v>
      </c>
      <c r="G514" s="11" t="str">
        <f t="shared" si="101"/>
        <v>Meets Target</v>
      </c>
      <c r="H514" t="s">
        <v>649</v>
      </c>
      <c r="I514" t="s">
        <v>656</v>
      </c>
      <c r="J514" t="s">
        <v>698</v>
      </c>
      <c r="K514" t="s">
        <v>704</v>
      </c>
      <c r="L514" t="s">
        <v>708</v>
      </c>
      <c r="M514" t="s">
        <v>720</v>
      </c>
      <c r="N514" t="s">
        <v>730</v>
      </c>
      <c r="O514" t="str" cm="1">
        <f t="array" ref="O514">_xlfn.IFS(S514&lt;=_xlfn.PERCENTILE.INC(IF(N514:N1144=N514, S514:S1144), 0.33), "Low", S514&lt;=_xlfn.PERCENTILE.INC(IF(N514:N1144=N514, S514:S1144), 0.66), "Medium", S514 &gt; _xlfn.PERCENTILE.INC(IF(N514:N1144=N514, S514:S1144), 0.66), "High")</f>
        <v>Medium</v>
      </c>
      <c r="P514" t="s">
        <v>1246</v>
      </c>
      <c r="Q514" s="6">
        <v>804.17</v>
      </c>
      <c r="R514" s="6">
        <v>1072.29</v>
      </c>
      <c r="S514" s="6">
        <v>1072.29</v>
      </c>
      <c r="T514" s="9">
        <v>3.2000000000000001E-2</v>
      </c>
      <c r="U514" s="9">
        <f>IF(T514&gt;0.3, $AO$4, T514)</f>
        <v>3.2000000000000001E-2</v>
      </c>
      <c r="V514" s="7" t="str">
        <f t="shared" si="102"/>
        <v>Less than 20%</v>
      </c>
      <c r="W514" s="11">
        <v>5</v>
      </c>
      <c r="X514" s="6">
        <f t="shared" ref="X514:X577" si="113">S514*W514*(1-U514)</f>
        <v>5189.8836000000001</v>
      </c>
      <c r="Y514" s="6">
        <f t="shared" ref="Y514:Y577" si="114">Q514*W514</f>
        <v>4020.85</v>
      </c>
      <c r="Z514" s="6">
        <f t="shared" si="103"/>
        <v>1169.0336000000002</v>
      </c>
      <c r="AA514" s="9">
        <f t="shared" si="104"/>
        <v>0.2252523736755869</v>
      </c>
      <c r="AB514" s="9">
        <f>IF(U514&gt;'What-If Analysis'!$F$16, 'What-If Analysis'!$F$16,T514)</f>
        <v>3.2000000000000001E-2</v>
      </c>
      <c r="AC514" s="42">
        <f>S514*(1-AB514)</f>
        <v>1037.9767199999999</v>
      </c>
      <c r="AD514" s="42">
        <f>Q514*(1+'What-If Analysis'!F529)</f>
        <v>804.17</v>
      </c>
      <c r="AE514" s="41">
        <f>W514*(1+'What-If Analysis'!$F$18)</f>
        <v>5.85</v>
      </c>
      <c r="AF514" s="42">
        <f t="shared" si="105"/>
        <v>6072.1638119999989</v>
      </c>
      <c r="AG514" s="42">
        <f t="shared" si="106"/>
        <v>4704.3944999999994</v>
      </c>
      <c r="AH514" s="42">
        <f t="shared" si="107"/>
        <v>1367.7693119999994</v>
      </c>
      <c r="AI514" s="44">
        <f t="shared" si="108"/>
        <v>0.22525237367558681</v>
      </c>
      <c r="AJ514" s="42">
        <f t="shared" si="109"/>
        <v>882.28021199999876</v>
      </c>
      <c r="AK514" s="42">
        <f t="shared" si="110"/>
        <v>1169.0336000000002</v>
      </c>
      <c r="AL514" s="9">
        <f t="shared" si="111"/>
        <v>0</v>
      </c>
      <c r="AM514" s="42"/>
    </row>
    <row r="515" spans="1:39" x14ac:dyDescent="0.25">
      <c r="A515" t="s">
        <v>528</v>
      </c>
      <c r="B515" s="20">
        <v>45661</v>
      </c>
      <c r="C515" s="4">
        <v>45662</v>
      </c>
      <c r="D515" s="4" t="s">
        <v>1437</v>
      </c>
      <c r="E515" s="4">
        <v>45662</v>
      </c>
      <c r="F515" s="11">
        <f t="shared" si="112"/>
        <v>1</v>
      </c>
      <c r="G515" s="11" t="str">
        <f t="shared" ref="G515:G578" si="115">IF(F515&lt;=7, "Meets Target", "Does not Meet Target")</f>
        <v>Meets Target</v>
      </c>
      <c r="H515" t="s">
        <v>647</v>
      </c>
      <c r="I515" t="s">
        <v>654</v>
      </c>
      <c r="J515" t="s">
        <v>680</v>
      </c>
      <c r="K515" t="s">
        <v>702</v>
      </c>
      <c r="L515" t="s">
        <v>707</v>
      </c>
      <c r="M515" t="s">
        <v>714</v>
      </c>
      <c r="N515" t="s">
        <v>727</v>
      </c>
      <c r="O515" t="str" cm="1">
        <f t="array" ref="O515">_xlfn.IFS(S515&lt;=_xlfn.PERCENTILE.INC(IF(N515:N1145=N515, S515:S1145), 0.33), "Low", S515&lt;=_xlfn.PERCENTILE.INC(IF(N515:N1145=N515, S515:S1145), 0.66), "Medium", S515 &gt; _xlfn.PERCENTILE.INC(IF(N515:N1145=N515, S515:S1145), 0.66), "High")</f>
        <v>High</v>
      </c>
      <c r="P515" t="s">
        <v>1247</v>
      </c>
      <c r="Q515" s="6">
        <v>1428.33</v>
      </c>
      <c r="R515" s="6">
        <v>3028.05</v>
      </c>
      <c r="S515" s="6">
        <v>3028.05</v>
      </c>
      <c r="T515" s="9">
        <v>0</v>
      </c>
      <c r="U515" s="9">
        <f>IF(T515&gt;0.3, $AO$4, T515)</f>
        <v>0</v>
      </c>
      <c r="V515" s="7" t="str">
        <f t="shared" ref="V515:V578" si="116">IF(U515&gt;20%, "Greater than 20%", "Less than 20%")</f>
        <v>Less than 20%</v>
      </c>
      <c r="W515" s="11">
        <v>11</v>
      </c>
      <c r="X515" s="6">
        <f t="shared" si="113"/>
        <v>33308.550000000003</v>
      </c>
      <c r="Y515" s="6">
        <f t="shared" si="114"/>
        <v>15711.63</v>
      </c>
      <c r="Z515" s="6">
        <f t="shared" ref="Z515:Z578" si="117">X515-Y515</f>
        <v>17596.920000000006</v>
      </c>
      <c r="AA515" s="9">
        <f t="shared" ref="AA515:AA578" si="118">IF(X515=0, 0, Z515/X515)</f>
        <v>0.52830039134096207</v>
      </c>
      <c r="AB515" s="9">
        <f>IF(U515&gt;'What-If Analysis'!$F$16, 'What-If Analysis'!$F$16,T515)</f>
        <v>0</v>
      </c>
      <c r="AC515" s="42">
        <f>S515*(1-AB515)</f>
        <v>3028.05</v>
      </c>
      <c r="AD515" s="42">
        <f>Q515*(1+'What-If Analysis'!F530)</f>
        <v>1428.33</v>
      </c>
      <c r="AE515" s="41">
        <f>W515*(1+'What-If Analysis'!$F$18)</f>
        <v>12.87</v>
      </c>
      <c r="AF515" s="42">
        <f t="shared" ref="AF515:AF578" si="119">AC515*AE515</f>
        <v>38971.003499999999</v>
      </c>
      <c r="AG515" s="42">
        <f t="shared" ref="AG515:AG578" si="120">AD515*AE515</f>
        <v>18382.607099999997</v>
      </c>
      <c r="AH515" s="42">
        <f t="shared" ref="AH515:AH578" si="121">AF515-AG515</f>
        <v>20588.396400000001</v>
      </c>
      <c r="AI515" s="44">
        <f t="shared" ref="AI515:AI578" si="122">IF(AF515=0, 0, AH515/AF515)</f>
        <v>0.52830039134096207</v>
      </c>
      <c r="AJ515" s="42">
        <f t="shared" ref="AJ515:AJ578" si="123">AF515-X515</f>
        <v>5662.453499999996</v>
      </c>
      <c r="AK515" s="42">
        <f t="shared" ref="AK515:AK578" si="124">Z515</f>
        <v>17596.920000000006</v>
      </c>
      <c r="AL515" s="9">
        <f t="shared" ref="AL515:AL578" si="125">AI515-AA515</f>
        <v>0</v>
      </c>
      <c r="AM515" s="42"/>
    </row>
    <row r="516" spans="1:39" x14ac:dyDescent="0.25">
      <c r="A516" t="s">
        <v>529</v>
      </c>
      <c r="B516" s="20">
        <v>45874</v>
      </c>
      <c r="C516" s="4">
        <v>45897</v>
      </c>
      <c r="D516" s="4" t="s">
        <v>1441</v>
      </c>
      <c r="E516" s="4">
        <v>45897</v>
      </c>
      <c r="F516" s="11">
        <f t="shared" si="112"/>
        <v>23</v>
      </c>
      <c r="G516" s="11" t="str">
        <f t="shared" si="115"/>
        <v>Does not Meet Target</v>
      </c>
      <c r="H516" t="s">
        <v>647</v>
      </c>
      <c r="I516" t="s">
        <v>654</v>
      </c>
      <c r="J516" t="s">
        <v>691</v>
      </c>
      <c r="K516" t="s">
        <v>703</v>
      </c>
      <c r="L516" t="s">
        <v>710</v>
      </c>
      <c r="M516" t="s">
        <v>725</v>
      </c>
      <c r="N516" t="s">
        <v>731</v>
      </c>
      <c r="O516" t="str" cm="1">
        <f t="array" ref="O516">_xlfn.IFS(S516&lt;=_xlfn.PERCENTILE.INC(IF(N516:N1146=N516, S516:S1146), 0.33), "Low", S516&lt;=_xlfn.PERCENTILE.INC(IF(N516:N1146=N516, S516:S1146), 0.66), "Medium", S516 &gt; _xlfn.PERCENTILE.INC(IF(N516:N1146=N516, S516:S1146), 0.66), "High")</f>
        <v>Low</v>
      </c>
      <c r="P516" t="s">
        <v>1248</v>
      </c>
      <c r="Q516" s="6">
        <v>638.54</v>
      </c>
      <c r="R516" s="6">
        <v>987.24</v>
      </c>
      <c r="S516" s="6">
        <v>987.24</v>
      </c>
      <c r="T516" s="9">
        <v>0</v>
      </c>
      <c r="U516" s="9">
        <f>IF(T516&gt;0.3, $AO$4, T516)</f>
        <v>0</v>
      </c>
      <c r="V516" s="7" t="str">
        <f t="shared" si="116"/>
        <v>Less than 20%</v>
      </c>
      <c r="W516" s="11">
        <v>11</v>
      </c>
      <c r="X516" s="6">
        <f t="shared" si="113"/>
        <v>10859.64</v>
      </c>
      <c r="Y516" s="6">
        <f t="shared" si="114"/>
        <v>7023.94</v>
      </c>
      <c r="Z516" s="6">
        <f t="shared" si="117"/>
        <v>3835.7</v>
      </c>
      <c r="AA516" s="9">
        <f t="shared" si="118"/>
        <v>0.35320692030306716</v>
      </c>
      <c r="AB516" s="9">
        <f>IF(U516&gt;'What-If Analysis'!$F$16, 'What-If Analysis'!$F$16,T516)</f>
        <v>0</v>
      </c>
      <c r="AC516" s="42">
        <f>S516*(1-AB516)</f>
        <v>987.24</v>
      </c>
      <c r="AD516" s="42">
        <f>Q516*(1+'What-If Analysis'!F531)</f>
        <v>638.54</v>
      </c>
      <c r="AE516" s="41">
        <f>W516*(1+'What-If Analysis'!$F$18)</f>
        <v>12.87</v>
      </c>
      <c r="AF516" s="42">
        <f t="shared" si="119"/>
        <v>12705.7788</v>
      </c>
      <c r="AG516" s="42">
        <f t="shared" si="120"/>
        <v>8218.0097999999998</v>
      </c>
      <c r="AH516" s="42">
        <f t="shared" si="121"/>
        <v>4487.7690000000002</v>
      </c>
      <c r="AI516" s="44">
        <f t="shared" si="122"/>
        <v>0.35320692030306716</v>
      </c>
      <c r="AJ516" s="42">
        <f t="shared" si="123"/>
        <v>1846.1388000000006</v>
      </c>
      <c r="AK516" s="42">
        <f t="shared" si="124"/>
        <v>3835.7</v>
      </c>
      <c r="AL516" s="9">
        <f t="shared" si="125"/>
        <v>0</v>
      </c>
      <c r="AM516" s="42"/>
    </row>
    <row r="517" spans="1:39" x14ac:dyDescent="0.25">
      <c r="A517" t="s">
        <v>530</v>
      </c>
      <c r="B517" s="20">
        <v>45199</v>
      </c>
      <c r="C517" s="4">
        <v>45229</v>
      </c>
      <c r="D517" s="4" t="s">
        <v>1444</v>
      </c>
      <c r="E517" s="4">
        <v>45229</v>
      </c>
      <c r="F517" s="11">
        <f t="shared" si="112"/>
        <v>30</v>
      </c>
      <c r="G517" s="11" t="str">
        <f t="shared" si="115"/>
        <v>Does not Meet Target</v>
      </c>
      <c r="H517" t="s">
        <v>647</v>
      </c>
      <c r="I517" t="s">
        <v>652</v>
      </c>
      <c r="J517" t="s">
        <v>689</v>
      </c>
      <c r="K517" t="s">
        <v>706</v>
      </c>
      <c r="L517" t="s">
        <v>708</v>
      </c>
      <c r="M517" t="s">
        <v>726</v>
      </c>
      <c r="N517" t="s">
        <v>728</v>
      </c>
      <c r="O517" t="str" cm="1">
        <f t="array" ref="O517">_xlfn.IFS(S517&lt;=_xlfn.PERCENTILE.INC(IF(N517:N1147=N517, S517:S1147), 0.33), "Low", S517&lt;=_xlfn.PERCENTILE.INC(IF(N517:N1147=N517, S517:S1147), 0.66), "Medium", S517 &gt; _xlfn.PERCENTILE.INC(IF(N517:N1147=N517, S517:S1147), 0.66), "High")</f>
        <v>Medium</v>
      </c>
      <c r="P517" t="s">
        <v>1249</v>
      </c>
      <c r="Q517" s="6">
        <v>649.13</v>
      </c>
      <c r="R517" s="6">
        <v>975.43</v>
      </c>
      <c r="S517" s="6">
        <v>975.43</v>
      </c>
      <c r="T517" s="9">
        <v>0.157</v>
      </c>
      <c r="U517" s="9">
        <f>IF(T517&gt;0.3, $AO$4, T517)</f>
        <v>0.157</v>
      </c>
      <c r="V517" s="7" t="str">
        <f t="shared" si="116"/>
        <v>Less than 20%</v>
      </c>
      <c r="W517" s="11">
        <v>27</v>
      </c>
      <c r="X517" s="6">
        <f t="shared" si="113"/>
        <v>22201.762229999997</v>
      </c>
      <c r="Y517" s="6">
        <f t="shared" si="114"/>
        <v>17526.509999999998</v>
      </c>
      <c r="Z517" s="6">
        <f t="shared" si="117"/>
        <v>4675.2522299999982</v>
      </c>
      <c r="AA517" s="9">
        <f t="shared" si="118"/>
        <v>0.21058023149543473</v>
      </c>
      <c r="AB517" s="9">
        <f>IF(U517&gt;'What-If Analysis'!$F$16, 'What-If Analysis'!$F$16,T517)</f>
        <v>0.157</v>
      </c>
      <c r="AC517" s="42">
        <f>S517*(1-AB517)</f>
        <v>822.28748999999993</v>
      </c>
      <c r="AD517" s="42">
        <f>Q517*(1+'What-If Analysis'!F532)</f>
        <v>649.13</v>
      </c>
      <c r="AE517" s="41">
        <f>W517*(1+'What-If Analysis'!$F$18)</f>
        <v>31.589999999999996</v>
      </c>
      <c r="AF517" s="42">
        <f t="shared" si="119"/>
        <v>25976.061809099996</v>
      </c>
      <c r="AG517" s="42">
        <f t="shared" si="120"/>
        <v>20506.016699999996</v>
      </c>
      <c r="AH517" s="42">
        <f t="shared" si="121"/>
        <v>5470.0451090999995</v>
      </c>
      <c r="AI517" s="44">
        <f t="shared" si="122"/>
        <v>0.21058023149543478</v>
      </c>
      <c r="AJ517" s="42">
        <f t="shared" si="123"/>
        <v>3774.2995790999994</v>
      </c>
      <c r="AK517" s="42">
        <f t="shared" si="124"/>
        <v>4675.2522299999982</v>
      </c>
      <c r="AL517" s="9">
        <f t="shared" si="125"/>
        <v>0</v>
      </c>
      <c r="AM517" s="42"/>
    </row>
    <row r="518" spans="1:39" x14ac:dyDescent="0.25">
      <c r="A518" t="s">
        <v>531</v>
      </c>
      <c r="B518" s="20">
        <v>45794</v>
      </c>
      <c r="C518" s="4">
        <v>45807</v>
      </c>
      <c r="D518" s="4" t="s">
        <v>1440</v>
      </c>
      <c r="E518" s="4">
        <v>45807</v>
      </c>
      <c r="F518" s="11">
        <f t="shared" si="112"/>
        <v>13</v>
      </c>
      <c r="G518" s="11" t="str">
        <f t="shared" si="115"/>
        <v>Does not Meet Target</v>
      </c>
      <c r="H518" t="s">
        <v>646</v>
      </c>
      <c r="I518" t="s">
        <v>651</v>
      </c>
      <c r="J518" t="s">
        <v>665</v>
      </c>
      <c r="K518" t="s">
        <v>704</v>
      </c>
      <c r="L518" t="s">
        <v>710</v>
      </c>
      <c r="M518" t="s">
        <v>721</v>
      </c>
      <c r="N518" t="s">
        <v>733</v>
      </c>
      <c r="O518" t="str" cm="1">
        <f t="array" ref="O518">_xlfn.IFS(S518&lt;=_xlfn.PERCENTILE.INC(IF(N518:N1148=N518, S518:S1148), 0.33), "Low", S518&lt;=_xlfn.PERCENTILE.INC(IF(N518:N1148=N518, S518:S1148), 0.66), "Medium", S518 &gt; _xlfn.PERCENTILE.INC(IF(N518:N1148=N518, S518:S1148), 0.66), "High")</f>
        <v>Low</v>
      </c>
      <c r="P518" t="s">
        <v>1250</v>
      </c>
      <c r="Q518" s="6">
        <v>66.400000000000006</v>
      </c>
      <c r="R518" s="6">
        <v>141.43</v>
      </c>
      <c r="S518" s="6">
        <v>141.43</v>
      </c>
      <c r="T518" s="9">
        <v>0.107</v>
      </c>
      <c r="U518" s="9">
        <f>IF(T518&gt;0.3, $AO$4, T518)</f>
        <v>0.107</v>
      </c>
      <c r="V518" s="7" t="str">
        <f t="shared" si="116"/>
        <v>Less than 20%</v>
      </c>
      <c r="W518" s="11">
        <v>8</v>
      </c>
      <c r="X518" s="6">
        <f t="shared" si="113"/>
        <v>1010.3759200000001</v>
      </c>
      <c r="Y518" s="6">
        <f t="shared" si="114"/>
        <v>531.20000000000005</v>
      </c>
      <c r="Z518" s="6">
        <f t="shared" si="117"/>
        <v>479.17592000000002</v>
      </c>
      <c r="AA518" s="9">
        <f t="shared" si="118"/>
        <v>0.47425508715607551</v>
      </c>
      <c r="AB518" s="9">
        <f>IF(U518&gt;'What-If Analysis'!$F$16, 'What-If Analysis'!$F$16,T518)</f>
        <v>0.107</v>
      </c>
      <c r="AC518" s="42">
        <f>S518*(1-AB518)</f>
        <v>126.29699000000001</v>
      </c>
      <c r="AD518" s="42">
        <f>Q518*(1+'What-If Analysis'!F533)</f>
        <v>66.400000000000006</v>
      </c>
      <c r="AE518" s="41">
        <f>W518*(1+'What-If Analysis'!$F$18)</f>
        <v>9.36</v>
      </c>
      <c r="AF518" s="42">
        <f t="shared" si="119"/>
        <v>1182.1398263999999</v>
      </c>
      <c r="AG518" s="42">
        <f t="shared" si="120"/>
        <v>621.50400000000002</v>
      </c>
      <c r="AH518" s="42">
        <f t="shared" si="121"/>
        <v>560.63582639999993</v>
      </c>
      <c r="AI518" s="44">
        <f t="shared" si="122"/>
        <v>0.47425508715607551</v>
      </c>
      <c r="AJ518" s="42">
        <f t="shared" si="123"/>
        <v>171.76390639999988</v>
      </c>
      <c r="AK518" s="42">
        <f t="shared" si="124"/>
        <v>479.17592000000002</v>
      </c>
      <c r="AL518" s="9">
        <f t="shared" si="125"/>
        <v>0</v>
      </c>
      <c r="AM518" s="42"/>
    </row>
    <row r="519" spans="1:39" x14ac:dyDescent="0.25">
      <c r="A519" t="s">
        <v>532</v>
      </c>
      <c r="B519" s="20">
        <v>45413</v>
      </c>
      <c r="C519" s="4">
        <v>45438</v>
      </c>
      <c r="D519" s="4" t="s">
        <v>1439</v>
      </c>
      <c r="E519" s="4">
        <v>45438</v>
      </c>
      <c r="F519" s="11">
        <f t="shared" si="112"/>
        <v>25</v>
      </c>
      <c r="G519" s="11" t="str">
        <f t="shared" si="115"/>
        <v>Does not Meet Target</v>
      </c>
      <c r="H519" t="s">
        <v>649</v>
      </c>
      <c r="I519" t="s">
        <v>656</v>
      </c>
      <c r="J519" t="s">
        <v>671</v>
      </c>
      <c r="K519" t="s">
        <v>703</v>
      </c>
      <c r="L519" t="s">
        <v>707</v>
      </c>
      <c r="M519" t="s">
        <v>717</v>
      </c>
      <c r="N519" t="s">
        <v>729</v>
      </c>
      <c r="O519" t="str" cm="1">
        <f t="array" ref="O519">_xlfn.IFS(S519&lt;=_xlfn.PERCENTILE.INC(IF(N519:N1149=N519, S519:S1149), 0.33), "Low", S519&lt;=_xlfn.PERCENTILE.INC(IF(N519:N1149=N519, S519:S1149), 0.66), "Medium", S519 &gt; _xlfn.PERCENTILE.INC(IF(N519:N1149=N519, S519:S1149), 0.66), "High")</f>
        <v>Medium</v>
      </c>
      <c r="P519" t="s">
        <v>1251</v>
      </c>
      <c r="Q519" s="6">
        <v>930.71</v>
      </c>
      <c r="R519" s="6">
        <v>1625.42</v>
      </c>
      <c r="S519" s="6">
        <v>1625.42</v>
      </c>
      <c r="T519" s="9">
        <v>0.13800000000000001</v>
      </c>
      <c r="U519" s="9">
        <f>IF(T519&gt;0.3, $AO$4, T519)</f>
        <v>0.13800000000000001</v>
      </c>
      <c r="V519" s="7" t="str">
        <f t="shared" si="116"/>
        <v>Less than 20%</v>
      </c>
      <c r="W519" s="11">
        <v>7</v>
      </c>
      <c r="X519" s="6">
        <f t="shared" si="113"/>
        <v>9807.7842799999999</v>
      </c>
      <c r="Y519" s="6">
        <f t="shared" si="114"/>
        <v>6514.97</v>
      </c>
      <c r="Z519" s="6">
        <f t="shared" si="117"/>
        <v>3292.8142799999996</v>
      </c>
      <c r="AA519" s="9">
        <f t="shared" si="118"/>
        <v>0.33573477821231196</v>
      </c>
      <c r="AB519" s="9">
        <f>IF(U519&gt;'What-If Analysis'!$F$16, 'What-If Analysis'!$F$16,T519)</f>
        <v>0.13800000000000001</v>
      </c>
      <c r="AC519" s="42">
        <f>S519*(1-AB519)</f>
        <v>1401.11204</v>
      </c>
      <c r="AD519" s="42">
        <f>Q519*(1+'What-If Analysis'!F534)</f>
        <v>930.71</v>
      </c>
      <c r="AE519" s="41">
        <f>W519*(1+'What-If Analysis'!$F$18)</f>
        <v>8.19</v>
      </c>
      <c r="AF519" s="42">
        <f t="shared" si="119"/>
        <v>11475.107607599999</v>
      </c>
      <c r="AG519" s="42">
        <f t="shared" si="120"/>
        <v>7622.5149000000001</v>
      </c>
      <c r="AH519" s="42">
        <f t="shared" si="121"/>
        <v>3852.5927075999989</v>
      </c>
      <c r="AI519" s="44">
        <f t="shared" si="122"/>
        <v>0.3357347782123119</v>
      </c>
      <c r="AJ519" s="42">
        <f t="shared" si="123"/>
        <v>1667.3233275999992</v>
      </c>
      <c r="AK519" s="42">
        <f t="shared" si="124"/>
        <v>3292.8142799999996</v>
      </c>
      <c r="AL519" s="9">
        <f t="shared" si="125"/>
        <v>0</v>
      </c>
      <c r="AM519" s="42"/>
    </row>
    <row r="520" spans="1:39" x14ac:dyDescent="0.25">
      <c r="A520" t="s">
        <v>533</v>
      </c>
      <c r="B520" s="20">
        <v>45047</v>
      </c>
      <c r="C520" s="4">
        <v>45064</v>
      </c>
      <c r="D520" s="4" t="s">
        <v>1442</v>
      </c>
      <c r="E520" s="4">
        <v>45064</v>
      </c>
      <c r="F520" s="11">
        <f t="shared" si="112"/>
        <v>17</v>
      </c>
      <c r="G520" s="11" t="str">
        <f t="shared" si="115"/>
        <v>Does not Meet Target</v>
      </c>
      <c r="H520" t="s">
        <v>646</v>
      </c>
      <c r="I520" t="s">
        <v>651</v>
      </c>
      <c r="J520" t="s">
        <v>663</v>
      </c>
      <c r="K520" t="s">
        <v>701</v>
      </c>
      <c r="L520" t="s">
        <v>711</v>
      </c>
      <c r="M520" t="s">
        <v>721</v>
      </c>
      <c r="N520" t="s">
        <v>727</v>
      </c>
      <c r="O520" t="str" cm="1">
        <f t="array" ref="O520">_xlfn.IFS(S520&lt;=_xlfn.PERCENTILE.INC(IF(N520:N1150=N520, S520:S1150), 0.33), "Low", S520&lt;=_xlfn.PERCENTILE.INC(IF(N520:N1150=N520, S520:S1150), 0.66), "Medium", S520 &gt; _xlfn.PERCENTILE.INC(IF(N520:N1150=N520, S520:S1150), 0.66), "High")</f>
        <v>Low</v>
      </c>
      <c r="P520" t="s">
        <v>1252</v>
      </c>
      <c r="Q520" s="6">
        <v>327.97</v>
      </c>
      <c r="R520" s="6">
        <v>299.94</v>
      </c>
      <c r="S520" s="6">
        <v>299.94</v>
      </c>
      <c r="T520" s="9">
        <v>4.9000000000000002E-2</v>
      </c>
      <c r="U520" s="9">
        <f>IF(T520&gt;0.3, $AO$4, T520)</f>
        <v>4.9000000000000002E-2</v>
      </c>
      <c r="V520" s="7" t="str">
        <f t="shared" si="116"/>
        <v>Less than 20%</v>
      </c>
      <c r="W520" s="11">
        <v>3</v>
      </c>
      <c r="X520" s="6">
        <f t="shared" si="113"/>
        <v>855.72881999999993</v>
      </c>
      <c r="Y520" s="6">
        <f t="shared" si="114"/>
        <v>983.91000000000008</v>
      </c>
      <c r="Z520" s="6">
        <f t="shared" si="117"/>
        <v>-128.18118000000015</v>
      </c>
      <c r="AA520" s="9">
        <f t="shared" si="118"/>
        <v>-0.14979182306843442</v>
      </c>
      <c r="AB520" s="9">
        <f>IF(U520&gt;'What-If Analysis'!$F$16, 'What-If Analysis'!$F$16,T520)</f>
        <v>4.9000000000000002E-2</v>
      </c>
      <c r="AC520" s="42">
        <f>S520*(1-AB520)</f>
        <v>285.24293999999998</v>
      </c>
      <c r="AD520" s="42">
        <f>Q520*(1+'What-If Analysis'!F535)</f>
        <v>327.97</v>
      </c>
      <c r="AE520" s="41">
        <f>W520*(1+'What-If Analysis'!$F$18)</f>
        <v>3.51</v>
      </c>
      <c r="AF520" s="42">
        <f t="shared" si="119"/>
        <v>1001.2027193999999</v>
      </c>
      <c r="AG520" s="42">
        <f t="shared" si="120"/>
        <v>1151.1747</v>
      </c>
      <c r="AH520" s="42">
        <f t="shared" si="121"/>
        <v>-149.97198060000017</v>
      </c>
      <c r="AI520" s="44">
        <f t="shared" si="122"/>
        <v>-0.14979182306843442</v>
      </c>
      <c r="AJ520" s="42">
        <f t="shared" si="123"/>
        <v>145.47389939999994</v>
      </c>
      <c r="AK520" s="42">
        <f t="shared" si="124"/>
        <v>-128.18118000000015</v>
      </c>
      <c r="AL520" s="9">
        <f t="shared" si="125"/>
        <v>0</v>
      </c>
      <c r="AM520" s="42"/>
    </row>
    <row r="521" spans="1:39" x14ac:dyDescent="0.25">
      <c r="A521" t="s">
        <v>534</v>
      </c>
      <c r="B521" s="20">
        <v>45482</v>
      </c>
      <c r="C521" s="4">
        <v>45512</v>
      </c>
      <c r="D521" s="4" t="s">
        <v>1443</v>
      </c>
      <c r="E521" s="4">
        <v>45512</v>
      </c>
      <c r="F521" s="11">
        <f t="shared" si="112"/>
        <v>30</v>
      </c>
      <c r="G521" s="11" t="str">
        <f t="shared" si="115"/>
        <v>Does not Meet Target</v>
      </c>
      <c r="H521" t="s">
        <v>649</v>
      </c>
      <c r="I521" t="s">
        <v>657</v>
      </c>
      <c r="J521" t="s">
        <v>673</v>
      </c>
      <c r="K521" t="s">
        <v>701</v>
      </c>
      <c r="L521" t="s">
        <v>711</v>
      </c>
      <c r="M521" t="s">
        <v>713</v>
      </c>
      <c r="N521" t="s">
        <v>727</v>
      </c>
      <c r="O521" t="str" cm="1">
        <f t="array" ref="O521">_xlfn.IFS(S521&lt;=_xlfn.PERCENTILE.INC(IF(N521:N1151=N521, S521:S1151), 0.33), "Low", S521&lt;=_xlfn.PERCENTILE.INC(IF(N521:N1151=N521, S521:S1151), 0.66), "Medium", S521 &gt; _xlfn.PERCENTILE.INC(IF(N521:N1151=N521, S521:S1151), 0.66), "High")</f>
        <v>Medium</v>
      </c>
      <c r="P521" t="s">
        <v>1253</v>
      </c>
      <c r="Q521" s="6">
        <v>1062.3800000000001</v>
      </c>
      <c r="R521" s="6">
        <v>1503.96</v>
      </c>
      <c r="S521" s="6">
        <v>1503.96</v>
      </c>
      <c r="T521" s="9">
        <v>0.18</v>
      </c>
      <c r="U521" s="9">
        <f>IF(T521&gt;0.3, $AO$4, T521)</f>
        <v>0.18</v>
      </c>
      <c r="V521" s="7" t="str">
        <f t="shared" si="116"/>
        <v>Less than 20%</v>
      </c>
      <c r="W521" s="11">
        <v>6</v>
      </c>
      <c r="X521" s="6">
        <f t="shared" si="113"/>
        <v>7399.4832000000006</v>
      </c>
      <c r="Y521" s="6">
        <f t="shared" si="114"/>
        <v>6374.2800000000007</v>
      </c>
      <c r="Z521" s="6">
        <f t="shared" si="117"/>
        <v>1025.2031999999999</v>
      </c>
      <c r="AA521" s="9">
        <f t="shared" si="118"/>
        <v>0.13855064905073369</v>
      </c>
      <c r="AB521" s="9">
        <f>IF(U521&gt;'What-If Analysis'!$F$16, 'What-If Analysis'!$F$16,T521)</f>
        <v>0.17</v>
      </c>
      <c r="AC521" s="42">
        <f>S521*(1-AB521)</f>
        <v>1248.2867999999999</v>
      </c>
      <c r="AD521" s="42">
        <f>Q521*(1+'What-If Analysis'!F536)</f>
        <v>1062.3800000000001</v>
      </c>
      <c r="AE521" s="41">
        <f>W521*(1+'What-If Analysis'!$F$18)</f>
        <v>7.02</v>
      </c>
      <c r="AF521" s="42">
        <f t="shared" si="119"/>
        <v>8762.9733359999991</v>
      </c>
      <c r="AG521" s="42">
        <f t="shared" si="120"/>
        <v>7457.9076000000005</v>
      </c>
      <c r="AH521" s="42">
        <f t="shared" si="121"/>
        <v>1305.0657359999987</v>
      </c>
      <c r="AI521" s="44">
        <f t="shared" si="122"/>
        <v>0.14892955689349582</v>
      </c>
      <c r="AJ521" s="42">
        <f t="shared" si="123"/>
        <v>1363.4901359999985</v>
      </c>
      <c r="AK521" s="42">
        <f t="shared" si="124"/>
        <v>1025.2031999999999</v>
      </c>
      <c r="AL521" s="9">
        <f t="shared" si="125"/>
        <v>1.0378907842762131E-2</v>
      </c>
      <c r="AM521" s="42"/>
    </row>
    <row r="522" spans="1:39" x14ac:dyDescent="0.25">
      <c r="A522" t="s">
        <v>535</v>
      </c>
      <c r="B522" s="20">
        <v>45056</v>
      </c>
      <c r="C522" s="4">
        <v>45073</v>
      </c>
      <c r="D522" s="4" t="s">
        <v>1442</v>
      </c>
      <c r="E522" s="4">
        <v>45073</v>
      </c>
      <c r="F522" s="11">
        <f t="shared" si="112"/>
        <v>17</v>
      </c>
      <c r="G522" s="11" t="str">
        <f t="shared" si="115"/>
        <v>Does not Meet Target</v>
      </c>
      <c r="H522" t="s">
        <v>647</v>
      </c>
      <c r="I522" t="s">
        <v>654</v>
      </c>
      <c r="J522" t="s">
        <v>691</v>
      </c>
      <c r="K522" t="s">
        <v>704</v>
      </c>
      <c r="L522" t="s">
        <v>707</v>
      </c>
      <c r="M522" t="s">
        <v>724</v>
      </c>
      <c r="N522" t="s">
        <v>731</v>
      </c>
      <c r="O522" t="str" cm="1">
        <f t="array" ref="O522">_xlfn.IFS(S522&lt;=_xlfn.PERCENTILE.INC(IF(N522:N1152=N522, S522:S1152), 0.33), "Low", S522&lt;=_xlfn.PERCENTILE.INC(IF(N522:N1152=N522, S522:S1152), 0.66), "Medium", S522 &gt; _xlfn.PERCENTILE.INC(IF(N522:N1152=N522, S522:S1152), 0.66), "High")</f>
        <v>High</v>
      </c>
      <c r="P522" t="s">
        <v>1254</v>
      </c>
      <c r="Q522" s="6">
        <v>1286.1600000000001</v>
      </c>
      <c r="R522" s="6">
        <v>3101.11</v>
      </c>
      <c r="S522" s="6">
        <v>3101.11</v>
      </c>
      <c r="T522" s="9">
        <v>0.1</v>
      </c>
      <c r="U522" s="9">
        <f>IF(T522&gt;0.3, $AO$4, T522)</f>
        <v>0.1</v>
      </c>
      <c r="V522" s="7" t="str">
        <f t="shared" si="116"/>
        <v>Less than 20%</v>
      </c>
      <c r="W522" s="11">
        <v>23</v>
      </c>
      <c r="X522" s="6">
        <f t="shared" si="113"/>
        <v>64192.976999999999</v>
      </c>
      <c r="Y522" s="6">
        <f t="shared" si="114"/>
        <v>29581.68</v>
      </c>
      <c r="Z522" s="6">
        <f t="shared" si="117"/>
        <v>34611.296999999999</v>
      </c>
      <c r="AA522" s="9">
        <f t="shared" si="118"/>
        <v>0.53917575749758417</v>
      </c>
      <c r="AB522" s="9">
        <f>IF(U522&gt;'What-If Analysis'!$F$16, 'What-If Analysis'!$F$16,T522)</f>
        <v>0.1</v>
      </c>
      <c r="AC522" s="42">
        <f>S522*(1-AB522)</f>
        <v>2790.9990000000003</v>
      </c>
      <c r="AD522" s="42">
        <f>Q522*(1+'What-If Analysis'!F537)</f>
        <v>1286.1600000000001</v>
      </c>
      <c r="AE522" s="41">
        <f>W522*(1+'What-If Analysis'!$F$18)</f>
        <v>26.909999999999997</v>
      </c>
      <c r="AF522" s="42">
        <f t="shared" si="119"/>
        <v>75105.783089999997</v>
      </c>
      <c r="AG522" s="42">
        <f t="shared" si="120"/>
        <v>34610.565599999994</v>
      </c>
      <c r="AH522" s="42">
        <f t="shared" si="121"/>
        <v>40495.217490000003</v>
      </c>
      <c r="AI522" s="44">
        <f t="shared" si="122"/>
        <v>0.53917575749758428</v>
      </c>
      <c r="AJ522" s="42">
        <f t="shared" si="123"/>
        <v>10912.806089999998</v>
      </c>
      <c r="AK522" s="42">
        <f t="shared" si="124"/>
        <v>34611.296999999999</v>
      </c>
      <c r="AL522" s="9">
        <f t="shared" si="125"/>
        <v>0</v>
      </c>
      <c r="AM522" s="42"/>
    </row>
    <row r="523" spans="1:39" x14ac:dyDescent="0.25">
      <c r="A523" t="s">
        <v>536</v>
      </c>
      <c r="B523" s="20">
        <v>45482</v>
      </c>
      <c r="C523" s="4">
        <v>45485</v>
      </c>
      <c r="D523" s="4" t="s">
        <v>1443</v>
      </c>
      <c r="E523" s="4">
        <v>45485</v>
      </c>
      <c r="F523" s="11">
        <f t="shared" si="112"/>
        <v>3</v>
      </c>
      <c r="G523" s="11" t="str">
        <f t="shared" si="115"/>
        <v>Meets Target</v>
      </c>
      <c r="H523" t="s">
        <v>647</v>
      </c>
      <c r="I523" t="s">
        <v>659</v>
      </c>
      <c r="J523" t="s">
        <v>685</v>
      </c>
      <c r="K523" t="s">
        <v>705</v>
      </c>
      <c r="L523" t="s">
        <v>707</v>
      </c>
      <c r="M523" t="s">
        <v>726</v>
      </c>
      <c r="N523" t="s">
        <v>733</v>
      </c>
      <c r="O523" t="str" cm="1">
        <f t="array" ref="O523">_xlfn.IFS(S523&lt;=_xlfn.PERCENTILE.INC(IF(N523:N1153=N523, S523:S1153), 0.33), "Low", S523&lt;=_xlfn.PERCENTILE.INC(IF(N523:N1153=N523, S523:S1153), 0.66), "Medium", S523 &gt; _xlfn.PERCENTILE.INC(IF(N523:N1153=N523, S523:S1153), 0.66), "High")</f>
        <v>Medium</v>
      </c>
      <c r="P523" t="s">
        <v>1255</v>
      </c>
      <c r="Q523" s="6">
        <v>748.39</v>
      </c>
      <c r="R523" s="6">
        <v>979.42</v>
      </c>
      <c r="S523" s="6">
        <v>979.42</v>
      </c>
      <c r="T523" s="9">
        <v>0</v>
      </c>
      <c r="U523" s="9">
        <f>IF(T523&gt;0.3, $AO$4, T523)</f>
        <v>0</v>
      </c>
      <c r="V523" s="7" t="str">
        <f t="shared" si="116"/>
        <v>Less than 20%</v>
      </c>
      <c r="W523" s="11">
        <v>23</v>
      </c>
      <c r="X523" s="6">
        <f t="shared" si="113"/>
        <v>22526.66</v>
      </c>
      <c r="Y523" s="6">
        <f t="shared" si="114"/>
        <v>17212.97</v>
      </c>
      <c r="Z523" s="6">
        <f t="shared" si="117"/>
        <v>5313.6899999999987</v>
      </c>
      <c r="AA523" s="9">
        <f t="shared" si="118"/>
        <v>0.23588450307324738</v>
      </c>
      <c r="AB523" s="9">
        <f>IF(U523&gt;'What-If Analysis'!$F$16, 'What-If Analysis'!$F$16,T523)</f>
        <v>0</v>
      </c>
      <c r="AC523" s="42">
        <f>S523*(1-AB523)</f>
        <v>979.42</v>
      </c>
      <c r="AD523" s="42">
        <f>Q523*(1+'What-If Analysis'!F538)</f>
        <v>748.39</v>
      </c>
      <c r="AE523" s="41">
        <f>W523*(1+'What-If Analysis'!$F$18)</f>
        <v>26.909999999999997</v>
      </c>
      <c r="AF523" s="42">
        <f t="shared" si="119"/>
        <v>26356.192199999994</v>
      </c>
      <c r="AG523" s="42">
        <f t="shared" si="120"/>
        <v>20139.174899999998</v>
      </c>
      <c r="AH523" s="42">
        <f t="shared" si="121"/>
        <v>6217.0172999999959</v>
      </c>
      <c r="AI523" s="44">
        <f t="shared" si="122"/>
        <v>0.23588450307324732</v>
      </c>
      <c r="AJ523" s="42">
        <f t="shared" si="123"/>
        <v>3829.5321999999942</v>
      </c>
      <c r="AK523" s="42">
        <f t="shared" si="124"/>
        <v>5313.6899999999987</v>
      </c>
      <c r="AL523" s="9">
        <f t="shared" si="125"/>
        <v>0</v>
      </c>
      <c r="AM523" s="42"/>
    </row>
    <row r="524" spans="1:39" x14ac:dyDescent="0.25">
      <c r="A524" t="s">
        <v>537</v>
      </c>
      <c r="B524" s="20">
        <v>45406</v>
      </c>
      <c r="C524" s="4">
        <v>45422</v>
      </c>
      <c r="D524" s="4" t="s">
        <v>1439</v>
      </c>
      <c r="E524" s="4">
        <v>45422</v>
      </c>
      <c r="F524" s="11">
        <f t="shared" si="112"/>
        <v>16</v>
      </c>
      <c r="G524" s="11" t="str">
        <f t="shared" si="115"/>
        <v>Does not Meet Target</v>
      </c>
      <c r="H524" t="s">
        <v>646</v>
      </c>
      <c r="I524" t="s">
        <v>650</v>
      </c>
      <c r="J524" t="s">
        <v>662</v>
      </c>
      <c r="K524" t="s">
        <v>703</v>
      </c>
      <c r="L524" t="s">
        <v>708</v>
      </c>
      <c r="M524" t="s">
        <v>725</v>
      </c>
      <c r="N524" t="s">
        <v>732</v>
      </c>
      <c r="O524" t="str" cm="1">
        <f t="array" ref="O524">_xlfn.IFS(S524&lt;=_xlfn.PERCENTILE.INC(IF(N524:N1154=N524, S524:S1154), 0.33), "Low", S524&lt;=_xlfn.PERCENTILE.INC(IF(N524:N1154=N524, S524:S1154), 0.66), "Medium", S524 &gt; _xlfn.PERCENTILE.INC(IF(N524:N1154=N524, S524:S1154), 0.66), "High")</f>
        <v>Medium</v>
      </c>
      <c r="P524" t="s">
        <v>1256</v>
      </c>
      <c r="Q524" s="6">
        <v>513.30999999999995</v>
      </c>
      <c r="R524" s="6">
        <v>1186.26</v>
      </c>
      <c r="S524" s="6">
        <v>1186.26</v>
      </c>
      <c r="T524" s="9">
        <v>9.4E-2</v>
      </c>
      <c r="U524" s="9">
        <f>IF(T524&gt;0.3, $AO$4, T524)</f>
        <v>9.4E-2</v>
      </c>
      <c r="V524" s="7" t="str">
        <f t="shared" si="116"/>
        <v>Less than 20%</v>
      </c>
      <c r="W524" s="11">
        <v>15</v>
      </c>
      <c r="X524" s="6">
        <f t="shared" si="113"/>
        <v>16121.273400000002</v>
      </c>
      <c r="Y524" s="6">
        <f t="shared" si="114"/>
        <v>7699.65</v>
      </c>
      <c r="Z524" s="6">
        <f t="shared" si="117"/>
        <v>8421.6234000000022</v>
      </c>
      <c r="AA524" s="9">
        <f t="shared" si="118"/>
        <v>0.52239194702820446</v>
      </c>
      <c r="AB524" s="9">
        <f>IF(U524&gt;'What-If Analysis'!$F$16, 'What-If Analysis'!$F$16,T524)</f>
        <v>9.4E-2</v>
      </c>
      <c r="AC524" s="42">
        <f>S524*(1-AB524)</f>
        <v>1074.7515599999999</v>
      </c>
      <c r="AD524" s="42">
        <f>Q524*(1+'What-If Analysis'!F539)</f>
        <v>513.30999999999995</v>
      </c>
      <c r="AE524" s="41">
        <f>W524*(1+'What-If Analysis'!$F$18)</f>
        <v>17.549999999999997</v>
      </c>
      <c r="AF524" s="42">
        <f t="shared" si="119"/>
        <v>18861.889877999994</v>
      </c>
      <c r="AG524" s="42">
        <f t="shared" si="120"/>
        <v>9008.5904999999984</v>
      </c>
      <c r="AH524" s="42">
        <f t="shared" si="121"/>
        <v>9853.2993779999961</v>
      </c>
      <c r="AI524" s="44">
        <f t="shared" si="122"/>
        <v>0.52239194702820435</v>
      </c>
      <c r="AJ524" s="42">
        <f t="shared" si="123"/>
        <v>2740.6164779999926</v>
      </c>
      <c r="AK524" s="42">
        <f t="shared" si="124"/>
        <v>8421.6234000000022</v>
      </c>
      <c r="AL524" s="9">
        <f t="shared" si="125"/>
        <v>0</v>
      </c>
      <c r="AM524" s="42"/>
    </row>
    <row r="525" spans="1:39" x14ac:dyDescent="0.25">
      <c r="A525" t="s">
        <v>538</v>
      </c>
      <c r="B525" s="20">
        <v>45304</v>
      </c>
      <c r="C525" s="4">
        <v>45306</v>
      </c>
      <c r="D525" s="4" t="s">
        <v>1434</v>
      </c>
      <c r="E525" s="4">
        <v>45306</v>
      </c>
      <c r="F525" s="11">
        <f t="shared" si="112"/>
        <v>2</v>
      </c>
      <c r="G525" s="11" t="str">
        <f t="shared" si="115"/>
        <v>Meets Target</v>
      </c>
      <c r="H525" t="s">
        <v>648</v>
      </c>
      <c r="I525" t="s">
        <v>660</v>
      </c>
      <c r="J525" t="s">
        <v>686</v>
      </c>
      <c r="K525" t="s">
        <v>703</v>
      </c>
      <c r="L525" t="s">
        <v>711</v>
      </c>
      <c r="M525" t="s">
        <v>718</v>
      </c>
      <c r="N525" t="s">
        <v>727</v>
      </c>
      <c r="O525" t="str" cm="1">
        <f t="array" ref="O525">_xlfn.IFS(S525&lt;=_xlfn.PERCENTILE.INC(IF(N525:N1155=N525, S525:S1155), 0.33), "Low", S525&lt;=_xlfn.PERCENTILE.INC(IF(N525:N1155=N525, S525:S1155), 0.66), "Medium", S525 &gt; _xlfn.PERCENTILE.INC(IF(N525:N1155=N525, S525:S1155), 0.66), "High")</f>
        <v>High</v>
      </c>
      <c r="P525" t="s">
        <v>1257</v>
      </c>
      <c r="Q525" s="6">
        <v>1061.3699999999999</v>
      </c>
      <c r="R525" s="6">
        <v>1938.33</v>
      </c>
      <c r="S525" s="6">
        <v>1938.33</v>
      </c>
      <c r="T525" s="9">
        <v>0.17</v>
      </c>
      <c r="U525" s="9">
        <f>IF(T525&gt;0.3, $AO$4, T525)</f>
        <v>0.17</v>
      </c>
      <c r="V525" s="7" t="str">
        <f t="shared" si="116"/>
        <v>Less than 20%</v>
      </c>
      <c r="W525" s="11">
        <v>4</v>
      </c>
      <c r="X525" s="6">
        <f t="shared" si="113"/>
        <v>6435.2555999999995</v>
      </c>
      <c r="Y525" s="6">
        <f t="shared" si="114"/>
        <v>4245.4799999999996</v>
      </c>
      <c r="Z525" s="6">
        <f t="shared" si="117"/>
        <v>2189.7755999999999</v>
      </c>
      <c r="AA525" s="9">
        <f t="shared" si="118"/>
        <v>0.34027795259600879</v>
      </c>
      <c r="AB525" s="9">
        <f>IF(U525&gt;'What-If Analysis'!$F$16, 'What-If Analysis'!$F$16,T525)</f>
        <v>0.17</v>
      </c>
      <c r="AC525" s="42">
        <f>S525*(1-AB525)</f>
        <v>1608.8138999999999</v>
      </c>
      <c r="AD525" s="42">
        <f>Q525*(1+'What-If Analysis'!F540)</f>
        <v>1061.3699999999999</v>
      </c>
      <c r="AE525" s="41">
        <f>W525*(1+'What-If Analysis'!$F$18)</f>
        <v>4.68</v>
      </c>
      <c r="AF525" s="42">
        <f t="shared" si="119"/>
        <v>7529.2490519999992</v>
      </c>
      <c r="AG525" s="42">
        <f t="shared" si="120"/>
        <v>4967.2115999999996</v>
      </c>
      <c r="AH525" s="42">
        <f t="shared" si="121"/>
        <v>2562.0374519999996</v>
      </c>
      <c r="AI525" s="44">
        <f t="shared" si="122"/>
        <v>0.34027795259600874</v>
      </c>
      <c r="AJ525" s="42">
        <f t="shared" si="123"/>
        <v>1093.9934519999997</v>
      </c>
      <c r="AK525" s="42">
        <f t="shared" si="124"/>
        <v>2189.7755999999999</v>
      </c>
      <c r="AL525" s="9">
        <f t="shared" si="125"/>
        <v>0</v>
      </c>
      <c r="AM525" s="42"/>
    </row>
    <row r="526" spans="1:39" x14ac:dyDescent="0.25">
      <c r="A526" t="s">
        <v>539</v>
      </c>
      <c r="B526" s="20">
        <v>45398</v>
      </c>
      <c r="C526" s="4">
        <v>45409</v>
      </c>
      <c r="D526" s="4" t="s">
        <v>1439</v>
      </c>
      <c r="E526" s="4">
        <v>45409</v>
      </c>
      <c r="F526" s="11">
        <f t="shared" si="112"/>
        <v>11</v>
      </c>
      <c r="G526" s="11" t="str">
        <f t="shared" si="115"/>
        <v>Does not Meet Target</v>
      </c>
      <c r="H526" t="s">
        <v>646</v>
      </c>
      <c r="I526" t="s">
        <v>650</v>
      </c>
      <c r="J526" t="s">
        <v>678</v>
      </c>
      <c r="K526" t="s">
        <v>706</v>
      </c>
      <c r="L526" t="s">
        <v>708</v>
      </c>
      <c r="M526" t="s">
        <v>726</v>
      </c>
      <c r="N526" t="s">
        <v>728</v>
      </c>
      <c r="O526" t="str" cm="1">
        <f t="array" ref="O526">_xlfn.IFS(S526&lt;=_xlfn.PERCENTILE.INC(IF(N526:N1156=N526, S526:S1156), 0.33), "Low", S526&lt;=_xlfn.PERCENTILE.INC(IF(N526:N1156=N526, S526:S1156), 0.66), "Medium", S526 &gt; _xlfn.PERCENTILE.INC(IF(N526:N1156=N526, S526:S1156), 0.66), "High")</f>
        <v>Low</v>
      </c>
      <c r="P526" t="s">
        <v>1258</v>
      </c>
      <c r="Q526" s="6">
        <v>401.3</v>
      </c>
      <c r="R526" s="6">
        <v>826.47</v>
      </c>
      <c r="S526" s="6">
        <v>826.47</v>
      </c>
      <c r="T526" s="9">
        <v>0.22500000000000001</v>
      </c>
      <c r="U526" s="9">
        <f>IF(T526&gt;0.3, $AO$4, T526)</f>
        <v>0.22500000000000001</v>
      </c>
      <c r="V526" s="7" t="str">
        <f t="shared" si="116"/>
        <v>Greater than 20%</v>
      </c>
      <c r="W526" s="11">
        <v>13</v>
      </c>
      <c r="X526" s="6">
        <f t="shared" si="113"/>
        <v>8326.6852500000005</v>
      </c>
      <c r="Y526" s="6">
        <f t="shared" si="114"/>
        <v>5216.9000000000005</v>
      </c>
      <c r="Z526" s="6">
        <f t="shared" si="117"/>
        <v>3109.7852499999999</v>
      </c>
      <c r="AA526" s="9">
        <f t="shared" si="118"/>
        <v>0.37347217489696755</v>
      </c>
      <c r="AB526" s="9">
        <f>IF(U526&gt;'What-If Analysis'!$F$16, 'What-If Analysis'!$F$16,T526)</f>
        <v>0.17</v>
      </c>
      <c r="AC526" s="42">
        <f>S526*(1-AB526)</f>
        <v>685.9701</v>
      </c>
      <c r="AD526" s="42">
        <f>Q526*(1+'What-If Analysis'!F541)</f>
        <v>401.3</v>
      </c>
      <c r="AE526" s="41">
        <f>W526*(1+'What-If Analysis'!$F$18)</f>
        <v>15.209999999999999</v>
      </c>
      <c r="AF526" s="42">
        <f t="shared" si="119"/>
        <v>10433.605221</v>
      </c>
      <c r="AG526" s="42">
        <f t="shared" si="120"/>
        <v>6103.7730000000001</v>
      </c>
      <c r="AH526" s="42">
        <f t="shared" si="121"/>
        <v>4329.8322209999997</v>
      </c>
      <c r="AI526" s="44">
        <f t="shared" si="122"/>
        <v>0.41498907897006004</v>
      </c>
      <c r="AJ526" s="42">
        <f t="shared" si="123"/>
        <v>2106.9199709999994</v>
      </c>
      <c r="AK526" s="42">
        <f t="shared" si="124"/>
        <v>3109.7852499999999</v>
      </c>
      <c r="AL526" s="9">
        <f t="shared" si="125"/>
        <v>4.1516904073092498E-2</v>
      </c>
      <c r="AM526" s="42"/>
    </row>
    <row r="527" spans="1:39" x14ac:dyDescent="0.25">
      <c r="A527" t="s">
        <v>540</v>
      </c>
      <c r="B527" s="20">
        <v>45695</v>
      </c>
      <c r="C527" s="4">
        <v>45704</v>
      </c>
      <c r="D527" s="4" t="s">
        <v>1437</v>
      </c>
      <c r="E527" s="4">
        <v>45704</v>
      </c>
      <c r="F527" s="11">
        <f t="shared" si="112"/>
        <v>9</v>
      </c>
      <c r="G527" s="11" t="str">
        <f t="shared" si="115"/>
        <v>Does not Meet Target</v>
      </c>
      <c r="H527" t="s">
        <v>646</v>
      </c>
      <c r="I527" t="s">
        <v>651</v>
      </c>
      <c r="J527" t="s">
        <v>665</v>
      </c>
      <c r="K527" t="s">
        <v>705</v>
      </c>
      <c r="L527" t="s">
        <v>710</v>
      </c>
      <c r="M527" t="s">
        <v>712</v>
      </c>
      <c r="N527" t="s">
        <v>728</v>
      </c>
      <c r="O527" t="str" cm="1">
        <f t="array" ref="O527">_xlfn.IFS(S527&lt;=_xlfn.PERCENTILE.INC(IF(N527:N1157=N527, S527:S1157), 0.33), "Low", S527&lt;=_xlfn.PERCENTILE.INC(IF(N527:N1157=N527, S527:S1157), 0.66), "Medium", S527 &gt; _xlfn.PERCENTILE.INC(IF(N527:N1157=N527, S527:S1157), 0.66), "High")</f>
        <v>Low</v>
      </c>
      <c r="P527" t="s">
        <v>1259</v>
      </c>
      <c r="Q527" s="6">
        <v>90.68</v>
      </c>
      <c r="R527" s="6">
        <v>118.17</v>
      </c>
      <c r="S527" s="6">
        <v>118.17</v>
      </c>
      <c r="T527" s="9">
        <v>0.13500000000000001</v>
      </c>
      <c r="U527" s="9">
        <f>IF(T527&gt;0.3, $AO$4, T527)</f>
        <v>0.13500000000000001</v>
      </c>
      <c r="V527" s="7" t="str">
        <f t="shared" si="116"/>
        <v>Less than 20%</v>
      </c>
      <c r="W527" s="11">
        <v>21</v>
      </c>
      <c r="X527" s="6">
        <f t="shared" si="113"/>
        <v>2146.5580500000001</v>
      </c>
      <c r="Y527" s="6">
        <f t="shared" si="114"/>
        <v>1904.2800000000002</v>
      </c>
      <c r="Z527" s="6">
        <f t="shared" si="117"/>
        <v>242.27804999999989</v>
      </c>
      <c r="AA527" s="9">
        <f t="shared" si="118"/>
        <v>0.11286815653552899</v>
      </c>
      <c r="AB527" s="9">
        <f>IF(U527&gt;'What-If Analysis'!$F$16, 'What-If Analysis'!$F$16,T527)</f>
        <v>0.13500000000000001</v>
      </c>
      <c r="AC527" s="42">
        <f>S527*(1-AB527)</f>
        <v>102.21705</v>
      </c>
      <c r="AD527" s="42">
        <f>Q527*(1+'What-If Analysis'!F542)</f>
        <v>90.68</v>
      </c>
      <c r="AE527" s="41">
        <f>W527*(1+'What-If Analysis'!$F$18)</f>
        <v>24.57</v>
      </c>
      <c r="AF527" s="42">
        <f t="shared" si="119"/>
        <v>2511.4729185000001</v>
      </c>
      <c r="AG527" s="42">
        <f t="shared" si="120"/>
        <v>2228.0076000000004</v>
      </c>
      <c r="AH527" s="42">
        <f t="shared" si="121"/>
        <v>283.46531849999974</v>
      </c>
      <c r="AI527" s="44">
        <f t="shared" si="122"/>
        <v>0.11286815653552894</v>
      </c>
      <c r="AJ527" s="42">
        <f t="shared" si="123"/>
        <v>364.91486850000001</v>
      </c>
      <c r="AK527" s="42">
        <f t="shared" si="124"/>
        <v>242.27804999999989</v>
      </c>
      <c r="AL527" s="9">
        <f t="shared" si="125"/>
        <v>0</v>
      </c>
      <c r="AM527" s="42"/>
    </row>
    <row r="528" spans="1:39" x14ac:dyDescent="0.25">
      <c r="A528" t="s">
        <v>541</v>
      </c>
      <c r="B528" s="20">
        <v>44938</v>
      </c>
      <c r="C528" s="4">
        <v>44952</v>
      </c>
      <c r="D528" s="4" t="s">
        <v>1436</v>
      </c>
      <c r="E528" s="4">
        <v>44952</v>
      </c>
      <c r="F528" s="11">
        <f t="shared" si="112"/>
        <v>14</v>
      </c>
      <c r="G528" s="11" t="str">
        <f t="shared" si="115"/>
        <v>Does not Meet Target</v>
      </c>
      <c r="H528" t="s">
        <v>647</v>
      </c>
      <c r="I528" t="s">
        <v>659</v>
      </c>
      <c r="J528" t="s">
        <v>676</v>
      </c>
      <c r="K528" t="s">
        <v>703</v>
      </c>
      <c r="L528" t="s">
        <v>707</v>
      </c>
      <c r="M528" t="s">
        <v>724</v>
      </c>
      <c r="N528" t="s">
        <v>728</v>
      </c>
      <c r="O528" t="str" cm="1">
        <f t="array" ref="O528">_xlfn.IFS(S528&lt;=_xlfn.PERCENTILE.INC(IF(N528:N1158=N528, S528:S1158), 0.33), "Low", S528&lt;=_xlfn.PERCENTILE.INC(IF(N528:N1158=N528, S528:S1158), 0.66), "Medium", S528 &gt; _xlfn.PERCENTILE.INC(IF(N528:N1158=N528, S528:S1158), 0.66), "High")</f>
        <v>Medium</v>
      </c>
      <c r="P528" t="s">
        <v>1260</v>
      </c>
      <c r="Q528" s="6">
        <v>1083.0899999999999</v>
      </c>
      <c r="R528" s="6">
        <v>1425.87</v>
      </c>
      <c r="S528" s="6">
        <v>1425.87</v>
      </c>
      <c r="T528" s="9">
        <v>0</v>
      </c>
      <c r="U528" s="9">
        <f>IF(T528&gt;0.3, $AO$4, T528)</f>
        <v>0</v>
      </c>
      <c r="V528" s="7" t="str">
        <f t="shared" si="116"/>
        <v>Less than 20%</v>
      </c>
      <c r="W528" s="11">
        <v>8</v>
      </c>
      <c r="X528" s="6">
        <f t="shared" si="113"/>
        <v>11406.96</v>
      </c>
      <c r="Y528" s="6">
        <f t="shared" si="114"/>
        <v>8664.7199999999993</v>
      </c>
      <c r="Z528" s="6">
        <f t="shared" si="117"/>
        <v>2742.24</v>
      </c>
      <c r="AA528" s="9">
        <f t="shared" si="118"/>
        <v>0.24040059752992909</v>
      </c>
      <c r="AB528" s="9">
        <f>IF(U528&gt;'What-If Analysis'!$F$16, 'What-If Analysis'!$F$16,T528)</f>
        <v>0</v>
      </c>
      <c r="AC528" s="42">
        <f>S528*(1-AB528)</f>
        <v>1425.87</v>
      </c>
      <c r="AD528" s="42">
        <f>Q528*(1+'What-If Analysis'!F543)</f>
        <v>1083.0899999999999</v>
      </c>
      <c r="AE528" s="41">
        <f>W528*(1+'What-If Analysis'!$F$18)</f>
        <v>9.36</v>
      </c>
      <c r="AF528" s="42">
        <f t="shared" si="119"/>
        <v>13346.143199999999</v>
      </c>
      <c r="AG528" s="42">
        <f t="shared" si="120"/>
        <v>10137.722399999999</v>
      </c>
      <c r="AH528" s="42">
        <f t="shared" si="121"/>
        <v>3208.4207999999999</v>
      </c>
      <c r="AI528" s="44">
        <f t="shared" si="122"/>
        <v>0.24040059752992912</v>
      </c>
      <c r="AJ528" s="42">
        <f t="shared" si="123"/>
        <v>1939.1831999999995</v>
      </c>
      <c r="AK528" s="42">
        <f t="shared" si="124"/>
        <v>2742.24</v>
      </c>
      <c r="AL528" s="9">
        <f t="shared" si="125"/>
        <v>0</v>
      </c>
      <c r="AM528" s="42"/>
    </row>
    <row r="529" spans="1:39" x14ac:dyDescent="0.25">
      <c r="A529" t="s">
        <v>542</v>
      </c>
      <c r="B529" s="20">
        <v>45448</v>
      </c>
      <c r="C529" s="4">
        <v>45466</v>
      </c>
      <c r="D529" s="4" t="s">
        <v>1439</v>
      </c>
      <c r="E529" s="4">
        <v>45466</v>
      </c>
      <c r="F529" s="11">
        <f t="shared" si="112"/>
        <v>18</v>
      </c>
      <c r="G529" s="11" t="str">
        <f t="shared" si="115"/>
        <v>Does not Meet Target</v>
      </c>
      <c r="H529" t="s">
        <v>646</v>
      </c>
      <c r="I529" t="s">
        <v>650</v>
      </c>
      <c r="J529" t="s">
        <v>664</v>
      </c>
      <c r="K529" t="s">
        <v>704</v>
      </c>
      <c r="L529" t="s">
        <v>710</v>
      </c>
      <c r="M529" t="s">
        <v>726</v>
      </c>
      <c r="N529" t="s">
        <v>731</v>
      </c>
      <c r="O529" t="str" cm="1">
        <f t="array" ref="O529">_xlfn.IFS(S529&lt;=_xlfn.PERCENTILE.INC(IF(N529:N1159=N529, S529:S1159), 0.33), "Low", S529&lt;=_xlfn.PERCENTILE.INC(IF(N529:N1159=N529, S529:S1159), 0.66), "Medium", S529 &gt; _xlfn.PERCENTILE.INC(IF(N529:N1159=N529, S529:S1159), 0.66), "High")</f>
        <v>Medium</v>
      </c>
      <c r="P529" t="s">
        <v>1261</v>
      </c>
      <c r="Q529" s="6">
        <v>1208.74</v>
      </c>
      <c r="R529" s="6">
        <v>1594.78</v>
      </c>
      <c r="S529" s="6">
        <v>1594.78</v>
      </c>
      <c r="T529" s="9">
        <v>5.8999999999999997E-2</v>
      </c>
      <c r="U529" s="9">
        <f>IF(T529&gt;0.3, $AO$4, T529)</f>
        <v>5.8999999999999997E-2</v>
      </c>
      <c r="V529" s="7" t="str">
        <f t="shared" si="116"/>
        <v>Less than 20%</v>
      </c>
      <c r="W529" s="11">
        <v>39</v>
      </c>
      <c r="X529" s="6">
        <f t="shared" si="113"/>
        <v>58526.83122</v>
      </c>
      <c r="Y529" s="6">
        <f t="shared" si="114"/>
        <v>47140.86</v>
      </c>
      <c r="Z529" s="6">
        <f t="shared" si="117"/>
        <v>11385.971219999999</v>
      </c>
      <c r="AA529" s="9">
        <f t="shared" si="118"/>
        <v>0.1945427589817838</v>
      </c>
      <c r="AB529" s="9">
        <f>IF(U529&gt;'What-If Analysis'!$F$16, 'What-If Analysis'!$F$16,T529)</f>
        <v>5.8999999999999997E-2</v>
      </c>
      <c r="AC529" s="42">
        <f>S529*(1-AB529)</f>
        <v>1500.6879800000002</v>
      </c>
      <c r="AD529" s="42">
        <f>Q529*(1+'What-If Analysis'!F544)</f>
        <v>1208.74</v>
      </c>
      <c r="AE529" s="41">
        <f>W529*(1+'What-If Analysis'!$F$18)</f>
        <v>45.629999999999995</v>
      </c>
      <c r="AF529" s="42">
        <f t="shared" si="119"/>
        <v>68476.392527400007</v>
      </c>
      <c r="AG529" s="42">
        <f t="shared" si="120"/>
        <v>55154.806199999992</v>
      </c>
      <c r="AH529" s="42">
        <f t="shared" si="121"/>
        <v>13321.586327400015</v>
      </c>
      <c r="AI529" s="44">
        <f t="shared" si="122"/>
        <v>0.194542758981784</v>
      </c>
      <c r="AJ529" s="42">
        <f t="shared" si="123"/>
        <v>9949.5613074000066</v>
      </c>
      <c r="AK529" s="42">
        <f t="shared" si="124"/>
        <v>11385.971219999999</v>
      </c>
      <c r="AL529" s="9">
        <f t="shared" si="125"/>
        <v>0</v>
      </c>
      <c r="AM529" s="42"/>
    </row>
    <row r="530" spans="1:39" x14ac:dyDescent="0.25">
      <c r="A530" t="s">
        <v>543</v>
      </c>
      <c r="B530" s="20">
        <v>45162</v>
      </c>
      <c r="C530" s="4">
        <v>45189</v>
      </c>
      <c r="D530" s="4" t="s">
        <v>1444</v>
      </c>
      <c r="E530" s="4">
        <v>45189</v>
      </c>
      <c r="F530" s="11">
        <f t="shared" si="112"/>
        <v>27</v>
      </c>
      <c r="G530" s="11" t="str">
        <f t="shared" si="115"/>
        <v>Does not Meet Target</v>
      </c>
      <c r="H530" t="s">
        <v>646</v>
      </c>
      <c r="I530" t="s">
        <v>661</v>
      </c>
      <c r="J530" t="s">
        <v>687</v>
      </c>
      <c r="K530" t="s">
        <v>705</v>
      </c>
      <c r="L530" t="s">
        <v>709</v>
      </c>
      <c r="M530" t="s">
        <v>724</v>
      </c>
      <c r="N530" t="s">
        <v>728</v>
      </c>
      <c r="O530" t="str" cm="1">
        <f t="array" ref="O530">_xlfn.IFS(S530&lt;=_xlfn.PERCENTILE.INC(IF(N530:N1160=N530, S530:S1160), 0.33), "Low", S530&lt;=_xlfn.PERCENTILE.INC(IF(N530:N1160=N530, S530:S1160), 0.66), "Medium", S530 &gt; _xlfn.PERCENTILE.INC(IF(N530:N1160=N530, S530:S1160), 0.66), "High")</f>
        <v>High</v>
      </c>
      <c r="P530" t="s">
        <v>1262</v>
      </c>
      <c r="Q530" s="6">
        <v>1399.64</v>
      </c>
      <c r="R530" s="6">
        <v>3342.11</v>
      </c>
      <c r="S530" s="6">
        <v>3342.11</v>
      </c>
      <c r="T530" s="9">
        <v>0</v>
      </c>
      <c r="U530" s="9">
        <f>IF(T530&gt;0.3, $AO$4, T530)</f>
        <v>0</v>
      </c>
      <c r="V530" s="7" t="str">
        <f t="shared" si="116"/>
        <v>Less than 20%</v>
      </c>
      <c r="W530" s="11">
        <v>10</v>
      </c>
      <c r="X530" s="6">
        <f t="shared" si="113"/>
        <v>33421.1</v>
      </c>
      <c r="Y530" s="6">
        <f t="shared" si="114"/>
        <v>13996.400000000001</v>
      </c>
      <c r="Z530" s="6">
        <f t="shared" si="117"/>
        <v>19424.699999999997</v>
      </c>
      <c r="AA530" s="9">
        <f t="shared" si="118"/>
        <v>0.58121067229983447</v>
      </c>
      <c r="AB530" s="9">
        <f>IF(U530&gt;'What-If Analysis'!$F$16, 'What-If Analysis'!$F$16,T530)</f>
        <v>0</v>
      </c>
      <c r="AC530" s="42">
        <f>S530*(1-AB530)</f>
        <v>3342.11</v>
      </c>
      <c r="AD530" s="42">
        <f>Q530*(1+'What-If Analysis'!F545)</f>
        <v>1399.64</v>
      </c>
      <c r="AE530" s="41">
        <f>W530*(1+'What-If Analysis'!$F$18)</f>
        <v>11.7</v>
      </c>
      <c r="AF530" s="42">
        <f t="shared" si="119"/>
        <v>39102.686999999998</v>
      </c>
      <c r="AG530" s="42">
        <f t="shared" si="120"/>
        <v>16375.788</v>
      </c>
      <c r="AH530" s="42">
        <f t="shared" si="121"/>
        <v>22726.898999999998</v>
      </c>
      <c r="AI530" s="44">
        <f t="shared" si="122"/>
        <v>0.58121067229983447</v>
      </c>
      <c r="AJ530" s="42">
        <f t="shared" si="123"/>
        <v>5681.5869999999995</v>
      </c>
      <c r="AK530" s="42">
        <f t="shared" si="124"/>
        <v>19424.699999999997</v>
      </c>
      <c r="AL530" s="9">
        <f t="shared" si="125"/>
        <v>0</v>
      </c>
      <c r="AM530" s="42"/>
    </row>
    <row r="531" spans="1:39" x14ac:dyDescent="0.25">
      <c r="A531" t="s">
        <v>544</v>
      </c>
      <c r="B531" s="20">
        <v>45316</v>
      </c>
      <c r="C531" s="4">
        <v>45330</v>
      </c>
      <c r="D531" s="4" t="s">
        <v>1434</v>
      </c>
      <c r="E531" s="4">
        <v>45330</v>
      </c>
      <c r="F531" s="11">
        <f t="shared" si="112"/>
        <v>14</v>
      </c>
      <c r="G531" s="11" t="str">
        <f t="shared" si="115"/>
        <v>Does not Meet Target</v>
      </c>
      <c r="H531" t="s">
        <v>647</v>
      </c>
      <c r="I531" t="s">
        <v>652</v>
      </c>
      <c r="J531" t="s">
        <v>666</v>
      </c>
      <c r="K531" t="s">
        <v>704</v>
      </c>
      <c r="L531" t="s">
        <v>709</v>
      </c>
      <c r="M531" t="s">
        <v>714</v>
      </c>
      <c r="N531" t="s">
        <v>729</v>
      </c>
      <c r="O531" t="str" cm="1">
        <f t="array" ref="O531">_xlfn.IFS(S531&lt;=_xlfn.PERCENTILE.INC(IF(N531:N1161=N531, S531:S1161), 0.33), "Low", S531&lt;=_xlfn.PERCENTILE.INC(IF(N531:N1161=N531, S531:S1161), 0.66), "Medium", S531 &gt; _xlfn.PERCENTILE.INC(IF(N531:N1161=N531, S531:S1161), 0.66), "High")</f>
        <v>Medium</v>
      </c>
      <c r="P531" t="s">
        <v>1263</v>
      </c>
      <c r="Q531" s="6">
        <v>937.16</v>
      </c>
      <c r="R531" s="6">
        <v>1069.77</v>
      </c>
      <c r="S531" s="6">
        <v>1069.77</v>
      </c>
      <c r="T531" s="9">
        <v>3.7999999999999999E-2</v>
      </c>
      <c r="U531" s="9">
        <f>IF(T531&gt;0.3, $AO$4, T531)</f>
        <v>3.7999999999999999E-2</v>
      </c>
      <c r="V531" s="7" t="str">
        <f t="shared" si="116"/>
        <v>Less than 20%</v>
      </c>
      <c r="W531" s="11">
        <v>9</v>
      </c>
      <c r="X531" s="6">
        <f t="shared" si="113"/>
        <v>9262.0686600000008</v>
      </c>
      <c r="Y531" s="6">
        <f t="shared" si="114"/>
        <v>8434.44</v>
      </c>
      <c r="Z531" s="6">
        <f t="shared" si="117"/>
        <v>827.62866000000031</v>
      </c>
      <c r="AA531" s="9">
        <f t="shared" si="118"/>
        <v>8.9356783066645962E-2</v>
      </c>
      <c r="AB531" s="9">
        <f>IF(U531&gt;'What-If Analysis'!$F$16, 'What-If Analysis'!$F$16,T531)</f>
        <v>3.7999999999999999E-2</v>
      </c>
      <c r="AC531" s="42">
        <f>S531*(1-AB531)</f>
        <v>1029.1187399999999</v>
      </c>
      <c r="AD531" s="42">
        <f>Q531*(1+'What-If Analysis'!F546)</f>
        <v>937.16</v>
      </c>
      <c r="AE531" s="41">
        <f>W531*(1+'What-If Analysis'!$F$18)</f>
        <v>10.53</v>
      </c>
      <c r="AF531" s="42">
        <f t="shared" si="119"/>
        <v>10836.620332199998</v>
      </c>
      <c r="AG531" s="42">
        <f t="shared" si="120"/>
        <v>9868.2947999999997</v>
      </c>
      <c r="AH531" s="42">
        <f t="shared" si="121"/>
        <v>968.32553219999863</v>
      </c>
      <c r="AI531" s="44">
        <f t="shared" si="122"/>
        <v>8.9356783066645823E-2</v>
      </c>
      <c r="AJ531" s="42">
        <f t="shared" si="123"/>
        <v>1574.5516721999975</v>
      </c>
      <c r="AK531" s="42">
        <f t="shared" si="124"/>
        <v>827.62866000000031</v>
      </c>
      <c r="AL531" s="9">
        <f t="shared" si="125"/>
        <v>-1.3877787807814457E-16</v>
      </c>
      <c r="AM531" s="42"/>
    </row>
    <row r="532" spans="1:39" x14ac:dyDescent="0.25">
      <c r="A532" t="s">
        <v>545</v>
      </c>
      <c r="B532" s="20">
        <v>45727</v>
      </c>
      <c r="C532" s="4">
        <v>45742</v>
      </c>
      <c r="D532" s="4" t="s">
        <v>1437</v>
      </c>
      <c r="E532" s="4">
        <v>45742</v>
      </c>
      <c r="F532" s="11">
        <f t="shared" si="112"/>
        <v>15</v>
      </c>
      <c r="G532" s="11" t="str">
        <f t="shared" si="115"/>
        <v>Does not Meet Target</v>
      </c>
      <c r="H532" t="s">
        <v>649</v>
      </c>
      <c r="I532" t="s">
        <v>656</v>
      </c>
      <c r="J532" t="s">
        <v>671</v>
      </c>
      <c r="K532" t="s">
        <v>705</v>
      </c>
      <c r="L532" t="s">
        <v>708</v>
      </c>
      <c r="M532" t="s">
        <v>714</v>
      </c>
      <c r="N532" t="s">
        <v>730</v>
      </c>
      <c r="O532" t="str" cm="1">
        <f t="array" ref="O532">_xlfn.IFS(S532&lt;=_xlfn.PERCENTILE.INC(IF(N532:N1162=N532, S532:S1162), 0.33), "Low", S532&lt;=_xlfn.PERCENTILE.INC(IF(N532:N1162=N532, S532:S1162), 0.66), "Medium", S532 &gt; _xlfn.PERCENTILE.INC(IF(N532:N1162=N532, S532:S1162), 0.66), "High")</f>
        <v>Low</v>
      </c>
      <c r="P532" t="s">
        <v>1264</v>
      </c>
      <c r="Q532" s="6">
        <v>116.97</v>
      </c>
      <c r="R532" s="6">
        <v>140.82</v>
      </c>
      <c r="S532" s="6">
        <v>140.82</v>
      </c>
      <c r="T532" s="9">
        <v>0.122</v>
      </c>
      <c r="U532" s="9">
        <f>IF(T532&gt;0.3, $AO$4, T532)</f>
        <v>0.122</v>
      </c>
      <c r="V532" s="7" t="str">
        <f t="shared" si="116"/>
        <v>Less than 20%</v>
      </c>
      <c r="W532" s="11">
        <v>5</v>
      </c>
      <c r="X532" s="6">
        <f t="shared" si="113"/>
        <v>618.19979999999987</v>
      </c>
      <c r="Y532" s="6">
        <f t="shared" si="114"/>
        <v>584.85</v>
      </c>
      <c r="Z532" s="6">
        <f t="shared" si="117"/>
        <v>33.349799999999846</v>
      </c>
      <c r="AA532" s="9">
        <f t="shared" si="118"/>
        <v>5.3946636669891926E-2</v>
      </c>
      <c r="AB532" s="9">
        <f>IF(U532&gt;'What-If Analysis'!$F$16, 'What-If Analysis'!$F$16,T532)</f>
        <v>0.122</v>
      </c>
      <c r="AC532" s="42">
        <f>S532*(1-AB532)</f>
        <v>123.63995999999999</v>
      </c>
      <c r="AD532" s="42">
        <f>Q532*(1+'What-If Analysis'!F547)</f>
        <v>116.97</v>
      </c>
      <c r="AE532" s="41">
        <f>W532*(1+'What-If Analysis'!$F$18)</f>
        <v>5.85</v>
      </c>
      <c r="AF532" s="42">
        <f t="shared" si="119"/>
        <v>723.29376599999989</v>
      </c>
      <c r="AG532" s="42">
        <f t="shared" si="120"/>
        <v>684.27449999999999</v>
      </c>
      <c r="AH532" s="42">
        <f t="shared" si="121"/>
        <v>39.019265999999902</v>
      </c>
      <c r="AI532" s="44">
        <f t="shared" si="122"/>
        <v>5.3946636669892037E-2</v>
      </c>
      <c r="AJ532" s="42">
        <f t="shared" si="123"/>
        <v>105.09396600000002</v>
      </c>
      <c r="AK532" s="42">
        <f t="shared" si="124"/>
        <v>33.349799999999846</v>
      </c>
      <c r="AL532" s="9">
        <f t="shared" si="125"/>
        <v>1.1102230246251565E-16</v>
      </c>
      <c r="AM532" s="42"/>
    </row>
    <row r="533" spans="1:39" x14ac:dyDescent="0.25">
      <c r="A533" t="s">
        <v>546</v>
      </c>
      <c r="B533" s="20">
        <v>45769</v>
      </c>
      <c r="C533" s="4">
        <v>45789</v>
      </c>
      <c r="D533" s="4" t="s">
        <v>1440</v>
      </c>
      <c r="E533" s="4">
        <v>45789</v>
      </c>
      <c r="F533" s="11">
        <f t="shared" si="112"/>
        <v>20</v>
      </c>
      <c r="G533" s="11" t="str">
        <f t="shared" si="115"/>
        <v>Does not Meet Target</v>
      </c>
      <c r="H533" t="s">
        <v>649</v>
      </c>
      <c r="I533" t="s">
        <v>657</v>
      </c>
      <c r="J533" t="s">
        <v>679</v>
      </c>
      <c r="K533" t="s">
        <v>706</v>
      </c>
      <c r="L533" t="s">
        <v>709</v>
      </c>
      <c r="M533" t="s">
        <v>723</v>
      </c>
      <c r="N533" t="s">
        <v>732</v>
      </c>
      <c r="O533" t="str" cm="1">
        <f t="array" ref="O533">_xlfn.IFS(S533&lt;=_xlfn.PERCENTILE.INC(IF(N533:N1163=N533, S533:S1163), 0.33), "Low", S533&lt;=_xlfn.PERCENTILE.INC(IF(N533:N1163=N533, S533:S1163), 0.66), "Medium", S533 &gt; _xlfn.PERCENTILE.INC(IF(N533:N1163=N533, S533:S1163), 0.66), "High")</f>
        <v>Low</v>
      </c>
      <c r="P533" t="s">
        <v>1265</v>
      </c>
      <c r="Q533" s="6">
        <v>59.51</v>
      </c>
      <c r="R533" s="6">
        <v>67.040000000000006</v>
      </c>
      <c r="S533" s="6">
        <v>67.040000000000006</v>
      </c>
      <c r="T533" s="9">
        <v>0.114</v>
      </c>
      <c r="U533" s="9">
        <f>IF(T533&gt;0.3, $AO$4, T533)</f>
        <v>0.114</v>
      </c>
      <c r="V533" s="7" t="str">
        <f t="shared" si="116"/>
        <v>Less than 20%</v>
      </c>
      <c r="W533" s="11">
        <v>9</v>
      </c>
      <c r="X533" s="6">
        <f t="shared" si="113"/>
        <v>534.57695999999999</v>
      </c>
      <c r="Y533" s="6">
        <f t="shared" si="114"/>
        <v>535.59</v>
      </c>
      <c r="Z533" s="6">
        <f t="shared" si="117"/>
        <v>-1.0130400000000463</v>
      </c>
      <c r="AA533" s="9">
        <f t="shared" si="118"/>
        <v>-1.8950311663264469E-3</v>
      </c>
      <c r="AB533" s="9">
        <f>IF(U533&gt;'What-If Analysis'!$F$16, 'What-If Analysis'!$F$16,T533)</f>
        <v>0.114</v>
      </c>
      <c r="AC533" s="42">
        <f>S533*(1-AB533)</f>
        <v>59.397440000000003</v>
      </c>
      <c r="AD533" s="42">
        <f>Q533*(1+'What-If Analysis'!F548)</f>
        <v>59.51</v>
      </c>
      <c r="AE533" s="41">
        <f>W533*(1+'What-If Analysis'!$F$18)</f>
        <v>10.53</v>
      </c>
      <c r="AF533" s="42">
        <f t="shared" si="119"/>
        <v>625.45504319999998</v>
      </c>
      <c r="AG533" s="42">
        <f t="shared" si="120"/>
        <v>626.64029999999991</v>
      </c>
      <c r="AH533" s="42">
        <f t="shared" si="121"/>
        <v>-1.1852567999999337</v>
      </c>
      <c r="AI533" s="44">
        <f t="shared" si="122"/>
        <v>-1.8950311663262543E-3</v>
      </c>
      <c r="AJ533" s="42">
        <f t="shared" si="123"/>
        <v>90.878083199999992</v>
      </c>
      <c r="AK533" s="42">
        <f t="shared" si="124"/>
        <v>-1.0130400000000463</v>
      </c>
      <c r="AL533" s="9">
        <f t="shared" si="125"/>
        <v>1.9255430583342559E-16</v>
      </c>
      <c r="AM533" s="42"/>
    </row>
    <row r="534" spans="1:39" x14ac:dyDescent="0.25">
      <c r="A534" t="s">
        <v>547</v>
      </c>
      <c r="B534" s="20">
        <v>45155</v>
      </c>
      <c r="C534" s="4">
        <v>45172</v>
      </c>
      <c r="D534" s="4" t="s">
        <v>1444</v>
      </c>
      <c r="E534" s="4">
        <v>45172</v>
      </c>
      <c r="F534" s="11">
        <f t="shared" si="112"/>
        <v>17</v>
      </c>
      <c r="G534" s="11" t="str">
        <f t="shared" si="115"/>
        <v>Does not Meet Target</v>
      </c>
      <c r="H534" t="s">
        <v>646</v>
      </c>
      <c r="I534" t="s">
        <v>661</v>
      </c>
      <c r="J534" t="s">
        <v>687</v>
      </c>
      <c r="K534" t="s">
        <v>706</v>
      </c>
      <c r="L534" t="s">
        <v>707</v>
      </c>
      <c r="M534" t="s">
        <v>720</v>
      </c>
      <c r="N534" t="s">
        <v>730</v>
      </c>
      <c r="O534" t="str" cm="1">
        <f t="array" ref="O534">_xlfn.IFS(S534&lt;=_xlfn.PERCENTILE.INC(IF(N534:N1164=N534, S534:S1164), 0.33), "Low", S534&lt;=_xlfn.PERCENTILE.INC(IF(N534:N1164=N534, S534:S1164), 0.66), "Medium", S534 &gt; _xlfn.PERCENTILE.INC(IF(N534:N1164=N534, S534:S1164), 0.66), "High")</f>
        <v>Medium</v>
      </c>
      <c r="P534" t="s">
        <v>1266</v>
      </c>
      <c r="Q534" s="6">
        <v>676.37</v>
      </c>
      <c r="R534" s="6">
        <v>1276.67</v>
      </c>
      <c r="S534" s="6">
        <v>1276.67</v>
      </c>
      <c r="T534" s="9">
        <v>6.6000000000000003E-2</v>
      </c>
      <c r="U534" s="9">
        <f>IF(T534&gt;0.3, $AO$4, T534)</f>
        <v>6.6000000000000003E-2</v>
      </c>
      <c r="V534" s="7" t="str">
        <f t="shared" si="116"/>
        <v>Less than 20%</v>
      </c>
      <c r="W534" s="11">
        <v>10</v>
      </c>
      <c r="X534" s="6">
        <f t="shared" si="113"/>
        <v>11924.0978</v>
      </c>
      <c r="Y534" s="6">
        <f t="shared" si="114"/>
        <v>6763.7</v>
      </c>
      <c r="Z534" s="6">
        <f t="shared" si="117"/>
        <v>5160.3977999999997</v>
      </c>
      <c r="AA534" s="9">
        <f t="shared" si="118"/>
        <v>0.4327705027712872</v>
      </c>
      <c r="AB534" s="9">
        <f>IF(U534&gt;'What-If Analysis'!$F$16, 'What-If Analysis'!$F$16,T534)</f>
        <v>6.6000000000000003E-2</v>
      </c>
      <c r="AC534" s="42">
        <f>S534*(1-AB534)</f>
        <v>1192.40978</v>
      </c>
      <c r="AD534" s="42">
        <f>Q534*(1+'What-If Analysis'!F549)</f>
        <v>676.37</v>
      </c>
      <c r="AE534" s="41">
        <f>W534*(1+'What-If Analysis'!$F$18)</f>
        <v>11.7</v>
      </c>
      <c r="AF534" s="42">
        <f t="shared" si="119"/>
        <v>13951.194425999998</v>
      </c>
      <c r="AG534" s="42">
        <f t="shared" si="120"/>
        <v>7913.5289999999995</v>
      </c>
      <c r="AH534" s="42">
        <f t="shared" si="121"/>
        <v>6037.6654259999987</v>
      </c>
      <c r="AI534" s="44">
        <f t="shared" si="122"/>
        <v>0.4327705027712872</v>
      </c>
      <c r="AJ534" s="42">
        <f t="shared" si="123"/>
        <v>2027.0966259999987</v>
      </c>
      <c r="AK534" s="42">
        <f t="shared" si="124"/>
        <v>5160.3977999999997</v>
      </c>
      <c r="AL534" s="9">
        <f t="shared" si="125"/>
        <v>0</v>
      </c>
      <c r="AM534" s="42"/>
    </row>
    <row r="535" spans="1:39" x14ac:dyDescent="0.25">
      <c r="A535" t="s">
        <v>548</v>
      </c>
      <c r="B535" s="20">
        <v>45832</v>
      </c>
      <c r="C535" s="4">
        <v>45852</v>
      </c>
      <c r="D535" s="4" t="s">
        <v>1440</v>
      </c>
      <c r="E535" s="4">
        <v>45852</v>
      </c>
      <c r="F535" s="11">
        <f t="shared" si="112"/>
        <v>20</v>
      </c>
      <c r="G535" s="11" t="str">
        <f t="shared" si="115"/>
        <v>Does not Meet Target</v>
      </c>
      <c r="H535" t="s">
        <v>646</v>
      </c>
      <c r="I535" t="s">
        <v>661</v>
      </c>
      <c r="J535" t="s">
        <v>682</v>
      </c>
      <c r="K535" t="s">
        <v>706</v>
      </c>
      <c r="L535" t="s">
        <v>709</v>
      </c>
      <c r="M535" t="s">
        <v>713</v>
      </c>
      <c r="N535" t="s">
        <v>731</v>
      </c>
      <c r="O535" t="str" cm="1">
        <f t="array" ref="O535">_xlfn.IFS(S535&lt;=_xlfn.PERCENTILE.INC(IF(N535:N1165=N535, S535:S1165), 0.33), "Low", S535&lt;=_xlfn.PERCENTILE.INC(IF(N535:N1165=N535, S535:S1165), 0.66), "Medium", S535 &gt; _xlfn.PERCENTILE.INC(IF(N535:N1165=N535, S535:S1165), 0.66), "High")</f>
        <v>High</v>
      </c>
      <c r="P535" t="s">
        <v>1267</v>
      </c>
      <c r="Q535" s="6">
        <v>1151.06</v>
      </c>
      <c r="R535" s="6">
        <v>2821.36</v>
      </c>
      <c r="S535" s="6">
        <v>2821.36</v>
      </c>
      <c r="T535" s="9">
        <v>0.248</v>
      </c>
      <c r="U535" s="9">
        <f>IF(T535&gt;0.3, $AO$4, T535)</f>
        <v>0.248</v>
      </c>
      <c r="V535" s="7" t="str">
        <f t="shared" si="116"/>
        <v>Greater than 20%</v>
      </c>
      <c r="W535" s="11">
        <v>20</v>
      </c>
      <c r="X535" s="6">
        <f t="shared" si="113"/>
        <v>42433.254400000005</v>
      </c>
      <c r="Y535" s="6">
        <f t="shared" si="114"/>
        <v>23021.199999999997</v>
      </c>
      <c r="Z535" s="6">
        <f t="shared" si="117"/>
        <v>19412.054400000008</v>
      </c>
      <c r="AA535" s="9">
        <f t="shared" si="118"/>
        <v>0.45747267501594235</v>
      </c>
      <c r="AB535" s="9">
        <f>IF(U535&gt;'What-If Analysis'!$F$16, 'What-If Analysis'!$F$16,T535)</f>
        <v>0.17</v>
      </c>
      <c r="AC535" s="42">
        <f>S535*(1-AB535)</f>
        <v>2341.7287999999999</v>
      </c>
      <c r="AD535" s="42">
        <f>Q535*(1+'What-If Analysis'!F550)</f>
        <v>1151.06</v>
      </c>
      <c r="AE535" s="41">
        <f>W535*(1+'What-If Analysis'!$F$18)</f>
        <v>23.4</v>
      </c>
      <c r="AF535" s="42">
        <f t="shared" si="119"/>
        <v>54796.453919999993</v>
      </c>
      <c r="AG535" s="42">
        <f t="shared" si="120"/>
        <v>26934.803999999996</v>
      </c>
      <c r="AH535" s="42">
        <f t="shared" si="121"/>
        <v>27861.649919999996</v>
      </c>
      <c r="AI535" s="44">
        <f t="shared" si="122"/>
        <v>0.50845717061685369</v>
      </c>
      <c r="AJ535" s="42">
        <f t="shared" si="123"/>
        <v>12363.199519999987</v>
      </c>
      <c r="AK535" s="42">
        <f t="shared" si="124"/>
        <v>19412.054400000008</v>
      </c>
      <c r="AL535" s="9">
        <f t="shared" si="125"/>
        <v>5.0984495600911339E-2</v>
      </c>
      <c r="AM535" s="42"/>
    </row>
    <row r="536" spans="1:39" x14ac:dyDescent="0.25">
      <c r="A536" t="s">
        <v>549</v>
      </c>
      <c r="B536" s="20">
        <v>45667</v>
      </c>
      <c r="C536" s="4">
        <v>45694</v>
      </c>
      <c r="D536" s="4" t="s">
        <v>1437</v>
      </c>
      <c r="E536" s="4">
        <v>45694</v>
      </c>
      <c r="F536" s="11">
        <f t="shared" si="112"/>
        <v>27</v>
      </c>
      <c r="G536" s="11" t="str">
        <f t="shared" si="115"/>
        <v>Does not Meet Target</v>
      </c>
      <c r="H536" t="s">
        <v>648</v>
      </c>
      <c r="I536" t="s">
        <v>655</v>
      </c>
      <c r="J536" t="s">
        <v>672</v>
      </c>
      <c r="K536" t="s">
        <v>703</v>
      </c>
      <c r="L536" t="s">
        <v>707</v>
      </c>
      <c r="M536" t="s">
        <v>717</v>
      </c>
      <c r="N536" t="s">
        <v>731</v>
      </c>
      <c r="O536" t="str" cm="1">
        <f t="array" ref="O536">_xlfn.IFS(S536&lt;=_xlfn.PERCENTILE.INC(IF(N536:N1166=N536, S536:S1166), 0.33), "Low", S536&lt;=_xlfn.PERCENTILE.INC(IF(N536:N1166=N536, S536:S1166), 0.66), "Medium", S536 &gt; _xlfn.PERCENTILE.INC(IF(N536:N1166=N536, S536:S1166), 0.66), "High")</f>
        <v>Medium</v>
      </c>
      <c r="P536" t="s">
        <v>1268</v>
      </c>
      <c r="Q536" s="6">
        <v>725.62</v>
      </c>
      <c r="R536" s="6">
        <v>1559.19</v>
      </c>
      <c r="S536" s="6">
        <v>1559.19</v>
      </c>
      <c r="T536" s="9">
        <v>0.19</v>
      </c>
      <c r="U536" s="9">
        <f>IF(T536&gt;0.3, $AO$4, T536)</f>
        <v>0.19</v>
      </c>
      <c r="V536" s="7" t="str">
        <f t="shared" si="116"/>
        <v>Less than 20%</v>
      </c>
      <c r="W536" s="11">
        <v>12</v>
      </c>
      <c r="X536" s="6">
        <f t="shared" si="113"/>
        <v>15155.326800000001</v>
      </c>
      <c r="Y536" s="6">
        <f t="shared" si="114"/>
        <v>8707.44</v>
      </c>
      <c r="Z536" s="6">
        <f t="shared" si="117"/>
        <v>6447.8868000000002</v>
      </c>
      <c r="AA536" s="9">
        <f t="shared" si="118"/>
        <v>0.42545349797405885</v>
      </c>
      <c r="AB536" s="9">
        <f>IF(U536&gt;'What-If Analysis'!$F$16, 'What-If Analysis'!$F$16,T536)</f>
        <v>0.17</v>
      </c>
      <c r="AC536" s="42">
        <f>S536*(1-AB536)</f>
        <v>1294.1277</v>
      </c>
      <c r="AD536" s="42">
        <f>Q536*(1+'What-If Analysis'!F551)</f>
        <v>725.62</v>
      </c>
      <c r="AE536" s="41">
        <f>W536*(1+'What-If Analysis'!$F$18)</f>
        <v>14.04</v>
      </c>
      <c r="AF536" s="42">
        <f t="shared" si="119"/>
        <v>18169.552907999998</v>
      </c>
      <c r="AG536" s="42">
        <f t="shared" si="120"/>
        <v>10187.7048</v>
      </c>
      <c r="AH536" s="42">
        <f t="shared" si="121"/>
        <v>7981.8481079999983</v>
      </c>
      <c r="AI536" s="44">
        <f t="shared" si="122"/>
        <v>0.43929799199878028</v>
      </c>
      <c r="AJ536" s="42">
        <f t="shared" si="123"/>
        <v>3014.2261079999971</v>
      </c>
      <c r="AK536" s="42">
        <f t="shared" si="124"/>
        <v>6447.8868000000002</v>
      </c>
      <c r="AL536" s="9">
        <f t="shared" si="125"/>
        <v>1.3844494024721432E-2</v>
      </c>
      <c r="AM536" s="42"/>
    </row>
    <row r="537" spans="1:39" x14ac:dyDescent="0.25">
      <c r="A537" t="s">
        <v>550</v>
      </c>
      <c r="B537" s="20">
        <v>45108</v>
      </c>
      <c r="C537" s="4">
        <v>45118</v>
      </c>
      <c r="D537" s="4" t="s">
        <v>1444</v>
      </c>
      <c r="E537" s="4">
        <v>45118</v>
      </c>
      <c r="F537" s="11">
        <f t="shared" si="112"/>
        <v>10</v>
      </c>
      <c r="G537" s="11" t="str">
        <f t="shared" si="115"/>
        <v>Does not Meet Target</v>
      </c>
      <c r="H537" t="s">
        <v>649</v>
      </c>
      <c r="I537" t="s">
        <v>657</v>
      </c>
      <c r="J537" t="s">
        <v>690</v>
      </c>
      <c r="K537" t="s">
        <v>701</v>
      </c>
      <c r="L537" t="s">
        <v>711</v>
      </c>
      <c r="M537" t="s">
        <v>721</v>
      </c>
      <c r="N537" t="s">
        <v>729</v>
      </c>
      <c r="O537" t="str" cm="1">
        <f t="array" ref="O537">_xlfn.IFS(S537&lt;=_xlfn.PERCENTILE.INC(IF(N537:N1167=N537, S537:S1167), 0.33), "Low", S537&lt;=_xlfn.PERCENTILE.INC(IF(N537:N1167=N537, S537:S1167), 0.66), "Medium", S537 &gt; _xlfn.PERCENTILE.INC(IF(N537:N1167=N537, S537:S1167), 0.66), "High")</f>
        <v>Low</v>
      </c>
      <c r="P537" t="s">
        <v>1269</v>
      </c>
      <c r="Q537" s="6">
        <v>479.5</v>
      </c>
      <c r="R537" s="6">
        <v>656.66</v>
      </c>
      <c r="S537" s="6">
        <v>656.66</v>
      </c>
      <c r="T537" s="9">
        <v>0.14899999999999999</v>
      </c>
      <c r="U537" s="9">
        <f>IF(T537&gt;0.3, $AO$4, T537)</f>
        <v>0.14899999999999999</v>
      </c>
      <c r="V537" s="7" t="str">
        <f t="shared" si="116"/>
        <v>Less than 20%</v>
      </c>
      <c r="W537" s="11">
        <v>14</v>
      </c>
      <c r="X537" s="6">
        <f t="shared" si="113"/>
        <v>7823.4472399999995</v>
      </c>
      <c r="Y537" s="6">
        <f t="shared" si="114"/>
        <v>6713</v>
      </c>
      <c r="Z537" s="6">
        <f t="shared" si="117"/>
        <v>1110.4472399999995</v>
      </c>
      <c r="AA537" s="9">
        <f t="shared" si="118"/>
        <v>0.14193835606412289</v>
      </c>
      <c r="AB537" s="9">
        <f>IF(U537&gt;'What-If Analysis'!$F$16, 'What-If Analysis'!$F$16,T537)</f>
        <v>0.14899999999999999</v>
      </c>
      <c r="AC537" s="42">
        <f>S537*(1-AB537)</f>
        <v>558.81765999999993</v>
      </c>
      <c r="AD537" s="42">
        <f>Q537*(1+'What-If Analysis'!F552)</f>
        <v>479.5</v>
      </c>
      <c r="AE537" s="41">
        <f>W537*(1+'What-If Analysis'!$F$18)</f>
        <v>16.38</v>
      </c>
      <c r="AF537" s="42">
        <f t="shared" si="119"/>
        <v>9153.4332707999984</v>
      </c>
      <c r="AG537" s="42">
        <f t="shared" si="120"/>
        <v>7854.2099999999991</v>
      </c>
      <c r="AH537" s="42">
        <f t="shared" si="121"/>
        <v>1299.2232707999992</v>
      </c>
      <c r="AI537" s="44">
        <f t="shared" si="122"/>
        <v>0.14193835606412289</v>
      </c>
      <c r="AJ537" s="42">
        <f t="shared" si="123"/>
        <v>1329.9860307999988</v>
      </c>
      <c r="AK537" s="42">
        <f t="shared" si="124"/>
        <v>1110.4472399999995</v>
      </c>
      <c r="AL537" s="9">
        <f t="shared" si="125"/>
        <v>0</v>
      </c>
      <c r="AM537" s="42"/>
    </row>
    <row r="538" spans="1:39" x14ac:dyDescent="0.25">
      <c r="A538" t="s">
        <v>551</v>
      </c>
      <c r="B538" s="20">
        <v>45520</v>
      </c>
      <c r="C538" s="4">
        <v>45530</v>
      </c>
      <c r="D538" s="4" t="s">
        <v>1443</v>
      </c>
      <c r="E538" s="4">
        <v>45530</v>
      </c>
      <c r="F538" s="11">
        <f t="shared" si="112"/>
        <v>10</v>
      </c>
      <c r="G538" s="11" t="str">
        <f t="shared" si="115"/>
        <v>Does not Meet Target</v>
      </c>
      <c r="H538" t="s">
        <v>648</v>
      </c>
      <c r="I538" t="s">
        <v>660</v>
      </c>
      <c r="J538" t="s">
        <v>677</v>
      </c>
      <c r="K538" t="s">
        <v>701</v>
      </c>
      <c r="L538" t="s">
        <v>710</v>
      </c>
      <c r="M538" t="s">
        <v>716</v>
      </c>
      <c r="N538" t="s">
        <v>731</v>
      </c>
      <c r="O538" t="str" cm="1">
        <f t="array" ref="O538">_xlfn.IFS(S538&lt;=_xlfn.PERCENTILE.INC(IF(N538:N1168=N538, S538:S1168), 0.33), "Low", S538&lt;=_xlfn.PERCENTILE.INC(IF(N538:N1168=N538, S538:S1168), 0.66), "Medium", S538 &gt; _xlfn.PERCENTILE.INC(IF(N538:N1168=N538, S538:S1168), 0.66), "High")</f>
        <v>High</v>
      </c>
      <c r="P538" t="s">
        <v>1121</v>
      </c>
      <c r="Q538" s="6">
        <v>1291.7</v>
      </c>
      <c r="R538" s="6">
        <v>2657.84</v>
      </c>
      <c r="S538" s="6">
        <v>2657.84</v>
      </c>
      <c r="T538" s="9">
        <v>8.6999999999999994E-2</v>
      </c>
      <c r="U538" s="9">
        <f>IF(T538&gt;0.3, $AO$4, T538)</f>
        <v>8.6999999999999994E-2</v>
      </c>
      <c r="V538" s="7" t="str">
        <f t="shared" si="116"/>
        <v>Less than 20%</v>
      </c>
      <c r="W538" s="11">
        <v>21</v>
      </c>
      <c r="X538" s="6">
        <f t="shared" si="113"/>
        <v>50958.766320000002</v>
      </c>
      <c r="Y538" s="6">
        <f t="shared" si="114"/>
        <v>27125.7</v>
      </c>
      <c r="Z538" s="6">
        <f t="shared" si="117"/>
        <v>23833.066320000002</v>
      </c>
      <c r="AA538" s="9">
        <f t="shared" si="118"/>
        <v>0.46769315745083367</v>
      </c>
      <c r="AB538" s="9">
        <f>IF(U538&gt;'What-If Analysis'!$F$16, 'What-If Analysis'!$F$16,T538)</f>
        <v>8.6999999999999994E-2</v>
      </c>
      <c r="AC538" s="42">
        <f>S538*(1-AB538)</f>
        <v>2426.6079200000004</v>
      </c>
      <c r="AD538" s="42">
        <f>Q538*(1+'What-If Analysis'!F553)</f>
        <v>1291.7</v>
      </c>
      <c r="AE538" s="41">
        <f>W538*(1+'What-If Analysis'!$F$18)</f>
        <v>24.57</v>
      </c>
      <c r="AF538" s="42">
        <f t="shared" si="119"/>
        <v>59621.756594400009</v>
      </c>
      <c r="AG538" s="42">
        <f t="shared" si="120"/>
        <v>31737.069000000003</v>
      </c>
      <c r="AH538" s="42">
        <f t="shared" si="121"/>
        <v>27884.687594400006</v>
      </c>
      <c r="AI538" s="44">
        <f t="shared" si="122"/>
        <v>0.46769315745083367</v>
      </c>
      <c r="AJ538" s="42">
        <f t="shared" si="123"/>
        <v>8662.9902744000065</v>
      </c>
      <c r="AK538" s="42">
        <f t="shared" si="124"/>
        <v>23833.066320000002</v>
      </c>
      <c r="AL538" s="9">
        <f t="shared" si="125"/>
        <v>0</v>
      </c>
      <c r="AM538" s="42"/>
    </row>
    <row r="539" spans="1:39" x14ac:dyDescent="0.25">
      <c r="A539" t="s">
        <v>552</v>
      </c>
      <c r="B539" s="20">
        <v>45114</v>
      </c>
      <c r="C539" s="4">
        <v>45120</v>
      </c>
      <c r="D539" s="4" t="s">
        <v>1444</v>
      </c>
      <c r="E539" s="4">
        <v>45120</v>
      </c>
      <c r="F539" s="11">
        <f t="shared" si="112"/>
        <v>6</v>
      </c>
      <c r="G539" s="11" t="str">
        <f t="shared" si="115"/>
        <v>Meets Target</v>
      </c>
      <c r="H539" t="s">
        <v>646</v>
      </c>
      <c r="I539" t="s">
        <v>661</v>
      </c>
      <c r="J539" t="s">
        <v>695</v>
      </c>
      <c r="K539" t="s">
        <v>705</v>
      </c>
      <c r="L539" t="s">
        <v>709</v>
      </c>
      <c r="M539" t="s">
        <v>717</v>
      </c>
      <c r="N539" t="s">
        <v>733</v>
      </c>
      <c r="O539" t="str" cm="1">
        <f t="array" ref="O539">_xlfn.IFS(S539&lt;=_xlfn.PERCENTILE.INC(IF(N539:N1169=N539, S539:S1169), 0.33), "Low", S539&lt;=_xlfn.PERCENTILE.INC(IF(N539:N1169=N539, S539:S1169), 0.66), "Medium", S539 &gt; _xlfn.PERCENTILE.INC(IF(N539:N1169=N539, S539:S1169), 0.66), "High")</f>
        <v>Medium</v>
      </c>
      <c r="P539" t="s">
        <v>1270</v>
      </c>
      <c r="Q539" s="6">
        <v>612.59</v>
      </c>
      <c r="R539" s="6">
        <v>1424.74</v>
      </c>
      <c r="S539" s="6">
        <v>1424.74</v>
      </c>
      <c r="T539" s="9">
        <v>4.3999999999999997E-2</v>
      </c>
      <c r="U539" s="9">
        <f>IF(T539&gt;0.3, $AO$4, T539)</f>
        <v>4.3999999999999997E-2</v>
      </c>
      <c r="V539" s="7" t="str">
        <f t="shared" si="116"/>
        <v>Less than 20%</v>
      </c>
      <c r="W539" s="11">
        <v>15</v>
      </c>
      <c r="X539" s="6">
        <f t="shared" si="113"/>
        <v>20430.771599999996</v>
      </c>
      <c r="Y539" s="6">
        <f t="shared" si="114"/>
        <v>9188.85</v>
      </c>
      <c r="Z539" s="6">
        <f t="shared" si="117"/>
        <v>11241.921599999996</v>
      </c>
      <c r="AA539" s="9">
        <f t="shared" si="118"/>
        <v>0.55024459281802152</v>
      </c>
      <c r="AB539" s="9">
        <f>IF(U539&gt;'What-If Analysis'!$F$16, 'What-If Analysis'!$F$16,T539)</f>
        <v>4.3999999999999997E-2</v>
      </c>
      <c r="AC539" s="42">
        <f>S539*(1-AB539)</f>
        <v>1362.05144</v>
      </c>
      <c r="AD539" s="42">
        <f>Q539*(1+'What-If Analysis'!F554)</f>
        <v>612.59</v>
      </c>
      <c r="AE539" s="41">
        <f>W539*(1+'What-If Analysis'!$F$18)</f>
        <v>17.549999999999997</v>
      </c>
      <c r="AF539" s="42">
        <f t="shared" si="119"/>
        <v>23904.002771999996</v>
      </c>
      <c r="AG539" s="42">
        <f t="shared" si="120"/>
        <v>10750.954499999998</v>
      </c>
      <c r="AH539" s="42">
        <f t="shared" si="121"/>
        <v>13153.048271999998</v>
      </c>
      <c r="AI539" s="44">
        <f t="shared" si="122"/>
        <v>0.55024459281802163</v>
      </c>
      <c r="AJ539" s="42">
        <f t="shared" si="123"/>
        <v>3473.2311719999998</v>
      </c>
      <c r="AK539" s="42">
        <f t="shared" si="124"/>
        <v>11241.921599999996</v>
      </c>
      <c r="AL539" s="9">
        <f t="shared" si="125"/>
        <v>0</v>
      </c>
      <c r="AM539" s="42"/>
    </row>
    <row r="540" spans="1:39" x14ac:dyDescent="0.25">
      <c r="A540" t="s">
        <v>553</v>
      </c>
      <c r="B540" s="20">
        <v>45288</v>
      </c>
      <c r="C540" s="4">
        <v>45292</v>
      </c>
      <c r="D540" s="4" t="s">
        <v>1438</v>
      </c>
      <c r="E540" s="4">
        <v>45292</v>
      </c>
      <c r="F540" s="11">
        <f t="shared" si="112"/>
        <v>4</v>
      </c>
      <c r="G540" s="11" t="str">
        <f t="shared" si="115"/>
        <v>Meets Target</v>
      </c>
      <c r="H540" t="s">
        <v>646</v>
      </c>
      <c r="I540" t="s">
        <v>661</v>
      </c>
      <c r="J540" t="s">
        <v>695</v>
      </c>
      <c r="K540" t="s">
        <v>702</v>
      </c>
      <c r="L540" t="s">
        <v>710</v>
      </c>
      <c r="M540" t="s">
        <v>720</v>
      </c>
      <c r="N540" t="s">
        <v>728</v>
      </c>
      <c r="O540" t="str" cm="1">
        <f t="array" ref="O540">_xlfn.IFS(S540&lt;=_xlfn.PERCENTILE.INC(IF(N540:N1170=N540, S540:S1170), 0.33), "Low", S540&lt;=_xlfn.PERCENTILE.INC(IF(N540:N1170=N540, S540:S1170), 0.66), "Medium", S540 &gt; _xlfn.PERCENTILE.INC(IF(N540:N1170=N540, S540:S1170), 0.66), "High")</f>
        <v>High</v>
      </c>
      <c r="P540" t="s">
        <v>1271</v>
      </c>
      <c r="Q540" s="6">
        <v>1141.8</v>
      </c>
      <c r="R540" s="6">
        <v>2318.7399999999998</v>
      </c>
      <c r="S540" s="6">
        <v>2318.7399999999998</v>
      </c>
      <c r="T540" s="9">
        <v>0.107</v>
      </c>
      <c r="U540" s="9">
        <f>IF(T540&gt;0.3, $AO$4, T540)</f>
        <v>0.107</v>
      </c>
      <c r="V540" s="7" t="str">
        <f t="shared" si="116"/>
        <v>Less than 20%</v>
      </c>
      <c r="W540" s="11">
        <v>32</v>
      </c>
      <c r="X540" s="6">
        <f t="shared" si="113"/>
        <v>66260.314239999992</v>
      </c>
      <c r="Y540" s="6">
        <f t="shared" si="114"/>
        <v>36537.599999999999</v>
      </c>
      <c r="Z540" s="6">
        <f t="shared" si="117"/>
        <v>29722.714239999994</v>
      </c>
      <c r="AA540" s="9">
        <f t="shared" si="118"/>
        <v>0.44857490612468304</v>
      </c>
      <c r="AB540" s="9">
        <f>IF(U540&gt;'What-If Analysis'!$F$16, 'What-If Analysis'!$F$16,T540)</f>
        <v>0.107</v>
      </c>
      <c r="AC540" s="42">
        <f>S540*(1-AB540)</f>
        <v>2070.6348199999998</v>
      </c>
      <c r="AD540" s="42">
        <f>Q540*(1+'What-If Analysis'!F555)</f>
        <v>1141.8</v>
      </c>
      <c r="AE540" s="41">
        <f>W540*(1+'What-If Analysis'!$F$18)</f>
        <v>37.44</v>
      </c>
      <c r="AF540" s="42">
        <f t="shared" si="119"/>
        <v>77524.567660799992</v>
      </c>
      <c r="AG540" s="42">
        <f t="shared" si="120"/>
        <v>42748.991999999998</v>
      </c>
      <c r="AH540" s="42">
        <f t="shared" si="121"/>
        <v>34775.575660799994</v>
      </c>
      <c r="AI540" s="44">
        <f t="shared" si="122"/>
        <v>0.44857490612468304</v>
      </c>
      <c r="AJ540" s="42">
        <f t="shared" si="123"/>
        <v>11264.2534208</v>
      </c>
      <c r="AK540" s="42">
        <f t="shared" si="124"/>
        <v>29722.714239999994</v>
      </c>
      <c r="AL540" s="9">
        <f t="shared" si="125"/>
        <v>0</v>
      </c>
      <c r="AM540" s="42"/>
    </row>
    <row r="541" spans="1:39" x14ac:dyDescent="0.25">
      <c r="A541" t="s">
        <v>554</v>
      </c>
      <c r="B541" s="20">
        <v>44952</v>
      </c>
      <c r="C541" s="4">
        <v>44972</v>
      </c>
      <c r="D541" s="4" t="s">
        <v>1436</v>
      </c>
      <c r="E541" s="4">
        <v>44972</v>
      </c>
      <c r="F541" s="11">
        <f t="shared" si="112"/>
        <v>20</v>
      </c>
      <c r="G541" s="11" t="str">
        <f t="shared" si="115"/>
        <v>Does not Meet Target</v>
      </c>
      <c r="H541" t="s">
        <v>649</v>
      </c>
      <c r="I541" t="s">
        <v>656</v>
      </c>
      <c r="J541" t="s">
        <v>671</v>
      </c>
      <c r="K541" t="s">
        <v>705</v>
      </c>
      <c r="L541" t="s">
        <v>708</v>
      </c>
      <c r="M541" t="s">
        <v>719</v>
      </c>
      <c r="N541" t="s">
        <v>729</v>
      </c>
      <c r="O541" t="str" cm="1">
        <f t="array" ref="O541">_xlfn.IFS(S541&lt;=_xlfn.PERCENTILE.INC(IF(N541:N1171=N541, S541:S1171), 0.33), "Low", S541&lt;=_xlfn.PERCENTILE.INC(IF(N541:N1171=N541, S541:S1171), 0.66), "Medium", S541 &gt; _xlfn.PERCENTILE.INC(IF(N541:N1171=N541, S541:S1171), 0.66), "High")</f>
        <v>Low</v>
      </c>
      <c r="P541" t="s">
        <v>1272</v>
      </c>
      <c r="Q541" s="6">
        <v>492.62</v>
      </c>
      <c r="R541" s="6">
        <v>366.7</v>
      </c>
      <c r="S541" s="6">
        <v>366.7</v>
      </c>
      <c r="T541" s="9">
        <v>8.8999999999999996E-2</v>
      </c>
      <c r="U541" s="9">
        <f>IF(T541&gt;0.3, $AO$4, T541)</f>
        <v>8.8999999999999996E-2</v>
      </c>
      <c r="V541" s="7" t="str">
        <f t="shared" si="116"/>
        <v>Less than 20%</v>
      </c>
      <c r="W541" s="11">
        <v>10</v>
      </c>
      <c r="X541" s="6">
        <f t="shared" si="113"/>
        <v>3340.6370000000002</v>
      </c>
      <c r="Y541" s="6">
        <f t="shared" si="114"/>
        <v>4926.2</v>
      </c>
      <c r="Z541" s="6">
        <f t="shared" si="117"/>
        <v>-1585.5629999999996</v>
      </c>
      <c r="AA541" s="9">
        <f t="shared" si="118"/>
        <v>-0.47462894052840809</v>
      </c>
      <c r="AB541" s="9">
        <f>IF(U541&gt;'What-If Analysis'!$F$16, 'What-If Analysis'!$F$16,T541)</f>
        <v>8.8999999999999996E-2</v>
      </c>
      <c r="AC541" s="42">
        <f>S541*(1-AB541)</f>
        <v>334.06369999999998</v>
      </c>
      <c r="AD541" s="42">
        <f>Q541*(1+'What-If Analysis'!F556)</f>
        <v>492.62</v>
      </c>
      <c r="AE541" s="41">
        <f>W541*(1+'What-If Analysis'!$F$18)</f>
        <v>11.7</v>
      </c>
      <c r="AF541" s="42">
        <f t="shared" si="119"/>
        <v>3908.5452899999996</v>
      </c>
      <c r="AG541" s="42">
        <f t="shared" si="120"/>
        <v>5763.6539999999995</v>
      </c>
      <c r="AH541" s="42">
        <f t="shared" si="121"/>
        <v>-1855.10871</v>
      </c>
      <c r="AI541" s="44">
        <f t="shared" si="122"/>
        <v>-0.47462894052840826</v>
      </c>
      <c r="AJ541" s="42">
        <f t="shared" si="123"/>
        <v>567.9082899999994</v>
      </c>
      <c r="AK541" s="42">
        <f t="shared" si="124"/>
        <v>-1585.5629999999996</v>
      </c>
      <c r="AL541" s="9">
        <f t="shared" si="125"/>
        <v>0</v>
      </c>
      <c r="AM541" s="42"/>
    </row>
    <row r="542" spans="1:39" x14ac:dyDescent="0.25">
      <c r="A542" t="s">
        <v>555</v>
      </c>
      <c r="B542" s="20">
        <v>45115</v>
      </c>
      <c r="C542" s="4">
        <v>45116</v>
      </c>
      <c r="D542" s="4" t="s">
        <v>1444</v>
      </c>
      <c r="E542" s="4">
        <v>45116</v>
      </c>
      <c r="F542" s="11">
        <f t="shared" si="112"/>
        <v>1</v>
      </c>
      <c r="G542" s="11" t="str">
        <f t="shared" si="115"/>
        <v>Meets Target</v>
      </c>
      <c r="H542" t="s">
        <v>646</v>
      </c>
      <c r="I542" t="s">
        <v>650</v>
      </c>
      <c r="J542" t="s">
        <v>664</v>
      </c>
      <c r="K542" t="s">
        <v>704</v>
      </c>
      <c r="L542" t="s">
        <v>708</v>
      </c>
      <c r="M542" t="s">
        <v>726</v>
      </c>
      <c r="N542" t="s">
        <v>731</v>
      </c>
      <c r="O542" t="str" cm="1">
        <f t="array" ref="O542">_xlfn.IFS(S542&lt;=_xlfn.PERCENTILE.INC(IF(N542:N1172=N542, S542:S1172), 0.33), "Low", S542&lt;=_xlfn.PERCENTILE.INC(IF(N542:N1172=N542, S542:S1172), 0.66), "Medium", S542 &gt; _xlfn.PERCENTILE.INC(IF(N542:N1172=N542, S542:S1172), 0.66), "High")</f>
        <v>High</v>
      </c>
      <c r="P542" t="s">
        <v>1273</v>
      </c>
      <c r="Q542" s="6">
        <v>1258.72</v>
      </c>
      <c r="R542" s="6">
        <v>2797.41</v>
      </c>
      <c r="S542" s="6">
        <v>2797.41</v>
      </c>
      <c r="T542" s="9">
        <v>0</v>
      </c>
      <c r="U542" s="9">
        <f>IF(T542&gt;0.3, $AO$4, T542)</f>
        <v>0</v>
      </c>
      <c r="V542" s="7" t="str">
        <f t="shared" si="116"/>
        <v>Less than 20%</v>
      </c>
      <c r="W542" s="11">
        <v>7</v>
      </c>
      <c r="X542" s="6">
        <f t="shared" si="113"/>
        <v>19581.87</v>
      </c>
      <c r="Y542" s="6">
        <f t="shared" si="114"/>
        <v>8811.0400000000009</v>
      </c>
      <c r="Z542" s="6">
        <f t="shared" si="117"/>
        <v>10770.829999999998</v>
      </c>
      <c r="AA542" s="9">
        <f t="shared" si="118"/>
        <v>0.55004093071805704</v>
      </c>
      <c r="AB542" s="9">
        <f>IF(U542&gt;'What-If Analysis'!$F$16, 'What-If Analysis'!$F$16,T542)</f>
        <v>0</v>
      </c>
      <c r="AC542" s="42">
        <f>S542*(1-AB542)</f>
        <v>2797.41</v>
      </c>
      <c r="AD542" s="42">
        <f>Q542*(1+'What-If Analysis'!F557)</f>
        <v>1258.72</v>
      </c>
      <c r="AE542" s="41">
        <f>W542*(1+'What-If Analysis'!$F$18)</f>
        <v>8.19</v>
      </c>
      <c r="AF542" s="42">
        <f t="shared" si="119"/>
        <v>22910.787899999996</v>
      </c>
      <c r="AG542" s="42">
        <f t="shared" si="120"/>
        <v>10308.916799999999</v>
      </c>
      <c r="AH542" s="42">
        <f t="shared" si="121"/>
        <v>12601.871099999997</v>
      </c>
      <c r="AI542" s="44">
        <f t="shared" si="122"/>
        <v>0.55004093071805704</v>
      </c>
      <c r="AJ542" s="42">
        <f t="shared" si="123"/>
        <v>3328.9178999999967</v>
      </c>
      <c r="AK542" s="42">
        <f t="shared" si="124"/>
        <v>10770.829999999998</v>
      </c>
      <c r="AL542" s="9">
        <f t="shared" si="125"/>
        <v>0</v>
      </c>
      <c r="AM542" s="42"/>
    </row>
    <row r="543" spans="1:39" x14ac:dyDescent="0.25">
      <c r="A543" t="s">
        <v>556</v>
      </c>
      <c r="B543" s="20">
        <v>45450</v>
      </c>
      <c r="C543" s="4">
        <v>45452</v>
      </c>
      <c r="D543" s="4" t="s">
        <v>1439</v>
      </c>
      <c r="E543" s="4">
        <v>45452</v>
      </c>
      <c r="F543" s="11">
        <f t="shared" si="112"/>
        <v>2</v>
      </c>
      <c r="G543" s="11" t="str">
        <f t="shared" si="115"/>
        <v>Meets Target</v>
      </c>
      <c r="H543" t="s">
        <v>647</v>
      </c>
      <c r="I543" t="s">
        <v>659</v>
      </c>
      <c r="J543" t="s">
        <v>685</v>
      </c>
      <c r="K543" t="s">
        <v>701</v>
      </c>
      <c r="L543" t="s">
        <v>707</v>
      </c>
      <c r="M543" t="s">
        <v>719</v>
      </c>
      <c r="N543" t="s">
        <v>732</v>
      </c>
      <c r="O543" t="str" cm="1">
        <f t="array" ref="O543">_xlfn.IFS(S543&lt;=_xlfn.PERCENTILE.INC(IF(N543:N1173=N543, S543:S1173), 0.33), "Low", S543&lt;=_xlfn.PERCENTILE.INC(IF(N543:N1173=N543, S543:S1173), 0.66), "Medium", S543 &gt; _xlfn.PERCENTILE.INC(IF(N543:N1173=N543, S543:S1173), 0.66), "High")</f>
        <v>High</v>
      </c>
      <c r="P543" t="s">
        <v>1274</v>
      </c>
      <c r="Q543" s="6">
        <v>1370.28</v>
      </c>
      <c r="R543" s="6">
        <v>2209.66</v>
      </c>
      <c r="S543" s="6">
        <v>2209.66</v>
      </c>
      <c r="T543" s="9">
        <v>0.13300000000000001</v>
      </c>
      <c r="U543" s="9">
        <f>IF(T543&gt;0.3, $AO$4, T543)</f>
        <v>0.13300000000000001</v>
      </c>
      <c r="V543" s="7" t="str">
        <f t="shared" si="116"/>
        <v>Less than 20%</v>
      </c>
      <c r="W543" s="11">
        <v>16</v>
      </c>
      <c r="X543" s="6">
        <f t="shared" si="113"/>
        <v>30652.403519999996</v>
      </c>
      <c r="Y543" s="6">
        <f t="shared" si="114"/>
        <v>21924.48</v>
      </c>
      <c r="Z543" s="6">
        <f t="shared" si="117"/>
        <v>8727.9235199999966</v>
      </c>
      <c r="AA543" s="9">
        <f t="shared" si="118"/>
        <v>0.28473863442079589</v>
      </c>
      <c r="AB543" s="9">
        <f>IF(U543&gt;'What-If Analysis'!$F$16, 'What-If Analysis'!$F$16,T543)</f>
        <v>0.13300000000000001</v>
      </c>
      <c r="AC543" s="42">
        <f>S543*(1-AB543)</f>
        <v>1915.7752199999998</v>
      </c>
      <c r="AD543" s="42">
        <f>Q543*(1+'What-If Analysis'!F558)</f>
        <v>1370.28</v>
      </c>
      <c r="AE543" s="41">
        <f>W543*(1+'What-If Analysis'!$F$18)</f>
        <v>18.72</v>
      </c>
      <c r="AF543" s="42">
        <f t="shared" si="119"/>
        <v>35863.31211839999</v>
      </c>
      <c r="AG543" s="42">
        <f t="shared" si="120"/>
        <v>25651.641599999999</v>
      </c>
      <c r="AH543" s="42">
        <f t="shared" si="121"/>
        <v>10211.670518399991</v>
      </c>
      <c r="AI543" s="44">
        <f t="shared" si="122"/>
        <v>0.28473863442079583</v>
      </c>
      <c r="AJ543" s="42">
        <f t="shared" si="123"/>
        <v>5210.9085983999939</v>
      </c>
      <c r="AK543" s="42">
        <f t="shared" si="124"/>
        <v>8727.9235199999966</v>
      </c>
      <c r="AL543" s="9">
        <f t="shared" si="125"/>
        <v>0</v>
      </c>
      <c r="AM543" s="42"/>
    </row>
    <row r="544" spans="1:39" x14ac:dyDescent="0.25">
      <c r="A544" t="s">
        <v>557</v>
      </c>
      <c r="B544" s="20">
        <v>44968</v>
      </c>
      <c r="C544" s="4">
        <v>44969</v>
      </c>
      <c r="D544" s="4" t="s">
        <v>1436</v>
      </c>
      <c r="E544" s="4">
        <v>44969</v>
      </c>
      <c r="F544" s="11">
        <f t="shared" si="112"/>
        <v>1</v>
      </c>
      <c r="G544" s="11" t="str">
        <f t="shared" si="115"/>
        <v>Meets Target</v>
      </c>
      <c r="H544" t="s">
        <v>646</v>
      </c>
      <c r="I544" t="s">
        <v>651</v>
      </c>
      <c r="J544" t="s">
        <v>663</v>
      </c>
      <c r="K544" t="s">
        <v>703</v>
      </c>
      <c r="L544" t="s">
        <v>711</v>
      </c>
      <c r="M544" t="s">
        <v>726</v>
      </c>
      <c r="N544" t="s">
        <v>733</v>
      </c>
      <c r="O544" t="str" cm="1">
        <f t="array" ref="O544">_xlfn.IFS(S544&lt;=_xlfn.PERCENTILE.INC(IF(N544:N1174=N544, S544:S1174), 0.33), "Low", S544&lt;=_xlfn.PERCENTILE.INC(IF(N544:N1174=N544, S544:S1174), 0.66), "Medium", S544 &gt; _xlfn.PERCENTILE.INC(IF(N544:N1174=N544, S544:S1174), 0.66), "High")</f>
        <v>Low</v>
      </c>
      <c r="P544" t="s">
        <v>1275</v>
      </c>
      <c r="Q544" s="6">
        <v>944.61</v>
      </c>
      <c r="R544" s="6">
        <v>839.04</v>
      </c>
      <c r="S544" s="6">
        <v>839.04</v>
      </c>
      <c r="T544" s="9">
        <v>5.8999999999999997E-2</v>
      </c>
      <c r="U544" s="9">
        <f>IF(T544&gt;0.3, $AO$4, T544)</f>
        <v>5.8999999999999997E-2</v>
      </c>
      <c r="V544" s="7" t="str">
        <f t="shared" si="116"/>
        <v>Less than 20%</v>
      </c>
      <c r="W544" s="11">
        <v>6</v>
      </c>
      <c r="X544" s="6">
        <f t="shared" si="113"/>
        <v>4737.2198399999997</v>
      </c>
      <c r="Y544" s="6">
        <f t="shared" si="114"/>
        <v>5667.66</v>
      </c>
      <c r="Z544" s="6">
        <f t="shared" si="117"/>
        <v>-930.44016000000011</v>
      </c>
      <c r="AA544" s="9">
        <f t="shared" si="118"/>
        <v>-0.19641059343363726</v>
      </c>
      <c r="AB544" s="9">
        <f>IF(U544&gt;'What-If Analysis'!$F$16, 'What-If Analysis'!$F$16,T544)</f>
        <v>5.8999999999999997E-2</v>
      </c>
      <c r="AC544" s="42">
        <f>S544*(1-AB544)</f>
        <v>789.53664000000003</v>
      </c>
      <c r="AD544" s="42">
        <f>Q544*(1+'What-If Analysis'!F559)</f>
        <v>944.61</v>
      </c>
      <c r="AE544" s="41">
        <f>W544*(1+'What-If Analysis'!$F$18)</f>
        <v>7.02</v>
      </c>
      <c r="AF544" s="42">
        <f t="shared" si="119"/>
        <v>5542.5472128000001</v>
      </c>
      <c r="AG544" s="42">
        <f t="shared" si="120"/>
        <v>6631.1621999999998</v>
      </c>
      <c r="AH544" s="42">
        <f t="shared" si="121"/>
        <v>-1088.6149871999996</v>
      </c>
      <c r="AI544" s="44">
        <f t="shared" si="122"/>
        <v>-0.19641059343363715</v>
      </c>
      <c r="AJ544" s="42">
        <f t="shared" si="123"/>
        <v>805.32737280000038</v>
      </c>
      <c r="AK544" s="42">
        <f t="shared" si="124"/>
        <v>-930.44016000000011</v>
      </c>
      <c r="AL544" s="9">
        <f t="shared" si="125"/>
        <v>0</v>
      </c>
      <c r="AM544" s="42"/>
    </row>
    <row r="545" spans="1:39" x14ac:dyDescent="0.25">
      <c r="A545" t="s">
        <v>558</v>
      </c>
      <c r="B545" s="20">
        <v>45108</v>
      </c>
      <c r="C545" s="4">
        <v>45115</v>
      </c>
      <c r="D545" s="4" t="s">
        <v>1444</v>
      </c>
      <c r="E545" s="4">
        <v>45115</v>
      </c>
      <c r="F545" s="11">
        <f t="shared" si="112"/>
        <v>7</v>
      </c>
      <c r="G545" s="11" t="str">
        <f t="shared" si="115"/>
        <v>Meets Target</v>
      </c>
      <c r="H545" t="s">
        <v>649</v>
      </c>
      <c r="I545" t="s">
        <v>656</v>
      </c>
      <c r="J545" t="s">
        <v>698</v>
      </c>
      <c r="K545" t="s">
        <v>705</v>
      </c>
      <c r="L545" t="s">
        <v>710</v>
      </c>
      <c r="M545" t="s">
        <v>725</v>
      </c>
      <c r="N545" t="s">
        <v>731</v>
      </c>
      <c r="O545" t="str" cm="1">
        <f t="array" ref="O545">_xlfn.IFS(S545&lt;=_xlfn.PERCENTILE.INC(IF(N545:N1175=N545, S545:S1175), 0.33), "Low", S545&lt;=_xlfn.PERCENTILE.INC(IF(N545:N1175=N545, S545:S1175), 0.66), "Medium", S545 &gt; _xlfn.PERCENTILE.INC(IF(N545:N1175=N545, S545:S1175), 0.66), "High")</f>
        <v>Medium</v>
      </c>
      <c r="P545" t="s">
        <v>1276</v>
      </c>
      <c r="Q545" s="6">
        <v>460.21</v>
      </c>
      <c r="R545" s="6">
        <v>1139.1500000000001</v>
      </c>
      <c r="S545" s="6">
        <v>1139.1500000000001</v>
      </c>
      <c r="T545" s="9">
        <v>0.115</v>
      </c>
      <c r="U545" s="9">
        <f>IF(T545&gt;0.3, $AO$4, T545)</f>
        <v>0.115</v>
      </c>
      <c r="V545" s="7" t="str">
        <f t="shared" si="116"/>
        <v>Less than 20%</v>
      </c>
      <c r="W545" s="11">
        <v>14</v>
      </c>
      <c r="X545" s="6">
        <f t="shared" si="113"/>
        <v>14114.068500000001</v>
      </c>
      <c r="Y545" s="6">
        <f t="shared" si="114"/>
        <v>6442.94</v>
      </c>
      <c r="Z545" s="6">
        <f t="shared" si="117"/>
        <v>7671.1285000000016</v>
      </c>
      <c r="AA545" s="9">
        <f t="shared" si="118"/>
        <v>0.54350937151821255</v>
      </c>
      <c r="AB545" s="9">
        <f>IF(U545&gt;'What-If Analysis'!$F$16, 'What-If Analysis'!$F$16,T545)</f>
        <v>0.115</v>
      </c>
      <c r="AC545" s="42">
        <f>S545*(1-AB545)</f>
        <v>1008.1477500000001</v>
      </c>
      <c r="AD545" s="42">
        <f>Q545*(1+'What-If Analysis'!F560)</f>
        <v>460.21</v>
      </c>
      <c r="AE545" s="41">
        <f>W545*(1+'What-If Analysis'!$F$18)</f>
        <v>16.38</v>
      </c>
      <c r="AF545" s="42">
        <f t="shared" si="119"/>
        <v>16513.460145000001</v>
      </c>
      <c r="AG545" s="42">
        <f t="shared" si="120"/>
        <v>7538.2397999999994</v>
      </c>
      <c r="AH545" s="42">
        <f t="shared" si="121"/>
        <v>8975.2203450000015</v>
      </c>
      <c r="AI545" s="44">
        <f t="shared" si="122"/>
        <v>0.54350937151821255</v>
      </c>
      <c r="AJ545" s="42">
        <f t="shared" si="123"/>
        <v>2399.3916449999997</v>
      </c>
      <c r="AK545" s="42">
        <f t="shared" si="124"/>
        <v>7671.1285000000016</v>
      </c>
      <c r="AL545" s="9">
        <f t="shared" si="125"/>
        <v>0</v>
      </c>
      <c r="AM545" s="42"/>
    </row>
    <row r="546" spans="1:39" x14ac:dyDescent="0.25">
      <c r="A546" t="s">
        <v>559</v>
      </c>
      <c r="B546" s="20">
        <v>45889</v>
      </c>
      <c r="C546" s="4">
        <v>45895</v>
      </c>
      <c r="D546" s="4" t="s">
        <v>1441</v>
      </c>
      <c r="E546" s="4">
        <v>45895</v>
      </c>
      <c r="F546" s="11">
        <f t="shared" si="112"/>
        <v>6</v>
      </c>
      <c r="G546" s="11" t="str">
        <f t="shared" si="115"/>
        <v>Meets Target</v>
      </c>
      <c r="H546" t="s">
        <v>648</v>
      </c>
      <c r="I546" t="s">
        <v>660</v>
      </c>
      <c r="J546" t="s">
        <v>700</v>
      </c>
      <c r="K546" t="s">
        <v>701</v>
      </c>
      <c r="L546" t="s">
        <v>707</v>
      </c>
      <c r="M546" t="s">
        <v>724</v>
      </c>
      <c r="N546" t="s">
        <v>729</v>
      </c>
      <c r="O546" t="str" cm="1">
        <f t="array" ref="O546">_xlfn.IFS(S546&lt;=_xlfn.PERCENTILE.INC(IF(N546:N1176=N546, S546:S1176), 0.33), "Low", S546&lt;=_xlfn.PERCENTILE.INC(IF(N546:N1176=N546, S546:S1176), 0.66), "Medium", S546 &gt; _xlfn.PERCENTILE.INC(IF(N546:N1176=N546, S546:S1176), 0.66), "High")</f>
        <v>Medium</v>
      </c>
      <c r="P546" t="s">
        <v>1277</v>
      </c>
      <c r="Q546" s="6">
        <v>1304.95</v>
      </c>
      <c r="R546" s="6">
        <v>1712.03</v>
      </c>
      <c r="S546" s="6">
        <v>1712.03</v>
      </c>
      <c r="T546" s="9">
        <v>0.21199999999999999</v>
      </c>
      <c r="U546" s="9">
        <f>IF(T546&gt;0.3, $AO$4, T546)</f>
        <v>0.21199999999999999</v>
      </c>
      <c r="V546" s="7" t="str">
        <f t="shared" si="116"/>
        <v>Greater than 20%</v>
      </c>
      <c r="W546" s="11">
        <v>8</v>
      </c>
      <c r="X546" s="6">
        <f t="shared" si="113"/>
        <v>10792.637119999999</v>
      </c>
      <c r="Y546" s="6">
        <f t="shared" si="114"/>
        <v>10439.6</v>
      </c>
      <c r="Z546" s="6">
        <f t="shared" si="117"/>
        <v>353.03711999999905</v>
      </c>
      <c r="AA546" s="9">
        <f t="shared" si="118"/>
        <v>3.2710922833287949E-2</v>
      </c>
      <c r="AB546" s="9">
        <f>IF(U546&gt;'What-If Analysis'!$F$16, 'What-If Analysis'!$F$16,T546)</f>
        <v>0.17</v>
      </c>
      <c r="AC546" s="42">
        <f>S546*(1-AB546)</f>
        <v>1420.9848999999999</v>
      </c>
      <c r="AD546" s="42">
        <f>Q546*(1+'What-If Analysis'!F561)</f>
        <v>1304.95</v>
      </c>
      <c r="AE546" s="41">
        <f>W546*(1+'What-If Analysis'!$F$18)</f>
        <v>9.36</v>
      </c>
      <c r="AF546" s="42">
        <f t="shared" si="119"/>
        <v>13300.418663999999</v>
      </c>
      <c r="AG546" s="42">
        <f t="shared" si="120"/>
        <v>12214.332</v>
      </c>
      <c r="AH546" s="42">
        <f t="shared" si="121"/>
        <v>1086.0866639999986</v>
      </c>
      <c r="AI546" s="44">
        <f t="shared" si="122"/>
        <v>8.1658080954976967E-2</v>
      </c>
      <c r="AJ546" s="42">
        <f t="shared" si="123"/>
        <v>2507.7815439999995</v>
      </c>
      <c r="AK546" s="42">
        <f t="shared" si="124"/>
        <v>353.03711999999905</v>
      </c>
      <c r="AL546" s="9">
        <f t="shared" si="125"/>
        <v>4.8947158121689018E-2</v>
      </c>
      <c r="AM546" s="42"/>
    </row>
    <row r="547" spans="1:39" x14ac:dyDescent="0.25">
      <c r="A547" t="s">
        <v>560</v>
      </c>
      <c r="B547" s="20">
        <v>45355</v>
      </c>
      <c r="C547" s="4">
        <v>45367</v>
      </c>
      <c r="D547" s="4" t="s">
        <v>1434</v>
      </c>
      <c r="E547" s="4">
        <v>45367</v>
      </c>
      <c r="F547" s="11">
        <f t="shared" si="112"/>
        <v>12</v>
      </c>
      <c r="G547" s="11" t="str">
        <f t="shared" si="115"/>
        <v>Does not Meet Target</v>
      </c>
      <c r="H547" t="s">
        <v>646</v>
      </c>
      <c r="I547" t="s">
        <v>661</v>
      </c>
      <c r="J547" t="s">
        <v>682</v>
      </c>
      <c r="K547" t="s">
        <v>706</v>
      </c>
      <c r="L547" t="s">
        <v>710</v>
      </c>
      <c r="M547" t="s">
        <v>724</v>
      </c>
      <c r="N547" t="s">
        <v>732</v>
      </c>
      <c r="O547" t="str" cm="1">
        <f t="array" ref="O547">_xlfn.IFS(S547&lt;=_xlfn.PERCENTILE.INC(IF(N547:N1177=N547, S547:S1177), 0.33), "Low", S547&lt;=_xlfn.PERCENTILE.INC(IF(N547:N1177=N547, S547:S1177), 0.66), "Medium", S547 &gt; _xlfn.PERCENTILE.INC(IF(N547:N1177=N547, S547:S1177), 0.66), "High")</f>
        <v>Medium</v>
      </c>
      <c r="P547" t="s">
        <v>1278</v>
      </c>
      <c r="Q547" s="6">
        <v>441.08</v>
      </c>
      <c r="R547" s="6">
        <v>1054.29</v>
      </c>
      <c r="S547" s="6">
        <v>1054.29</v>
      </c>
      <c r="T547" s="9">
        <v>0.23699999999999999</v>
      </c>
      <c r="U547" s="9">
        <f>IF(T547&gt;0.3, $AO$4, T547)</f>
        <v>0.23699999999999999</v>
      </c>
      <c r="V547" s="7" t="str">
        <f t="shared" si="116"/>
        <v>Greater than 20%</v>
      </c>
      <c r="W547" s="11">
        <v>6</v>
      </c>
      <c r="X547" s="6">
        <f t="shared" si="113"/>
        <v>4826.5396199999996</v>
      </c>
      <c r="Y547" s="6">
        <f t="shared" si="114"/>
        <v>2646.48</v>
      </c>
      <c r="Z547" s="6">
        <f t="shared" si="117"/>
        <v>2180.0596199999995</v>
      </c>
      <c r="AA547" s="9">
        <f t="shared" si="118"/>
        <v>0.45168169985932899</v>
      </c>
      <c r="AB547" s="9">
        <f>IF(U547&gt;'What-If Analysis'!$F$16, 'What-If Analysis'!$F$16,T547)</f>
        <v>0.17</v>
      </c>
      <c r="AC547" s="42">
        <f>S547*(1-AB547)</f>
        <v>875.06069999999988</v>
      </c>
      <c r="AD547" s="42">
        <f>Q547*(1+'What-If Analysis'!F562)</f>
        <v>441.08</v>
      </c>
      <c r="AE547" s="41">
        <f>W547*(1+'What-If Analysis'!$F$18)</f>
        <v>7.02</v>
      </c>
      <c r="AF547" s="42">
        <f t="shared" si="119"/>
        <v>6142.926113999999</v>
      </c>
      <c r="AG547" s="42">
        <f t="shared" si="120"/>
        <v>3096.3815999999997</v>
      </c>
      <c r="AH547" s="42">
        <f t="shared" si="121"/>
        <v>3046.5445139999993</v>
      </c>
      <c r="AI547" s="44">
        <f t="shared" si="122"/>
        <v>0.49594353854538314</v>
      </c>
      <c r="AJ547" s="42">
        <f t="shared" si="123"/>
        <v>1316.3864939999994</v>
      </c>
      <c r="AK547" s="42">
        <f t="shared" si="124"/>
        <v>2180.0596199999995</v>
      </c>
      <c r="AL547" s="9">
        <f t="shared" si="125"/>
        <v>4.4261838686054156E-2</v>
      </c>
      <c r="AM547" s="42"/>
    </row>
    <row r="548" spans="1:39" x14ac:dyDescent="0.25">
      <c r="A548" t="s">
        <v>561</v>
      </c>
      <c r="B548" s="20">
        <v>45177</v>
      </c>
      <c r="C548" s="4">
        <v>45201</v>
      </c>
      <c r="D548" s="4" t="s">
        <v>1444</v>
      </c>
      <c r="E548" s="4">
        <v>45201</v>
      </c>
      <c r="F548" s="11">
        <f t="shared" si="112"/>
        <v>24</v>
      </c>
      <c r="G548" s="11" t="str">
        <f t="shared" si="115"/>
        <v>Does not Meet Target</v>
      </c>
      <c r="H548" t="s">
        <v>648</v>
      </c>
      <c r="I548" t="s">
        <v>653</v>
      </c>
      <c r="J548" t="s">
        <v>667</v>
      </c>
      <c r="K548" t="s">
        <v>702</v>
      </c>
      <c r="L548" t="s">
        <v>711</v>
      </c>
      <c r="M548" t="s">
        <v>720</v>
      </c>
      <c r="N548" t="s">
        <v>733</v>
      </c>
      <c r="O548" t="str" cm="1">
        <f t="array" ref="O548">_xlfn.IFS(S548&lt;=_xlfn.PERCENTILE.INC(IF(N548:N1178=N548, S548:S1178), 0.33), "Low", S548&lt;=_xlfn.PERCENTILE.INC(IF(N548:N1178=N548, S548:S1178), 0.66), "Medium", S548 &gt; _xlfn.PERCENTILE.INC(IF(N548:N1178=N548, S548:S1178), 0.66), "High")</f>
        <v>High</v>
      </c>
      <c r="P548" t="s">
        <v>1279</v>
      </c>
      <c r="Q548" s="6">
        <v>1299.03</v>
      </c>
      <c r="R548" s="6">
        <v>2451.2199999999998</v>
      </c>
      <c r="S548" s="6">
        <v>2451.2199999999998</v>
      </c>
      <c r="T548" s="9">
        <v>0.20799999999999999</v>
      </c>
      <c r="U548" s="9">
        <f>IF(T548&gt;0.3, $AO$4, T548)</f>
        <v>0.20799999999999999</v>
      </c>
      <c r="V548" s="7" t="str">
        <f t="shared" si="116"/>
        <v>Greater than 20%</v>
      </c>
      <c r="W548" s="11">
        <v>8</v>
      </c>
      <c r="X548" s="6">
        <f t="shared" si="113"/>
        <v>15530.929919999999</v>
      </c>
      <c r="Y548" s="6">
        <f t="shared" si="114"/>
        <v>10392.24</v>
      </c>
      <c r="Z548" s="6">
        <f t="shared" si="117"/>
        <v>5138.6899199999989</v>
      </c>
      <c r="AA548" s="9">
        <f t="shared" si="118"/>
        <v>0.3308681416032041</v>
      </c>
      <c r="AB548" s="9">
        <f>IF(U548&gt;'What-If Analysis'!$F$16, 'What-If Analysis'!$F$16,T548)</f>
        <v>0.17</v>
      </c>
      <c r="AC548" s="42">
        <f>S548*(1-AB548)</f>
        <v>2034.5125999999998</v>
      </c>
      <c r="AD548" s="42">
        <f>Q548*(1+'What-If Analysis'!F563)</f>
        <v>1299.03</v>
      </c>
      <c r="AE548" s="41">
        <f>W548*(1+'What-If Analysis'!$F$18)</f>
        <v>9.36</v>
      </c>
      <c r="AF548" s="42">
        <f t="shared" si="119"/>
        <v>19043.037935999997</v>
      </c>
      <c r="AG548" s="42">
        <f t="shared" si="120"/>
        <v>12158.9208</v>
      </c>
      <c r="AH548" s="42">
        <f t="shared" si="121"/>
        <v>6884.1171359999971</v>
      </c>
      <c r="AI548" s="44">
        <f t="shared" si="122"/>
        <v>0.36150309415631038</v>
      </c>
      <c r="AJ548" s="42">
        <f t="shared" si="123"/>
        <v>3512.1080159999983</v>
      </c>
      <c r="AK548" s="42">
        <f t="shared" si="124"/>
        <v>5138.6899199999989</v>
      </c>
      <c r="AL548" s="9">
        <f t="shared" si="125"/>
        <v>3.0634952553106276E-2</v>
      </c>
      <c r="AM548" s="42"/>
    </row>
    <row r="549" spans="1:39" x14ac:dyDescent="0.25">
      <c r="A549" t="s">
        <v>562</v>
      </c>
      <c r="B549" s="20">
        <v>44985</v>
      </c>
      <c r="C549" s="4">
        <v>44991</v>
      </c>
      <c r="D549" s="4" t="s">
        <v>1436</v>
      </c>
      <c r="E549" s="4">
        <v>44991</v>
      </c>
      <c r="F549" s="11">
        <f t="shared" si="112"/>
        <v>6</v>
      </c>
      <c r="G549" s="11" t="str">
        <f t="shared" si="115"/>
        <v>Meets Target</v>
      </c>
      <c r="H549" t="s">
        <v>649</v>
      </c>
      <c r="I549" t="s">
        <v>656</v>
      </c>
      <c r="J549" t="s">
        <v>698</v>
      </c>
      <c r="K549" t="s">
        <v>705</v>
      </c>
      <c r="L549" t="s">
        <v>709</v>
      </c>
      <c r="M549" t="s">
        <v>726</v>
      </c>
      <c r="N549" t="s">
        <v>728</v>
      </c>
      <c r="O549" t="str" cm="1">
        <f t="array" ref="O549">_xlfn.IFS(S549&lt;=_xlfn.PERCENTILE.INC(IF(N549:N1179=N549, S549:S1179), 0.33), "Low", S549&lt;=_xlfn.PERCENTILE.INC(IF(N549:N1179=N549, S549:S1179), 0.66), "Medium", S549 &gt; _xlfn.PERCENTILE.INC(IF(N549:N1179=N549, S549:S1179), 0.66), "High")</f>
        <v>Medium</v>
      </c>
      <c r="P549" t="s">
        <v>1280</v>
      </c>
      <c r="Q549" s="6">
        <v>880.02</v>
      </c>
      <c r="R549" s="6">
        <v>1251.21</v>
      </c>
      <c r="S549" s="6">
        <v>1251.21</v>
      </c>
      <c r="T549" s="9">
        <v>0.123</v>
      </c>
      <c r="U549" s="9">
        <f>IF(T549&gt;0.3, $AO$4, T549)</f>
        <v>0.123</v>
      </c>
      <c r="V549" s="7" t="str">
        <f t="shared" si="116"/>
        <v>Less than 20%</v>
      </c>
      <c r="W549" s="11">
        <v>29</v>
      </c>
      <c r="X549" s="6">
        <f t="shared" si="113"/>
        <v>31822.023930000003</v>
      </c>
      <c r="Y549" s="6">
        <f t="shared" si="114"/>
        <v>25520.579999999998</v>
      </c>
      <c r="Z549" s="6">
        <f t="shared" si="117"/>
        <v>6301.4439300000049</v>
      </c>
      <c r="AA549" s="9">
        <f t="shared" si="118"/>
        <v>0.19802146915172672</v>
      </c>
      <c r="AB549" s="9">
        <f>IF(U549&gt;'What-If Analysis'!$F$16, 'What-If Analysis'!$F$16,T549)</f>
        <v>0.123</v>
      </c>
      <c r="AC549" s="42">
        <f>S549*(1-AB549)</f>
        <v>1097.3111699999999</v>
      </c>
      <c r="AD549" s="42">
        <f>Q549*(1+'What-If Analysis'!F564)</f>
        <v>880.02</v>
      </c>
      <c r="AE549" s="41">
        <f>W549*(1+'What-If Analysis'!$F$18)</f>
        <v>33.93</v>
      </c>
      <c r="AF549" s="42">
        <f t="shared" si="119"/>
        <v>37231.767998099996</v>
      </c>
      <c r="AG549" s="42">
        <f t="shared" si="120"/>
        <v>29859.078600000001</v>
      </c>
      <c r="AH549" s="42">
        <f t="shared" si="121"/>
        <v>7372.6893980999957</v>
      </c>
      <c r="AI549" s="44">
        <f t="shared" si="122"/>
        <v>0.19802146915172647</v>
      </c>
      <c r="AJ549" s="42">
        <f t="shared" si="123"/>
        <v>5409.7440680999935</v>
      </c>
      <c r="AK549" s="42">
        <f t="shared" si="124"/>
        <v>6301.4439300000049</v>
      </c>
      <c r="AL549" s="9">
        <f t="shared" si="125"/>
        <v>-2.4980018054066022E-16</v>
      </c>
      <c r="AM549" s="42"/>
    </row>
    <row r="550" spans="1:39" x14ac:dyDescent="0.25">
      <c r="A550" t="s">
        <v>563</v>
      </c>
      <c r="B550" s="20">
        <v>45486</v>
      </c>
      <c r="C550" s="4">
        <v>45507</v>
      </c>
      <c r="D550" s="4" t="s">
        <v>1443</v>
      </c>
      <c r="E550" s="4">
        <v>45507</v>
      </c>
      <c r="F550" s="11">
        <f t="shared" si="112"/>
        <v>21</v>
      </c>
      <c r="G550" s="11" t="str">
        <f t="shared" si="115"/>
        <v>Does not Meet Target</v>
      </c>
      <c r="H550" t="s">
        <v>648</v>
      </c>
      <c r="I550" t="s">
        <v>655</v>
      </c>
      <c r="J550" t="s">
        <v>692</v>
      </c>
      <c r="K550" t="s">
        <v>701</v>
      </c>
      <c r="L550" t="s">
        <v>709</v>
      </c>
      <c r="M550" t="s">
        <v>724</v>
      </c>
      <c r="N550" t="s">
        <v>732</v>
      </c>
      <c r="O550" t="str" cm="1">
        <f t="array" ref="O550">_xlfn.IFS(S550&lt;=_xlfn.PERCENTILE.INC(IF(N550:N1180=N550, S550:S1180), 0.33), "Low", S550&lt;=_xlfn.PERCENTILE.INC(IF(N550:N1180=N550, S550:S1180), 0.66), "Medium", S550 &gt; _xlfn.PERCENTILE.INC(IF(N550:N1180=N550, S550:S1180), 0.66), "High")</f>
        <v>Medium</v>
      </c>
      <c r="P550" t="s">
        <v>1281</v>
      </c>
      <c r="Q550" s="6">
        <v>702.98</v>
      </c>
      <c r="R550" s="6">
        <v>1104.8</v>
      </c>
      <c r="S550" s="6">
        <v>1104.8</v>
      </c>
      <c r="T550" s="9">
        <v>0.17499999999999999</v>
      </c>
      <c r="U550" s="9">
        <f>IF(T550&gt;0.3, $AO$4, T550)</f>
        <v>0.17499999999999999</v>
      </c>
      <c r="V550" s="7" t="str">
        <f t="shared" si="116"/>
        <v>Less than 20%</v>
      </c>
      <c r="W550" s="11">
        <v>12</v>
      </c>
      <c r="X550" s="6">
        <f t="shared" si="113"/>
        <v>10937.519999999999</v>
      </c>
      <c r="Y550" s="6">
        <f t="shared" si="114"/>
        <v>8435.76</v>
      </c>
      <c r="Z550" s="6">
        <f t="shared" si="117"/>
        <v>2501.7599999999984</v>
      </c>
      <c r="AA550" s="9">
        <f t="shared" si="118"/>
        <v>0.22873192460448061</v>
      </c>
      <c r="AB550" s="9">
        <f>IF(U550&gt;'What-If Analysis'!$F$16, 'What-If Analysis'!$F$16,T550)</f>
        <v>0.17</v>
      </c>
      <c r="AC550" s="42">
        <f>S550*(1-AB550)</f>
        <v>916.98399999999992</v>
      </c>
      <c r="AD550" s="42">
        <f>Q550*(1+'What-If Analysis'!F565)</f>
        <v>702.98</v>
      </c>
      <c r="AE550" s="41">
        <f>W550*(1+'What-If Analysis'!$F$18)</f>
        <v>14.04</v>
      </c>
      <c r="AF550" s="42">
        <f t="shared" si="119"/>
        <v>12874.455359999998</v>
      </c>
      <c r="AG550" s="42">
        <f t="shared" si="120"/>
        <v>9869.8392000000003</v>
      </c>
      <c r="AH550" s="42">
        <f t="shared" si="121"/>
        <v>3004.6161599999978</v>
      </c>
      <c r="AI550" s="44">
        <f t="shared" si="122"/>
        <v>0.23337811782975479</v>
      </c>
      <c r="AJ550" s="42">
        <f t="shared" si="123"/>
        <v>1936.9353599999995</v>
      </c>
      <c r="AK550" s="42">
        <f t="shared" si="124"/>
        <v>2501.7599999999984</v>
      </c>
      <c r="AL550" s="9">
        <f t="shared" si="125"/>
        <v>4.6461932252741811E-3</v>
      </c>
      <c r="AM550" s="42"/>
    </row>
    <row r="551" spans="1:39" x14ac:dyDescent="0.25">
      <c r="A551" t="s">
        <v>564</v>
      </c>
      <c r="B551" s="20">
        <v>45633</v>
      </c>
      <c r="C551" s="4">
        <v>45652</v>
      </c>
      <c r="D551" s="4" t="s">
        <v>1435</v>
      </c>
      <c r="E551" s="4">
        <v>45652</v>
      </c>
      <c r="F551" s="11">
        <f t="shared" si="112"/>
        <v>19</v>
      </c>
      <c r="G551" s="11" t="str">
        <f t="shared" si="115"/>
        <v>Does not Meet Target</v>
      </c>
      <c r="H551" t="s">
        <v>649</v>
      </c>
      <c r="I551" t="s">
        <v>658</v>
      </c>
      <c r="J551" t="s">
        <v>683</v>
      </c>
      <c r="K551" t="s">
        <v>706</v>
      </c>
      <c r="L551" t="s">
        <v>708</v>
      </c>
      <c r="M551" t="s">
        <v>726</v>
      </c>
      <c r="N551" t="s">
        <v>729</v>
      </c>
      <c r="O551" t="str" cm="1">
        <f t="array" ref="O551">_xlfn.IFS(S551&lt;=_xlfn.PERCENTILE.INC(IF(N551:N1181=N551, S551:S1181), 0.33), "Low", S551&lt;=_xlfn.PERCENTILE.INC(IF(N551:N1181=N551, S551:S1181), 0.66), "Medium", S551 &gt; _xlfn.PERCENTILE.INC(IF(N551:N1181=N551, S551:S1181), 0.66), "High")</f>
        <v>High</v>
      </c>
      <c r="P551" t="s">
        <v>1282</v>
      </c>
      <c r="Q551" s="6">
        <v>1035.24</v>
      </c>
      <c r="R551" s="6">
        <v>2383.41</v>
      </c>
      <c r="S551" s="6">
        <v>2383.41</v>
      </c>
      <c r="T551" s="9">
        <v>0.17</v>
      </c>
      <c r="U551" s="9">
        <f>IF(T551&gt;0.3, $AO$4, T551)</f>
        <v>0.17</v>
      </c>
      <c r="V551" s="7" t="str">
        <f t="shared" si="116"/>
        <v>Less than 20%</v>
      </c>
      <c r="W551" s="11">
        <v>15</v>
      </c>
      <c r="X551" s="6">
        <f t="shared" si="113"/>
        <v>29673.454499999993</v>
      </c>
      <c r="Y551" s="6">
        <f t="shared" si="114"/>
        <v>15528.6</v>
      </c>
      <c r="Z551" s="6">
        <f t="shared" si="117"/>
        <v>14144.854499999992</v>
      </c>
      <c r="AA551" s="9">
        <f t="shared" si="118"/>
        <v>0.47668378145860962</v>
      </c>
      <c r="AB551" s="9">
        <f>IF(U551&gt;'What-If Analysis'!$F$16, 'What-If Analysis'!$F$16,T551)</f>
        <v>0.17</v>
      </c>
      <c r="AC551" s="42">
        <f>S551*(1-AB551)</f>
        <v>1978.2302999999997</v>
      </c>
      <c r="AD551" s="42">
        <f>Q551*(1+'What-If Analysis'!F566)</f>
        <v>1035.24</v>
      </c>
      <c r="AE551" s="41">
        <f>W551*(1+'What-If Analysis'!$F$18)</f>
        <v>17.549999999999997</v>
      </c>
      <c r="AF551" s="42">
        <f t="shared" si="119"/>
        <v>34717.941764999989</v>
      </c>
      <c r="AG551" s="42">
        <f t="shared" si="120"/>
        <v>18168.461999999996</v>
      </c>
      <c r="AH551" s="42">
        <f t="shared" si="121"/>
        <v>16549.479764999993</v>
      </c>
      <c r="AI551" s="44">
        <f t="shared" si="122"/>
        <v>0.47668378145860968</v>
      </c>
      <c r="AJ551" s="42">
        <f t="shared" si="123"/>
        <v>5044.4872649999961</v>
      </c>
      <c r="AK551" s="42">
        <f t="shared" si="124"/>
        <v>14144.854499999992</v>
      </c>
      <c r="AL551" s="9">
        <f t="shared" si="125"/>
        <v>0</v>
      </c>
      <c r="AM551" s="42"/>
    </row>
    <row r="552" spans="1:39" x14ac:dyDescent="0.25">
      <c r="A552" t="s">
        <v>565</v>
      </c>
      <c r="B552" s="20">
        <v>45875</v>
      </c>
      <c r="C552" s="4">
        <v>45892</v>
      </c>
      <c r="D552" s="4" t="s">
        <v>1441</v>
      </c>
      <c r="E552" s="4">
        <v>45892</v>
      </c>
      <c r="F552" s="11">
        <f t="shared" si="112"/>
        <v>17</v>
      </c>
      <c r="G552" s="11" t="str">
        <f t="shared" si="115"/>
        <v>Does not Meet Target</v>
      </c>
      <c r="H552" t="s">
        <v>648</v>
      </c>
      <c r="I552" t="s">
        <v>655</v>
      </c>
      <c r="J552" t="s">
        <v>672</v>
      </c>
      <c r="K552" t="s">
        <v>704</v>
      </c>
      <c r="L552" t="s">
        <v>710</v>
      </c>
      <c r="M552" t="s">
        <v>720</v>
      </c>
      <c r="N552" t="s">
        <v>732</v>
      </c>
      <c r="O552" t="str" cm="1">
        <f t="array" ref="O552">_xlfn.IFS(S552&lt;=_xlfn.PERCENTILE.INC(IF(N552:N1182=N552, S552:S1182), 0.33), "Low", S552&lt;=_xlfn.PERCENTILE.INC(IF(N552:N1182=N552, S552:S1182), 0.66), "Medium", S552 &gt; _xlfn.PERCENTILE.INC(IF(N552:N1182=N552, S552:S1182), 0.66), "High")</f>
        <v>Low</v>
      </c>
      <c r="P552" t="s">
        <v>1283</v>
      </c>
      <c r="Q552" s="6">
        <v>86.64</v>
      </c>
      <c r="R552" s="6">
        <v>213.06</v>
      </c>
      <c r="S552" s="6">
        <v>213.06</v>
      </c>
      <c r="T552" s="9">
        <v>0.21199999999999999</v>
      </c>
      <c r="U552" s="9">
        <f>IF(T552&gt;0.3, $AO$4, T552)</f>
        <v>0.21199999999999999</v>
      </c>
      <c r="V552" s="7" t="str">
        <f t="shared" si="116"/>
        <v>Greater than 20%</v>
      </c>
      <c r="W552" s="11">
        <v>11</v>
      </c>
      <c r="X552" s="6">
        <f t="shared" si="113"/>
        <v>1846.8040799999999</v>
      </c>
      <c r="Y552" s="6">
        <f t="shared" si="114"/>
        <v>953.04</v>
      </c>
      <c r="Z552" s="6">
        <f t="shared" si="117"/>
        <v>893.76407999999992</v>
      </c>
      <c r="AA552" s="9">
        <f t="shared" si="118"/>
        <v>0.48395175735154322</v>
      </c>
      <c r="AB552" s="9">
        <f>IF(U552&gt;'What-If Analysis'!$F$16, 'What-If Analysis'!$F$16,T552)</f>
        <v>0.17</v>
      </c>
      <c r="AC552" s="42">
        <f>S552*(1-AB552)</f>
        <v>176.8398</v>
      </c>
      <c r="AD552" s="42">
        <f>Q552*(1+'What-If Analysis'!F567)</f>
        <v>86.64</v>
      </c>
      <c r="AE552" s="41">
        <f>W552*(1+'What-If Analysis'!$F$18)</f>
        <v>12.87</v>
      </c>
      <c r="AF552" s="42">
        <f t="shared" si="119"/>
        <v>2275.928226</v>
      </c>
      <c r="AG552" s="42">
        <f t="shared" si="120"/>
        <v>1115.0567999999998</v>
      </c>
      <c r="AH552" s="42">
        <f t="shared" si="121"/>
        <v>1160.8714260000002</v>
      </c>
      <c r="AI552" s="44">
        <f t="shared" si="122"/>
        <v>0.51006504191929647</v>
      </c>
      <c r="AJ552" s="42">
        <f t="shared" si="123"/>
        <v>429.12414600000011</v>
      </c>
      <c r="AK552" s="42">
        <f t="shared" si="124"/>
        <v>893.76407999999992</v>
      </c>
      <c r="AL552" s="9">
        <f t="shared" si="125"/>
        <v>2.6113284567753248E-2</v>
      </c>
      <c r="AM552" s="42"/>
    </row>
    <row r="553" spans="1:39" x14ac:dyDescent="0.25">
      <c r="A553" t="s">
        <v>566</v>
      </c>
      <c r="B553" s="20">
        <v>44988</v>
      </c>
      <c r="C553" s="4">
        <v>45005</v>
      </c>
      <c r="D553" s="4" t="s">
        <v>1436</v>
      </c>
      <c r="E553" s="4">
        <v>45005</v>
      </c>
      <c r="F553" s="11">
        <f t="shared" si="112"/>
        <v>17</v>
      </c>
      <c r="G553" s="11" t="str">
        <f t="shared" si="115"/>
        <v>Does not Meet Target</v>
      </c>
      <c r="H553" t="s">
        <v>647</v>
      </c>
      <c r="I553" t="s">
        <v>652</v>
      </c>
      <c r="J553" t="s">
        <v>694</v>
      </c>
      <c r="K553" t="s">
        <v>705</v>
      </c>
      <c r="L553" t="s">
        <v>708</v>
      </c>
      <c r="M553" t="s">
        <v>726</v>
      </c>
      <c r="N553" t="s">
        <v>729</v>
      </c>
      <c r="O553" t="str" cm="1">
        <f t="array" ref="O553">_xlfn.IFS(S553&lt;=_xlfn.PERCENTILE.INC(IF(N553:N1183=N553, S553:S1183), 0.33), "Low", S553&lt;=_xlfn.PERCENTILE.INC(IF(N553:N1183=N553, S553:S1183), 0.66), "Medium", S553 &gt; _xlfn.PERCENTILE.INC(IF(N553:N1183=N553, S553:S1183), 0.66), "High")</f>
        <v>Medium</v>
      </c>
      <c r="P553" t="s">
        <v>1284</v>
      </c>
      <c r="Q553" s="6">
        <v>1171.17</v>
      </c>
      <c r="R553" s="6">
        <v>2030.64</v>
      </c>
      <c r="S553" s="6">
        <v>2030.64</v>
      </c>
      <c r="T553" s="9">
        <v>0.157</v>
      </c>
      <c r="U553" s="9">
        <f>IF(T553&gt;0.3, $AO$4, T553)</f>
        <v>0.157</v>
      </c>
      <c r="V553" s="7" t="str">
        <f t="shared" si="116"/>
        <v>Less than 20%</v>
      </c>
      <c r="W553" s="11">
        <v>11</v>
      </c>
      <c r="X553" s="6">
        <f t="shared" si="113"/>
        <v>18830.12472</v>
      </c>
      <c r="Y553" s="6">
        <f t="shared" si="114"/>
        <v>12882.87</v>
      </c>
      <c r="Z553" s="6">
        <f t="shared" si="117"/>
        <v>5947.254719999999</v>
      </c>
      <c r="AA553" s="9">
        <f t="shared" si="118"/>
        <v>0.31583724528830415</v>
      </c>
      <c r="AB553" s="9">
        <f>IF(U553&gt;'What-If Analysis'!$F$16, 'What-If Analysis'!$F$16,T553)</f>
        <v>0.157</v>
      </c>
      <c r="AC553" s="42">
        <f>S553*(1-AB553)</f>
        <v>1711.82952</v>
      </c>
      <c r="AD553" s="42">
        <f>Q553*(1+'What-If Analysis'!F568)</f>
        <v>1171.17</v>
      </c>
      <c r="AE553" s="41">
        <f>W553*(1+'What-If Analysis'!$F$18)</f>
        <v>12.87</v>
      </c>
      <c r="AF553" s="42">
        <f t="shared" si="119"/>
        <v>22031.245922399998</v>
      </c>
      <c r="AG553" s="42">
        <f t="shared" si="120"/>
        <v>15072.957899999999</v>
      </c>
      <c r="AH553" s="42">
        <f t="shared" si="121"/>
        <v>6958.2880223999982</v>
      </c>
      <c r="AI553" s="44">
        <f t="shared" si="122"/>
        <v>0.31583724528830415</v>
      </c>
      <c r="AJ553" s="42">
        <f t="shared" si="123"/>
        <v>3201.1212023999979</v>
      </c>
      <c r="AK553" s="42">
        <f t="shared" si="124"/>
        <v>5947.254719999999</v>
      </c>
      <c r="AL553" s="9">
        <f t="shared" si="125"/>
        <v>0</v>
      </c>
      <c r="AM553" s="42"/>
    </row>
    <row r="554" spans="1:39" x14ac:dyDescent="0.25">
      <c r="A554" t="s">
        <v>567</v>
      </c>
      <c r="B554" s="20">
        <v>45704</v>
      </c>
      <c r="C554" s="4">
        <v>45733</v>
      </c>
      <c r="D554" s="4" t="s">
        <v>1437</v>
      </c>
      <c r="E554" s="4">
        <v>45733</v>
      </c>
      <c r="F554" s="11">
        <f t="shared" si="112"/>
        <v>29</v>
      </c>
      <c r="G554" s="11" t="str">
        <f t="shared" si="115"/>
        <v>Does not Meet Target</v>
      </c>
      <c r="H554" t="s">
        <v>649</v>
      </c>
      <c r="I554" t="s">
        <v>656</v>
      </c>
      <c r="J554" t="s">
        <v>684</v>
      </c>
      <c r="K554" t="s">
        <v>704</v>
      </c>
      <c r="L554" t="s">
        <v>707</v>
      </c>
      <c r="M554" t="s">
        <v>716</v>
      </c>
      <c r="N554" t="s">
        <v>733</v>
      </c>
      <c r="O554" t="str" cm="1">
        <f t="array" ref="O554">_xlfn.IFS(S554&lt;=_xlfn.PERCENTILE.INC(IF(N554:N1184=N554, S554:S1184), 0.33), "Low", S554&lt;=_xlfn.PERCENTILE.INC(IF(N554:N1184=N554, S554:S1184), 0.66), "Medium", S554 &gt; _xlfn.PERCENTILE.INC(IF(N554:N1184=N554, S554:S1184), 0.66), "High")</f>
        <v>Medium</v>
      </c>
      <c r="P554" t="s">
        <v>1285</v>
      </c>
      <c r="Q554" s="6">
        <v>730.42</v>
      </c>
      <c r="R554" s="6">
        <v>956.7</v>
      </c>
      <c r="S554" s="6">
        <v>956.7</v>
      </c>
      <c r="T554" s="9">
        <v>4.2000000000000003E-2</v>
      </c>
      <c r="U554" s="9">
        <f>IF(T554&gt;0.3, $AO$4, T554)</f>
        <v>4.2000000000000003E-2</v>
      </c>
      <c r="V554" s="7" t="str">
        <f t="shared" si="116"/>
        <v>Less than 20%</v>
      </c>
      <c r="W554" s="11">
        <v>22</v>
      </c>
      <c r="X554" s="6">
        <f t="shared" si="113"/>
        <v>20163.409200000002</v>
      </c>
      <c r="Y554" s="6">
        <f t="shared" si="114"/>
        <v>16069.24</v>
      </c>
      <c r="Z554" s="6">
        <f t="shared" si="117"/>
        <v>4094.1692000000021</v>
      </c>
      <c r="AA554" s="9">
        <f t="shared" si="118"/>
        <v>0.20304945256975698</v>
      </c>
      <c r="AB554" s="9">
        <f>IF(U554&gt;'What-If Analysis'!$F$16, 'What-If Analysis'!$F$16,T554)</f>
        <v>4.2000000000000003E-2</v>
      </c>
      <c r="AC554" s="42">
        <f>S554*(1-AB554)</f>
        <v>916.51859999999999</v>
      </c>
      <c r="AD554" s="42">
        <f>Q554*(1+'What-If Analysis'!F569)</f>
        <v>730.42</v>
      </c>
      <c r="AE554" s="41">
        <f>W554*(1+'What-If Analysis'!$F$18)</f>
        <v>25.74</v>
      </c>
      <c r="AF554" s="42">
        <f t="shared" si="119"/>
        <v>23591.188763999999</v>
      </c>
      <c r="AG554" s="42">
        <f t="shared" si="120"/>
        <v>18801.010799999996</v>
      </c>
      <c r="AH554" s="42">
        <f t="shared" si="121"/>
        <v>4790.1779640000022</v>
      </c>
      <c r="AI554" s="44">
        <f t="shared" si="122"/>
        <v>0.20304945256975701</v>
      </c>
      <c r="AJ554" s="42">
        <f t="shared" si="123"/>
        <v>3427.7795639999968</v>
      </c>
      <c r="AK554" s="42">
        <f t="shared" si="124"/>
        <v>4094.1692000000021</v>
      </c>
      <c r="AL554" s="9">
        <f t="shared" si="125"/>
        <v>0</v>
      </c>
      <c r="AM554" s="42"/>
    </row>
    <row r="555" spans="1:39" x14ac:dyDescent="0.25">
      <c r="A555" t="s">
        <v>568</v>
      </c>
      <c r="B555" s="20">
        <v>45703</v>
      </c>
      <c r="C555" s="4">
        <v>45717</v>
      </c>
      <c r="D555" s="4" t="s">
        <v>1437</v>
      </c>
      <c r="E555" s="4">
        <v>45717</v>
      </c>
      <c r="F555" s="11">
        <f t="shared" si="112"/>
        <v>14</v>
      </c>
      <c r="G555" s="11" t="str">
        <f t="shared" si="115"/>
        <v>Does not Meet Target</v>
      </c>
      <c r="H555" t="s">
        <v>646</v>
      </c>
      <c r="I555" t="s">
        <v>650</v>
      </c>
      <c r="J555" t="s">
        <v>675</v>
      </c>
      <c r="K555" t="s">
        <v>702</v>
      </c>
      <c r="L555" t="s">
        <v>711</v>
      </c>
      <c r="M555" t="s">
        <v>716</v>
      </c>
      <c r="N555" t="s">
        <v>733</v>
      </c>
      <c r="O555" t="str" cm="1">
        <f t="array" ref="O555">_xlfn.IFS(S555&lt;=_xlfn.PERCENTILE.INC(IF(N555:N1185=N555, S555:S1185), 0.33), "Low", S555&lt;=_xlfn.PERCENTILE.INC(IF(N555:N1185=N555, S555:S1185), 0.66), "Medium", S555 &gt; _xlfn.PERCENTILE.INC(IF(N555:N1185=N555, S555:S1185), 0.66), "High")</f>
        <v>High</v>
      </c>
      <c r="P555" t="s">
        <v>1286</v>
      </c>
      <c r="Q555" s="6">
        <v>1162.8599999999999</v>
      </c>
      <c r="R555" s="6">
        <v>1447.68</v>
      </c>
      <c r="S555" s="6">
        <v>1447.68</v>
      </c>
      <c r="T555" s="9">
        <v>8.6999999999999994E-2</v>
      </c>
      <c r="U555" s="9">
        <f>IF(T555&gt;0.3, $AO$4, T555)</f>
        <v>8.6999999999999994E-2</v>
      </c>
      <c r="V555" s="7" t="str">
        <f t="shared" si="116"/>
        <v>Less than 20%</v>
      </c>
      <c r="W555" s="11">
        <v>12</v>
      </c>
      <c r="X555" s="6">
        <f t="shared" si="113"/>
        <v>15860.782080000001</v>
      </c>
      <c r="Y555" s="6">
        <f t="shared" si="114"/>
        <v>13954.32</v>
      </c>
      <c r="Z555" s="6">
        <f t="shared" si="117"/>
        <v>1906.4620800000012</v>
      </c>
      <c r="AA555" s="9">
        <f t="shared" si="118"/>
        <v>0.12019975247021369</v>
      </c>
      <c r="AB555" s="9">
        <f>IF(U555&gt;'What-If Analysis'!$F$16, 'What-If Analysis'!$F$16,T555)</f>
        <v>8.6999999999999994E-2</v>
      </c>
      <c r="AC555" s="42">
        <f>S555*(1-AB555)</f>
        <v>1321.7318400000001</v>
      </c>
      <c r="AD555" s="42">
        <f>Q555*(1+'What-If Analysis'!F570)</f>
        <v>1162.8599999999999</v>
      </c>
      <c r="AE555" s="41">
        <f>W555*(1+'What-If Analysis'!$F$18)</f>
        <v>14.04</v>
      </c>
      <c r="AF555" s="42">
        <f t="shared" si="119"/>
        <v>18557.115033599999</v>
      </c>
      <c r="AG555" s="42">
        <f t="shared" si="120"/>
        <v>16326.554399999997</v>
      </c>
      <c r="AH555" s="42">
        <f t="shared" si="121"/>
        <v>2230.5606336000019</v>
      </c>
      <c r="AI555" s="44">
        <f t="shared" si="122"/>
        <v>0.12019975247021374</v>
      </c>
      <c r="AJ555" s="42">
        <f t="shared" si="123"/>
        <v>2696.3329535999983</v>
      </c>
      <c r="AK555" s="42">
        <f t="shared" si="124"/>
        <v>1906.4620800000012</v>
      </c>
      <c r="AL555" s="9">
        <f t="shared" si="125"/>
        <v>0</v>
      </c>
      <c r="AM555" s="42"/>
    </row>
    <row r="556" spans="1:39" x14ac:dyDescent="0.25">
      <c r="A556" t="s">
        <v>569</v>
      </c>
      <c r="B556" s="20">
        <v>45535</v>
      </c>
      <c r="C556" s="4">
        <v>45561</v>
      </c>
      <c r="D556" s="4" t="s">
        <v>1443</v>
      </c>
      <c r="E556" s="4">
        <v>45561</v>
      </c>
      <c r="F556" s="11">
        <f t="shared" si="112"/>
        <v>26</v>
      </c>
      <c r="G556" s="11" t="str">
        <f t="shared" si="115"/>
        <v>Does not Meet Target</v>
      </c>
      <c r="H556" t="s">
        <v>647</v>
      </c>
      <c r="I556" t="s">
        <v>652</v>
      </c>
      <c r="J556" t="s">
        <v>689</v>
      </c>
      <c r="K556" t="s">
        <v>702</v>
      </c>
      <c r="L556" t="s">
        <v>708</v>
      </c>
      <c r="M556" t="s">
        <v>714</v>
      </c>
      <c r="N556" t="s">
        <v>730</v>
      </c>
      <c r="O556" t="str" cm="1">
        <f t="array" ref="O556">_xlfn.IFS(S556&lt;=_xlfn.PERCENTILE.INC(IF(N556:N1186=N556, S556:S1186), 0.33), "Low", S556&lt;=_xlfn.PERCENTILE.INC(IF(N556:N1186=N556, S556:S1186), 0.66), "Medium", S556 &gt; _xlfn.PERCENTILE.INC(IF(N556:N1186=N556, S556:S1186), 0.66), "High")</f>
        <v>High</v>
      </c>
      <c r="P556" t="s">
        <v>1287</v>
      </c>
      <c r="Q556" s="6">
        <v>1189.03</v>
      </c>
      <c r="R556" s="6">
        <v>2949.62</v>
      </c>
      <c r="S556" s="6">
        <v>2949.62</v>
      </c>
      <c r="T556" s="9">
        <v>0.125</v>
      </c>
      <c r="U556" s="9">
        <f>IF(T556&gt;0.3, $AO$4, T556)</f>
        <v>0.125</v>
      </c>
      <c r="V556" s="7" t="str">
        <f t="shared" si="116"/>
        <v>Less than 20%</v>
      </c>
      <c r="W556" s="11">
        <v>13</v>
      </c>
      <c r="X556" s="6">
        <f t="shared" si="113"/>
        <v>33551.927499999998</v>
      </c>
      <c r="Y556" s="6">
        <f t="shared" si="114"/>
        <v>15457.39</v>
      </c>
      <c r="Z556" s="6">
        <f t="shared" si="117"/>
        <v>18094.537499999999</v>
      </c>
      <c r="AA556" s="9">
        <f t="shared" si="118"/>
        <v>0.53929949330034765</v>
      </c>
      <c r="AB556" s="9">
        <f>IF(U556&gt;'What-If Analysis'!$F$16, 'What-If Analysis'!$F$16,T556)</f>
        <v>0.125</v>
      </c>
      <c r="AC556" s="42">
        <f>S556*(1-AB556)</f>
        <v>2580.9175</v>
      </c>
      <c r="AD556" s="42">
        <f>Q556*(1+'What-If Analysis'!F571)</f>
        <v>1189.03</v>
      </c>
      <c r="AE556" s="41">
        <f>W556*(1+'What-If Analysis'!$F$18)</f>
        <v>15.209999999999999</v>
      </c>
      <c r="AF556" s="42">
        <f t="shared" si="119"/>
        <v>39255.755174999998</v>
      </c>
      <c r="AG556" s="42">
        <f t="shared" si="120"/>
        <v>18085.146299999997</v>
      </c>
      <c r="AH556" s="42">
        <f t="shared" si="121"/>
        <v>21170.608875000002</v>
      </c>
      <c r="AI556" s="44">
        <f t="shared" si="122"/>
        <v>0.53929949330034777</v>
      </c>
      <c r="AJ556" s="42">
        <f t="shared" si="123"/>
        <v>5703.8276750000005</v>
      </c>
      <c r="AK556" s="42">
        <f t="shared" si="124"/>
        <v>18094.537499999999</v>
      </c>
      <c r="AL556" s="9">
        <f t="shared" si="125"/>
        <v>0</v>
      </c>
      <c r="AM556" s="42"/>
    </row>
    <row r="557" spans="1:39" x14ac:dyDescent="0.25">
      <c r="A557" t="s">
        <v>570</v>
      </c>
      <c r="B557" s="20">
        <v>45053</v>
      </c>
      <c r="C557" s="4">
        <v>45066</v>
      </c>
      <c r="D557" s="4" t="s">
        <v>1442</v>
      </c>
      <c r="E557" s="4">
        <v>45066</v>
      </c>
      <c r="F557" s="11">
        <f t="shared" si="112"/>
        <v>13</v>
      </c>
      <c r="G557" s="11" t="str">
        <f t="shared" si="115"/>
        <v>Does not Meet Target</v>
      </c>
      <c r="H557" t="s">
        <v>647</v>
      </c>
      <c r="I557" t="s">
        <v>654</v>
      </c>
      <c r="J557" t="s">
        <v>691</v>
      </c>
      <c r="K557" t="s">
        <v>706</v>
      </c>
      <c r="L557" t="s">
        <v>707</v>
      </c>
      <c r="M557" t="s">
        <v>726</v>
      </c>
      <c r="N557" t="s">
        <v>733</v>
      </c>
      <c r="O557" t="str" cm="1">
        <f t="array" ref="O557">_xlfn.IFS(S557&lt;=_xlfn.PERCENTILE.INC(IF(N557:N1187=N557, S557:S1187), 0.33), "Low", S557&lt;=_xlfn.PERCENTILE.INC(IF(N557:N1187=N557, S557:S1187), 0.66), "Medium", S557 &gt; _xlfn.PERCENTILE.INC(IF(N557:N1187=N557, S557:S1187), 0.66), "High")</f>
        <v>High</v>
      </c>
      <c r="P557" t="s">
        <v>1288</v>
      </c>
      <c r="Q557" s="6">
        <v>1443.28</v>
      </c>
      <c r="R557" s="6">
        <v>2580.5700000000002</v>
      </c>
      <c r="S557" s="6">
        <v>2580.5700000000002</v>
      </c>
      <c r="T557" s="9">
        <v>0</v>
      </c>
      <c r="U557" s="9">
        <f>IF(T557&gt;0.3, $AO$4, T557)</f>
        <v>0</v>
      </c>
      <c r="V557" s="7" t="str">
        <f t="shared" si="116"/>
        <v>Less than 20%</v>
      </c>
      <c r="W557" s="11">
        <v>18</v>
      </c>
      <c r="X557" s="6">
        <f t="shared" si="113"/>
        <v>46450.26</v>
      </c>
      <c r="Y557" s="6">
        <f t="shared" si="114"/>
        <v>25979.040000000001</v>
      </c>
      <c r="Z557" s="6">
        <f t="shared" si="117"/>
        <v>20471.22</v>
      </c>
      <c r="AA557" s="9">
        <f t="shared" si="118"/>
        <v>0.4407127107577008</v>
      </c>
      <c r="AB557" s="9">
        <f>IF(U557&gt;'What-If Analysis'!$F$16, 'What-If Analysis'!$F$16,T557)</f>
        <v>0</v>
      </c>
      <c r="AC557" s="42">
        <f>S557*(1-AB557)</f>
        <v>2580.5700000000002</v>
      </c>
      <c r="AD557" s="42">
        <f>Q557*(1+'What-If Analysis'!F572)</f>
        <v>1443.28</v>
      </c>
      <c r="AE557" s="41">
        <f>W557*(1+'What-If Analysis'!$F$18)</f>
        <v>21.06</v>
      </c>
      <c r="AF557" s="42">
        <f t="shared" si="119"/>
        <v>54346.804199999999</v>
      </c>
      <c r="AG557" s="42">
        <f t="shared" si="120"/>
        <v>30395.476799999997</v>
      </c>
      <c r="AH557" s="42">
        <f t="shared" si="121"/>
        <v>23951.327400000002</v>
      </c>
      <c r="AI557" s="44">
        <f t="shared" si="122"/>
        <v>0.44071271075770085</v>
      </c>
      <c r="AJ557" s="42">
        <f t="shared" si="123"/>
        <v>7896.5441999999966</v>
      </c>
      <c r="AK557" s="42">
        <f t="shared" si="124"/>
        <v>20471.22</v>
      </c>
      <c r="AL557" s="9">
        <f t="shared" si="125"/>
        <v>0</v>
      </c>
      <c r="AM557" s="42"/>
    </row>
    <row r="558" spans="1:39" x14ac:dyDescent="0.25">
      <c r="A558" t="s">
        <v>571</v>
      </c>
      <c r="B558" s="20">
        <v>45791</v>
      </c>
      <c r="C558" s="4">
        <v>45789</v>
      </c>
      <c r="D558" s="4" t="s">
        <v>1440</v>
      </c>
      <c r="E558" s="4">
        <v>45809</v>
      </c>
      <c r="F558" s="11">
        <f t="shared" si="112"/>
        <v>18</v>
      </c>
      <c r="G558" s="11" t="str">
        <f t="shared" si="115"/>
        <v>Does not Meet Target</v>
      </c>
      <c r="H558" t="s">
        <v>648</v>
      </c>
      <c r="I558" t="s">
        <v>653</v>
      </c>
      <c r="J558" t="s">
        <v>688</v>
      </c>
      <c r="K558" t="s">
        <v>703</v>
      </c>
      <c r="L558" t="s">
        <v>710</v>
      </c>
      <c r="M558" t="s">
        <v>721</v>
      </c>
      <c r="N558" t="s">
        <v>728</v>
      </c>
      <c r="O558" t="str" cm="1">
        <f t="array" ref="O558">_xlfn.IFS(S558&lt;=_xlfn.PERCENTILE.INC(IF(N558:N1188=N558, S558:S1188), 0.33), "Low", S558&lt;=_xlfn.PERCENTILE.INC(IF(N558:N1188=N558, S558:S1188), 0.66), "Medium", S558 &gt; _xlfn.PERCENTILE.INC(IF(N558:N1188=N558, S558:S1188), 0.66), "High")</f>
        <v>High</v>
      </c>
      <c r="P558" t="s">
        <v>1289</v>
      </c>
      <c r="Q558" s="6">
        <v>883.5</v>
      </c>
      <c r="R558" s="6">
        <v>1978.91</v>
      </c>
      <c r="S558" s="6">
        <v>1978.91</v>
      </c>
      <c r="T558" s="9">
        <v>5.3999999999999999E-2</v>
      </c>
      <c r="U558" s="9">
        <f>IF(T558&gt;0.3, $AO$4, T558)</f>
        <v>5.3999999999999999E-2</v>
      </c>
      <c r="V558" s="7" t="str">
        <f t="shared" si="116"/>
        <v>Less than 20%</v>
      </c>
      <c r="W558" s="11">
        <v>27</v>
      </c>
      <c r="X558" s="6">
        <f t="shared" si="113"/>
        <v>50545.319219999998</v>
      </c>
      <c r="Y558" s="6">
        <f t="shared" si="114"/>
        <v>23854.5</v>
      </c>
      <c r="Z558" s="6">
        <f t="shared" si="117"/>
        <v>26690.819219999998</v>
      </c>
      <c r="AA558" s="9">
        <f t="shared" si="118"/>
        <v>0.52805718970390547</v>
      </c>
      <c r="AB558" s="9">
        <f>IF(U558&gt;'What-If Analysis'!$F$16, 'What-If Analysis'!$F$16,T558)</f>
        <v>5.3999999999999999E-2</v>
      </c>
      <c r="AC558" s="42">
        <f>S558*(1-AB558)</f>
        <v>1872.0488599999999</v>
      </c>
      <c r="AD558" s="42">
        <f>Q558*(1+'What-If Analysis'!F573)</f>
        <v>883.5</v>
      </c>
      <c r="AE558" s="41">
        <f>W558*(1+'What-If Analysis'!$F$18)</f>
        <v>31.589999999999996</v>
      </c>
      <c r="AF558" s="42">
        <f t="shared" si="119"/>
        <v>59138.023487399987</v>
      </c>
      <c r="AG558" s="42">
        <f t="shared" si="120"/>
        <v>27909.764999999996</v>
      </c>
      <c r="AH558" s="42">
        <f t="shared" si="121"/>
        <v>31228.258487399991</v>
      </c>
      <c r="AI558" s="44">
        <f t="shared" si="122"/>
        <v>0.52805718970390547</v>
      </c>
      <c r="AJ558" s="42">
        <f t="shared" si="123"/>
        <v>8592.7042673999895</v>
      </c>
      <c r="AK558" s="42">
        <f t="shared" si="124"/>
        <v>26690.819219999998</v>
      </c>
      <c r="AL558" s="9">
        <f t="shared" si="125"/>
        <v>0</v>
      </c>
      <c r="AM558" s="42"/>
    </row>
    <row r="559" spans="1:39" x14ac:dyDescent="0.25">
      <c r="A559" t="s">
        <v>572</v>
      </c>
      <c r="B559" s="20">
        <v>45362</v>
      </c>
      <c r="C559" s="4">
        <v>45380</v>
      </c>
      <c r="D559" s="4" t="s">
        <v>1434</v>
      </c>
      <c r="E559" s="4">
        <v>45380</v>
      </c>
      <c r="F559" s="11">
        <f t="shared" si="112"/>
        <v>18</v>
      </c>
      <c r="G559" s="11" t="str">
        <f t="shared" si="115"/>
        <v>Does not Meet Target</v>
      </c>
      <c r="H559" t="s">
        <v>648</v>
      </c>
      <c r="I559" t="s">
        <v>660</v>
      </c>
      <c r="J559" t="s">
        <v>700</v>
      </c>
      <c r="K559" t="s">
        <v>701</v>
      </c>
      <c r="L559" t="s">
        <v>707</v>
      </c>
      <c r="M559" t="s">
        <v>724</v>
      </c>
      <c r="N559" t="s">
        <v>732</v>
      </c>
      <c r="O559" t="str" cm="1">
        <f t="array" ref="O559">_xlfn.IFS(S559&lt;=_xlfn.PERCENTILE.INC(IF(N559:N1189=N559, S559:S1189), 0.33), "Low", S559&lt;=_xlfn.PERCENTILE.INC(IF(N559:N1189=N559, S559:S1189), 0.66), "Medium", S559 &gt; _xlfn.PERCENTILE.INC(IF(N559:N1189=N559, S559:S1189), 0.66), "High")</f>
        <v>High</v>
      </c>
      <c r="P559" t="s">
        <v>1290</v>
      </c>
      <c r="Q559" s="6">
        <v>710.98</v>
      </c>
      <c r="R559" s="6">
        <v>1481.45</v>
      </c>
      <c r="S559" s="6">
        <v>1481.45</v>
      </c>
      <c r="T559" s="9">
        <v>0.21099999999999999</v>
      </c>
      <c r="U559" s="9">
        <f>IF(T559&gt;0.3, $AO$4, T559)</f>
        <v>0.21099999999999999</v>
      </c>
      <c r="V559" s="7" t="str">
        <f t="shared" si="116"/>
        <v>Greater than 20%</v>
      </c>
      <c r="W559" s="11">
        <v>9</v>
      </c>
      <c r="X559" s="6">
        <f t="shared" si="113"/>
        <v>10519.776450000001</v>
      </c>
      <c r="Y559" s="6">
        <f t="shared" si="114"/>
        <v>6398.82</v>
      </c>
      <c r="Z559" s="6">
        <f t="shared" si="117"/>
        <v>4120.9564500000015</v>
      </c>
      <c r="AA559" s="9">
        <f t="shared" si="118"/>
        <v>0.39173422264120461</v>
      </c>
      <c r="AB559" s="9">
        <f>IF(U559&gt;'What-If Analysis'!$F$16, 'What-If Analysis'!$F$16,T559)</f>
        <v>0.17</v>
      </c>
      <c r="AC559" s="42">
        <f>S559*(1-AB559)</f>
        <v>1229.6034999999999</v>
      </c>
      <c r="AD559" s="42">
        <f>Q559*(1+'What-If Analysis'!F574)</f>
        <v>710.98</v>
      </c>
      <c r="AE559" s="41">
        <f>W559*(1+'What-If Analysis'!$F$18)</f>
        <v>10.53</v>
      </c>
      <c r="AF559" s="42">
        <f t="shared" si="119"/>
        <v>12947.724854999999</v>
      </c>
      <c r="AG559" s="42">
        <f t="shared" si="120"/>
        <v>7486.6193999999996</v>
      </c>
      <c r="AH559" s="42">
        <f t="shared" si="121"/>
        <v>5461.105454999999</v>
      </c>
      <c r="AI559" s="44">
        <f t="shared" si="122"/>
        <v>0.42178108634206063</v>
      </c>
      <c r="AJ559" s="42">
        <f t="shared" si="123"/>
        <v>2427.9484049999974</v>
      </c>
      <c r="AK559" s="42">
        <f t="shared" si="124"/>
        <v>4120.9564500000015</v>
      </c>
      <c r="AL559" s="9">
        <f t="shared" si="125"/>
        <v>3.0046863700856019E-2</v>
      </c>
      <c r="AM559" s="42"/>
    </row>
    <row r="560" spans="1:39" x14ac:dyDescent="0.25">
      <c r="A560" t="s">
        <v>573</v>
      </c>
      <c r="B560" s="20">
        <v>45430</v>
      </c>
      <c r="C560" s="4">
        <v>45434</v>
      </c>
      <c r="D560" s="4" t="s">
        <v>1439</v>
      </c>
      <c r="E560" s="4">
        <v>45434</v>
      </c>
      <c r="F560" s="11">
        <f t="shared" si="112"/>
        <v>4</v>
      </c>
      <c r="G560" s="11" t="str">
        <f t="shared" si="115"/>
        <v>Meets Target</v>
      </c>
      <c r="H560" t="s">
        <v>646</v>
      </c>
      <c r="I560" t="s">
        <v>650</v>
      </c>
      <c r="J560" t="s">
        <v>664</v>
      </c>
      <c r="K560" t="s">
        <v>701</v>
      </c>
      <c r="L560" t="s">
        <v>711</v>
      </c>
      <c r="M560" t="s">
        <v>722</v>
      </c>
      <c r="N560" t="s">
        <v>733</v>
      </c>
      <c r="O560" t="str" cm="1">
        <f t="array" ref="O560">_xlfn.IFS(S560&lt;=_xlfn.PERCENTILE.INC(IF(N560:N1190=N560, S560:S1190), 0.33), "Low", S560&lt;=_xlfn.PERCENTILE.INC(IF(N560:N1190=N560, S560:S1190), 0.66), "Medium", S560 &gt; _xlfn.PERCENTILE.INC(IF(N560:N1190=N560, S560:S1190), 0.66), "High")</f>
        <v>High</v>
      </c>
      <c r="P560" t="s">
        <v>1291</v>
      </c>
      <c r="Q560" s="6">
        <v>857.42</v>
      </c>
      <c r="R560" s="6">
        <v>1658.92</v>
      </c>
      <c r="S560" s="6">
        <v>1658.92</v>
      </c>
      <c r="T560" s="9">
        <v>0.122</v>
      </c>
      <c r="U560" s="9">
        <f>IF(T560&gt;0.3, $AO$4, T560)</f>
        <v>0.122</v>
      </c>
      <c r="V560" s="7" t="str">
        <f t="shared" si="116"/>
        <v>Less than 20%</v>
      </c>
      <c r="W560" s="11">
        <v>9</v>
      </c>
      <c r="X560" s="6">
        <f t="shared" si="113"/>
        <v>13108.78584</v>
      </c>
      <c r="Y560" s="6">
        <f t="shared" si="114"/>
        <v>7716.78</v>
      </c>
      <c r="Z560" s="6">
        <f t="shared" si="117"/>
        <v>5392.0058400000007</v>
      </c>
      <c r="AA560" s="9">
        <f t="shared" si="118"/>
        <v>0.41132763215544305</v>
      </c>
      <c r="AB560" s="9">
        <f>IF(U560&gt;'What-If Analysis'!$F$16, 'What-If Analysis'!$F$16,T560)</f>
        <v>0.122</v>
      </c>
      <c r="AC560" s="42">
        <f>S560*(1-AB560)</f>
        <v>1456.5317600000001</v>
      </c>
      <c r="AD560" s="42">
        <f>Q560*(1+'What-If Analysis'!F575)</f>
        <v>857.42</v>
      </c>
      <c r="AE560" s="41">
        <f>W560*(1+'What-If Analysis'!$F$18)</f>
        <v>10.53</v>
      </c>
      <c r="AF560" s="42">
        <f t="shared" si="119"/>
        <v>15337.2794328</v>
      </c>
      <c r="AG560" s="42">
        <f t="shared" si="120"/>
        <v>9028.632599999999</v>
      </c>
      <c r="AH560" s="42">
        <f t="shared" si="121"/>
        <v>6308.646832800001</v>
      </c>
      <c r="AI560" s="44">
        <f t="shared" si="122"/>
        <v>0.4113276321554431</v>
      </c>
      <c r="AJ560" s="42">
        <f t="shared" si="123"/>
        <v>2228.4935927999995</v>
      </c>
      <c r="AK560" s="42">
        <f t="shared" si="124"/>
        <v>5392.0058400000007</v>
      </c>
      <c r="AL560" s="9">
        <f t="shared" si="125"/>
        <v>0</v>
      </c>
      <c r="AM560" s="42"/>
    </row>
    <row r="561" spans="1:39" x14ac:dyDescent="0.25">
      <c r="A561" t="s">
        <v>574</v>
      </c>
      <c r="B561" s="20">
        <v>45299</v>
      </c>
      <c r="C561" s="4">
        <v>45303</v>
      </c>
      <c r="D561" s="4" t="s">
        <v>1434</v>
      </c>
      <c r="E561" s="4">
        <v>45303</v>
      </c>
      <c r="F561" s="11">
        <f t="shared" si="112"/>
        <v>4</v>
      </c>
      <c r="G561" s="11" t="str">
        <f t="shared" si="115"/>
        <v>Meets Target</v>
      </c>
      <c r="H561" t="s">
        <v>647</v>
      </c>
      <c r="I561" t="s">
        <v>654</v>
      </c>
      <c r="J561" t="s">
        <v>668</v>
      </c>
      <c r="K561" t="s">
        <v>701</v>
      </c>
      <c r="L561" t="s">
        <v>711</v>
      </c>
      <c r="M561" t="s">
        <v>718</v>
      </c>
      <c r="N561" t="s">
        <v>728</v>
      </c>
      <c r="O561" t="str" cm="1">
        <f t="array" ref="O561">_xlfn.IFS(S561&lt;=_xlfn.PERCENTILE.INC(IF(N561:N1191=N561, S561:S1191), 0.33), "Low", S561&lt;=_xlfn.PERCENTILE.INC(IF(N561:N1191=N561, S561:S1191), 0.66), "Medium", S561 &gt; _xlfn.PERCENTILE.INC(IF(N561:N1191=N561, S561:S1191), 0.66), "High")</f>
        <v>Low</v>
      </c>
      <c r="P561" t="s">
        <v>1292</v>
      </c>
      <c r="Q561" s="6">
        <v>802.32</v>
      </c>
      <c r="R561" s="6">
        <v>602.34</v>
      </c>
      <c r="S561" s="6">
        <v>602.34</v>
      </c>
      <c r="T561" s="9">
        <v>0.12</v>
      </c>
      <c r="U561" s="9">
        <f>IF(T561&gt;0.3, $AO$4, T561)</f>
        <v>0.12</v>
      </c>
      <c r="V561" s="7" t="str">
        <f t="shared" si="116"/>
        <v>Less than 20%</v>
      </c>
      <c r="W561" s="11">
        <v>25</v>
      </c>
      <c r="X561" s="6">
        <f t="shared" si="113"/>
        <v>13251.48</v>
      </c>
      <c r="Y561" s="6">
        <f t="shared" si="114"/>
        <v>20058</v>
      </c>
      <c r="Z561" s="6">
        <f t="shared" si="117"/>
        <v>-6806.52</v>
      </c>
      <c r="AA561" s="9">
        <f t="shared" si="118"/>
        <v>-0.51364224977134632</v>
      </c>
      <c r="AB561" s="9">
        <f>IF(U561&gt;'What-If Analysis'!$F$16, 'What-If Analysis'!$F$16,T561)</f>
        <v>0.12</v>
      </c>
      <c r="AC561" s="42">
        <f>S561*(1-AB561)</f>
        <v>530.05920000000003</v>
      </c>
      <c r="AD561" s="42">
        <f>Q561*(1+'What-If Analysis'!F576)</f>
        <v>802.32</v>
      </c>
      <c r="AE561" s="41">
        <f>W561*(1+'What-If Analysis'!$F$18)</f>
        <v>29.25</v>
      </c>
      <c r="AF561" s="42">
        <f t="shared" si="119"/>
        <v>15504.231600000001</v>
      </c>
      <c r="AG561" s="42">
        <f t="shared" si="120"/>
        <v>23467.86</v>
      </c>
      <c r="AH561" s="42">
        <f t="shared" si="121"/>
        <v>-7963.6283999999996</v>
      </c>
      <c r="AI561" s="44">
        <f t="shared" si="122"/>
        <v>-0.5136422497713462</v>
      </c>
      <c r="AJ561" s="42">
        <f t="shared" si="123"/>
        <v>2252.7516000000014</v>
      </c>
      <c r="AK561" s="42">
        <f t="shared" si="124"/>
        <v>-6806.52</v>
      </c>
      <c r="AL561" s="9">
        <f t="shared" si="125"/>
        <v>0</v>
      </c>
      <c r="AM561" s="42"/>
    </row>
    <row r="562" spans="1:39" x14ac:dyDescent="0.25">
      <c r="A562" t="s">
        <v>575</v>
      </c>
      <c r="B562" s="20">
        <v>45590</v>
      </c>
      <c r="C562" s="4">
        <v>45601</v>
      </c>
      <c r="D562" s="4" t="s">
        <v>1435</v>
      </c>
      <c r="E562" s="4">
        <v>45601</v>
      </c>
      <c r="F562" s="11">
        <f t="shared" si="112"/>
        <v>11</v>
      </c>
      <c r="G562" s="11" t="str">
        <f t="shared" si="115"/>
        <v>Does not Meet Target</v>
      </c>
      <c r="H562" t="s">
        <v>648</v>
      </c>
      <c r="I562" t="s">
        <v>660</v>
      </c>
      <c r="J562" t="s">
        <v>700</v>
      </c>
      <c r="K562" t="s">
        <v>701</v>
      </c>
      <c r="L562" t="s">
        <v>710</v>
      </c>
      <c r="M562" t="s">
        <v>725</v>
      </c>
      <c r="N562" t="s">
        <v>727</v>
      </c>
      <c r="O562" t="str" cm="1">
        <f t="array" ref="O562">_xlfn.IFS(S562&lt;=_xlfn.PERCENTILE.INC(IF(N562:N1192=N562, S562:S1192), 0.33), "Low", S562&lt;=_xlfn.PERCENTILE.INC(IF(N562:N1192=N562, S562:S1192), 0.66), "Medium", S562 &gt; _xlfn.PERCENTILE.INC(IF(N562:N1192=N562, S562:S1192), 0.66), "High")</f>
        <v>Low</v>
      </c>
      <c r="P562" t="s">
        <v>1293</v>
      </c>
      <c r="Q562" s="6">
        <v>446.66</v>
      </c>
      <c r="R562" s="6">
        <v>527.64</v>
      </c>
      <c r="S562" s="6">
        <v>527.64</v>
      </c>
      <c r="T562" s="9">
        <v>0.14499999999999999</v>
      </c>
      <c r="U562" s="9">
        <f>IF(T562&gt;0.3, $AO$4, T562)</f>
        <v>0.14499999999999999</v>
      </c>
      <c r="V562" s="7" t="str">
        <f t="shared" si="116"/>
        <v>Less than 20%</v>
      </c>
      <c r="W562" s="11">
        <v>15</v>
      </c>
      <c r="X562" s="6">
        <f t="shared" si="113"/>
        <v>6766.9829999999993</v>
      </c>
      <c r="Y562" s="6">
        <f t="shared" si="114"/>
        <v>6699.9000000000005</v>
      </c>
      <c r="Z562" s="6">
        <f t="shared" si="117"/>
        <v>67.082999999998719</v>
      </c>
      <c r="AA562" s="9">
        <f t="shared" si="118"/>
        <v>9.9132804087137105E-3</v>
      </c>
      <c r="AB562" s="9">
        <f>IF(U562&gt;'What-If Analysis'!$F$16, 'What-If Analysis'!$F$16,T562)</f>
        <v>0.14499999999999999</v>
      </c>
      <c r="AC562" s="42">
        <f>S562*(1-AB562)</f>
        <v>451.13219999999995</v>
      </c>
      <c r="AD562" s="42">
        <f>Q562*(1+'What-If Analysis'!F577)</f>
        <v>446.66</v>
      </c>
      <c r="AE562" s="41">
        <f>W562*(1+'What-If Analysis'!$F$18)</f>
        <v>17.549999999999997</v>
      </c>
      <c r="AF562" s="42">
        <f t="shared" si="119"/>
        <v>7917.370109999998</v>
      </c>
      <c r="AG562" s="42">
        <f t="shared" si="120"/>
        <v>7838.8829999999989</v>
      </c>
      <c r="AH562" s="42">
        <f t="shared" si="121"/>
        <v>78.48710999999912</v>
      </c>
      <c r="AI562" s="44">
        <f t="shared" si="122"/>
        <v>9.9132804087137903E-3</v>
      </c>
      <c r="AJ562" s="42">
        <f t="shared" si="123"/>
        <v>1150.3871099999988</v>
      </c>
      <c r="AK562" s="42">
        <f t="shared" si="124"/>
        <v>67.082999999998719</v>
      </c>
      <c r="AL562" s="9">
        <f t="shared" si="125"/>
        <v>7.9797279894933126E-17</v>
      </c>
      <c r="AM562" s="42"/>
    </row>
    <row r="563" spans="1:39" x14ac:dyDescent="0.25">
      <c r="A563" t="s">
        <v>576</v>
      </c>
      <c r="B563" s="20">
        <v>45626</v>
      </c>
      <c r="C563" s="4">
        <v>45645</v>
      </c>
      <c r="D563" s="4" t="s">
        <v>1435</v>
      </c>
      <c r="E563" s="4">
        <v>45645</v>
      </c>
      <c r="F563" s="11">
        <f t="shared" si="112"/>
        <v>19</v>
      </c>
      <c r="G563" s="11" t="str">
        <f t="shared" si="115"/>
        <v>Does not Meet Target</v>
      </c>
      <c r="H563" t="s">
        <v>646</v>
      </c>
      <c r="I563" t="s">
        <v>650</v>
      </c>
      <c r="J563" t="s">
        <v>662</v>
      </c>
      <c r="K563" t="s">
        <v>701</v>
      </c>
      <c r="L563" t="s">
        <v>708</v>
      </c>
      <c r="M563" t="s">
        <v>716</v>
      </c>
      <c r="N563" t="s">
        <v>730</v>
      </c>
      <c r="O563" t="str" cm="1">
        <f t="array" ref="O563">_xlfn.IFS(S563&lt;=_xlfn.PERCENTILE.INC(IF(N563:N1193=N563, S563:S1193), 0.33), "Low", S563&lt;=_xlfn.PERCENTILE.INC(IF(N563:N1193=N563, S563:S1193), 0.66), "Medium", S563 &gt; _xlfn.PERCENTILE.INC(IF(N563:N1193=N563, S563:S1193), 0.66), "High")</f>
        <v>Medium</v>
      </c>
      <c r="P563" t="s">
        <v>1294</v>
      </c>
      <c r="Q563" s="6">
        <v>1195.98</v>
      </c>
      <c r="R563" s="6">
        <v>1841.9</v>
      </c>
      <c r="S563" s="6">
        <v>1841.9</v>
      </c>
      <c r="T563" s="9">
        <v>5.5E-2</v>
      </c>
      <c r="U563" s="9">
        <f>IF(T563&gt;0.3, $AO$4, T563)</f>
        <v>5.5E-2</v>
      </c>
      <c r="V563" s="7" t="str">
        <f t="shared" si="116"/>
        <v>Less than 20%</v>
      </c>
      <c r="W563" s="11">
        <v>19</v>
      </c>
      <c r="X563" s="6">
        <f t="shared" si="113"/>
        <v>33071.3145</v>
      </c>
      <c r="Y563" s="6">
        <f t="shared" si="114"/>
        <v>22723.62</v>
      </c>
      <c r="Z563" s="6">
        <f t="shared" si="117"/>
        <v>10347.694500000001</v>
      </c>
      <c r="AA563" s="9">
        <f t="shared" si="118"/>
        <v>0.31289032977506842</v>
      </c>
      <c r="AB563" s="9">
        <f>IF(U563&gt;'What-If Analysis'!$F$16, 'What-If Analysis'!$F$16,T563)</f>
        <v>5.5E-2</v>
      </c>
      <c r="AC563" s="42">
        <f>S563*(1-AB563)</f>
        <v>1740.5954999999999</v>
      </c>
      <c r="AD563" s="42">
        <f>Q563*(1+'What-If Analysis'!F578)</f>
        <v>1195.98</v>
      </c>
      <c r="AE563" s="41">
        <f>W563*(1+'What-If Analysis'!$F$18)</f>
        <v>22.229999999999997</v>
      </c>
      <c r="AF563" s="42">
        <f t="shared" si="119"/>
        <v>38693.43796499999</v>
      </c>
      <c r="AG563" s="42">
        <f t="shared" si="120"/>
        <v>26586.635399999996</v>
      </c>
      <c r="AH563" s="42">
        <f t="shared" si="121"/>
        <v>12106.802564999995</v>
      </c>
      <c r="AI563" s="44">
        <f t="shared" si="122"/>
        <v>0.31289032977506831</v>
      </c>
      <c r="AJ563" s="42">
        <f t="shared" si="123"/>
        <v>5622.1234649999897</v>
      </c>
      <c r="AK563" s="42">
        <f t="shared" si="124"/>
        <v>10347.694500000001</v>
      </c>
      <c r="AL563" s="9">
        <f t="shared" si="125"/>
        <v>0</v>
      </c>
      <c r="AM563" s="42"/>
    </row>
    <row r="564" spans="1:39" x14ac:dyDescent="0.25">
      <c r="A564" t="s">
        <v>577</v>
      </c>
      <c r="B564" s="20">
        <v>45029</v>
      </c>
      <c r="C564" s="4">
        <v>45048</v>
      </c>
      <c r="D564" s="4" t="s">
        <v>1442</v>
      </c>
      <c r="E564" s="4">
        <v>45048</v>
      </c>
      <c r="F564" s="11">
        <f t="shared" si="112"/>
        <v>19</v>
      </c>
      <c r="G564" s="11" t="str">
        <f t="shared" si="115"/>
        <v>Does not Meet Target</v>
      </c>
      <c r="H564" t="s">
        <v>648</v>
      </c>
      <c r="I564" t="s">
        <v>653</v>
      </c>
      <c r="J564" t="s">
        <v>681</v>
      </c>
      <c r="K564" t="s">
        <v>704</v>
      </c>
      <c r="L564" t="s">
        <v>710</v>
      </c>
      <c r="M564" t="s">
        <v>718</v>
      </c>
      <c r="N564" t="s">
        <v>732</v>
      </c>
      <c r="O564" t="str" cm="1">
        <f t="array" ref="O564">_xlfn.IFS(S564&lt;=_xlfn.PERCENTILE.INC(IF(N564:N1194=N564, S564:S1194), 0.33), "Low", S564&lt;=_xlfn.PERCENTILE.INC(IF(N564:N1194=N564, S564:S1194), 0.66), "Medium", S564 &gt; _xlfn.PERCENTILE.INC(IF(N564:N1194=N564, S564:S1194), 0.66), "High")</f>
        <v>High</v>
      </c>
      <c r="P564" t="s">
        <v>1295</v>
      </c>
      <c r="Q564" s="6">
        <v>671.05</v>
      </c>
      <c r="R564" s="6">
        <v>1645.48</v>
      </c>
      <c r="S564" s="6">
        <v>1645.48</v>
      </c>
      <c r="T564" s="9">
        <v>0.13700000000000001</v>
      </c>
      <c r="U564" s="9">
        <f>IF(T564&gt;0.3, $AO$4, T564)</f>
        <v>0.13700000000000001</v>
      </c>
      <c r="V564" s="7" t="str">
        <f t="shared" si="116"/>
        <v>Less than 20%</v>
      </c>
      <c r="W564" s="11">
        <v>6</v>
      </c>
      <c r="X564" s="6">
        <f t="shared" si="113"/>
        <v>8520.2954399999999</v>
      </c>
      <c r="Y564" s="6">
        <f t="shared" si="114"/>
        <v>4026.2999999999997</v>
      </c>
      <c r="Z564" s="6">
        <f t="shared" si="117"/>
        <v>4493.9954400000006</v>
      </c>
      <c r="AA564" s="9">
        <f t="shared" si="118"/>
        <v>0.52744596377517172</v>
      </c>
      <c r="AB564" s="9">
        <f>IF(U564&gt;'What-If Analysis'!$F$16, 'What-If Analysis'!$F$16,T564)</f>
        <v>0.13700000000000001</v>
      </c>
      <c r="AC564" s="42">
        <f>S564*(1-AB564)</f>
        <v>1420.0492400000001</v>
      </c>
      <c r="AD564" s="42">
        <f>Q564*(1+'What-If Analysis'!F579)</f>
        <v>671.05</v>
      </c>
      <c r="AE564" s="41">
        <f>W564*(1+'What-If Analysis'!$F$18)</f>
        <v>7.02</v>
      </c>
      <c r="AF564" s="42">
        <f t="shared" si="119"/>
        <v>9968.7456648000007</v>
      </c>
      <c r="AG564" s="42">
        <f t="shared" si="120"/>
        <v>4710.7709999999997</v>
      </c>
      <c r="AH564" s="42">
        <f t="shared" si="121"/>
        <v>5257.9746648000009</v>
      </c>
      <c r="AI564" s="44">
        <f t="shared" si="122"/>
        <v>0.52744596377517172</v>
      </c>
      <c r="AJ564" s="42">
        <f t="shared" si="123"/>
        <v>1448.4502248000008</v>
      </c>
      <c r="AK564" s="42">
        <f t="shared" si="124"/>
        <v>4493.9954400000006</v>
      </c>
      <c r="AL564" s="9">
        <f t="shared" si="125"/>
        <v>0</v>
      </c>
      <c r="AM564" s="42"/>
    </row>
    <row r="565" spans="1:39" x14ac:dyDescent="0.25">
      <c r="A565" t="s">
        <v>578</v>
      </c>
      <c r="B565" s="20">
        <v>45692</v>
      </c>
      <c r="C565" s="4">
        <v>45696</v>
      </c>
      <c r="D565" s="4" t="s">
        <v>1437</v>
      </c>
      <c r="E565" s="4">
        <v>45696</v>
      </c>
      <c r="F565" s="11">
        <f t="shared" si="112"/>
        <v>4</v>
      </c>
      <c r="G565" s="11" t="str">
        <f t="shared" si="115"/>
        <v>Meets Target</v>
      </c>
      <c r="H565" t="s">
        <v>649</v>
      </c>
      <c r="I565" t="s">
        <v>658</v>
      </c>
      <c r="J565" t="s">
        <v>693</v>
      </c>
      <c r="K565" t="s">
        <v>706</v>
      </c>
      <c r="L565" t="s">
        <v>709</v>
      </c>
      <c r="M565" t="s">
        <v>716</v>
      </c>
      <c r="N565" t="s">
        <v>729</v>
      </c>
      <c r="O565" t="str" cm="1">
        <f t="array" ref="O565">_xlfn.IFS(S565&lt;=_xlfn.PERCENTILE.INC(IF(N565:N1195=N565, S565:S1195), 0.33), "Low", S565&lt;=_xlfn.PERCENTILE.INC(IF(N565:N1195=N565, S565:S1195), 0.66), "Medium", S565 &gt; _xlfn.PERCENTILE.INC(IF(N565:N1195=N565, S565:S1195), 0.66), "High")</f>
        <v>Low</v>
      </c>
      <c r="P565" t="s">
        <v>1296</v>
      </c>
      <c r="Q565" s="6">
        <v>586.21</v>
      </c>
      <c r="R565" s="6">
        <v>727.22</v>
      </c>
      <c r="S565" s="6">
        <v>727.22</v>
      </c>
      <c r="T565" s="9">
        <v>6.8000000000000005E-2</v>
      </c>
      <c r="U565" s="9">
        <f>IF(T565&gt;0.3, $AO$4, T565)</f>
        <v>6.8000000000000005E-2</v>
      </c>
      <c r="V565" s="7" t="str">
        <f t="shared" si="116"/>
        <v>Less than 20%</v>
      </c>
      <c r="W565" s="11">
        <v>15</v>
      </c>
      <c r="X565" s="6">
        <f t="shared" si="113"/>
        <v>10166.535600000001</v>
      </c>
      <c r="Y565" s="6">
        <f t="shared" si="114"/>
        <v>8793.1500000000015</v>
      </c>
      <c r="Z565" s="6">
        <f t="shared" si="117"/>
        <v>1373.3855999999996</v>
      </c>
      <c r="AA565" s="9">
        <f t="shared" si="118"/>
        <v>0.13508884973559721</v>
      </c>
      <c r="AB565" s="9">
        <f>IF(U565&gt;'What-If Analysis'!$F$16, 'What-If Analysis'!$F$16,T565)</f>
        <v>6.8000000000000005E-2</v>
      </c>
      <c r="AC565" s="42">
        <f>S565*(1-AB565)</f>
        <v>677.76904000000002</v>
      </c>
      <c r="AD565" s="42">
        <f>Q565*(1+'What-If Analysis'!F580)</f>
        <v>586.21</v>
      </c>
      <c r="AE565" s="41">
        <f>W565*(1+'What-If Analysis'!$F$18)</f>
        <v>17.549999999999997</v>
      </c>
      <c r="AF565" s="42">
        <f t="shared" si="119"/>
        <v>11894.846651999998</v>
      </c>
      <c r="AG565" s="42">
        <f t="shared" si="120"/>
        <v>10287.985499999999</v>
      </c>
      <c r="AH565" s="42">
        <f t="shared" si="121"/>
        <v>1606.8611519999995</v>
      </c>
      <c r="AI565" s="44">
        <f t="shared" si="122"/>
        <v>0.13508884973559723</v>
      </c>
      <c r="AJ565" s="42">
        <f t="shared" si="123"/>
        <v>1728.3110519999973</v>
      </c>
      <c r="AK565" s="42">
        <f t="shared" si="124"/>
        <v>1373.3855999999996</v>
      </c>
      <c r="AL565" s="9">
        <f t="shared" si="125"/>
        <v>0</v>
      </c>
      <c r="AM565" s="42"/>
    </row>
    <row r="566" spans="1:39" x14ac:dyDescent="0.25">
      <c r="A566" t="s">
        <v>579</v>
      </c>
      <c r="B566" s="20">
        <v>45315</v>
      </c>
      <c r="C566" s="4">
        <v>45326</v>
      </c>
      <c r="D566" s="4" t="s">
        <v>1434</v>
      </c>
      <c r="E566" s="4">
        <v>45326</v>
      </c>
      <c r="F566" s="11">
        <f t="shared" si="112"/>
        <v>11</v>
      </c>
      <c r="G566" s="11" t="str">
        <f t="shared" si="115"/>
        <v>Does not Meet Target</v>
      </c>
      <c r="H566" t="s">
        <v>649</v>
      </c>
      <c r="I566" t="s">
        <v>658</v>
      </c>
      <c r="J566" t="s">
        <v>693</v>
      </c>
      <c r="K566" t="s">
        <v>704</v>
      </c>
      <c r="L566" t="s">
        <v>707</v>
      </c>
      <c r="M566" t="s">
        <v>717</v>
      </c>
      <c r="N566" t="s">
        <v>731</v>
      </c>
      <c r="O566" t="str" cm="1">
        <f t="array" ref="O566">_xlfn.IFS(S566&lt;=_xlfn.PERCENTILE.INC(IF(N566:N1196=N566, S566:S1196), 0.33), "Low", S566&lt;=_xlfn.PERCENTILE.INC(IF(N566:N1196=N566, S566:S1196), 0.66), "Medium", S566 &gt; _xlfn.PERCENTILE.INC(IF(N566:N1196=N566, S566:S1196), 0.66), "High")</f>
        <v>Medium</v>
      </c>
      <c r="P566" t="s">
        <v>1297</v>
      </c>
      <c r="Q566" s="6">
        <v>525.34</v>
      </c>
      <c r="R566" s="6">
        <v>1233.79</v>
      </c>
      <c r="S566" s="6">
        <v>1233.79</v>
      </c>
      <c r="T566" s="9">
        <v>0.14299999999999999</v>
      </c>
      <c r="U566" s="9">
        <f>IF(T566&gt;0.3, $AO$4, T566)</f>
        <v>0.14299999999999999</v>
      </c>
      <c r="V566" s="7" t="str">
        <f t="shared" si="116"/>
        <v>Less than 20%</v>
      </c>
      <c r="W566" s="11">
        <v>4</v>
      </c>
      <c r="X566" s="6">
        <f t="shared" si="113"/>
        <v>4229.4321199999995</v>
      </c>
      <c r="Y566" s="6">
        <f t="shared" si="114"/>
        <v>2101.36</v>
      </c>
      <c r="Z566" s="6">
        <f t="shared" si="117"/>
        <v>2128.0721199999994</v>
      </c>
      <c r="AA566" s="9">
        <f t="shared" si="118"/>
        <v>0.50315788494082736</v>
      </c>
      <c r="AB566" s="9">
        <f>IF(U566&gt;'What-If Analysis'!$F$16, 'What-If Analysis'!$F$16,T566)</f>
        <v>0.14299999999999999</v>
      </c>
      <c r="AC566" s="42">
        <f>S566*(1-AB566)</f>
        <v>1057.3580299999999</v>
      </c>
      <c r="AD566" s="42">
        <f>Q566*(1+'What-If Analysis'!F581)</f>
        <v>525.34</v>
      </c>
      <c r="AE566" s="41">
        <f>W566*(1+'What-If Analysis'!$F$18)</f>
        <v>4.68</v>
      </c>
      <c r="AF566" s="42">
        <f t="shared" si="119"/>
        <v>4948.4355803999988</v>
      </c>
      <c r="AG566" s="42">
        <f t="shared" si="120"/>
        <v>2458.5911999999998</v>
      </c>
      <c r="AH566" s="42">
        <f t="shared" si="121"/>
        <v>2489.844380399999</v>
      </c>
      <c r="AI566" s="44">
        <f t="shared" si="122"/>
        <v>0.50315788494082736</v>
      </c>
      <c r="AJ566" s="42">
        <f t="shared" si="123"/>
        <v>719.00346039999931</v>
      </c>
      <c r="AK566" s="42">
        <f t="shared" si="124"/>
        <v>2128.0721199999994</v>
      </c>
      <c r="AL566" s="9">
        <f t="shared" si="125"/>
        <v>0</v>
      </c>
      <c r="AM566" s="42"/>
    </row>
    <row r="567" spans="1:39" x14ac:dyDescent="0.25">
      <c r="A567" t="s">
        <v>580</v>
      </c>
      <c r="B567" s="20">
        <v>45330</v>
      </c>
      <c r="C567" s="4">
        <v>45331</v>
      </c>
      <c r="D567" s="4" t="s">
        <v>1434</v>
      </c>
      <c r="E567" s="4">
        <v>45331</v>
      </c>
      <c r="F567" s="11">
        <f t="shared" si="112"/>
        <v>1</v>
      </c>
      <c r="G567" s="11" t="str">
        <f t="shared" si="115"/>
        <v>Meets Target</v>
      </c>
      <c r="H567" t="s">
        <v>646</v>
      </c>
      <c r="I567" t="s">
        <v>650</v>
      </c>
      <c r="J567" t="s">
        <v>675</v>
      </c>
      <c r="K567" t="s">
        <v>701</v>
      </c>
      <c r="L567" t="s">
        <v>711</v>
      </c>
      <c r="M567" t="s">
        <v>721</v>
      </c>
      <c r="N567" t="s">
        <v>727</v>
      </c>
      <c r="O567" t="str" cm="1">
        <f t="array" ref="O567">_xlfn.IFS(S567&lt;=_xlfn.PERCENTILE.INC(IF(N567:N1197=N567, S567:S1197), 0.33), "Low", S567&lt;=_xlfn.PERCENTILE.INC(IF(N567:N1197=N567, S567:S1197), 0.66), "Medium", S567 &gt; _xlfn.PERCENTILE.INC(IF(N567:N1197=N567, S567:S1197), 0.66), "High")</f>
        <v>Medium</v>
      </c>
      <c r="P567" t="s">
        <v>1298</v>
      </c>
      <c r="Q567" s="6">
        <v>1233.52</v>
      </c>
      <c r="R567" s="6">
        <v>1543.76</v>
      </c>
      <c r="S567" s="6">
        <v>1543.76</v>
      </c>
      <c r="T567" s="9">
        <v>0.126</v>
      </c>
      <c r="U567" s="9">
        <f>IF(T567&gt;0.3, $AO$4, T567)</f>
        <v>0.126</v>
      </c>
      <c r="V567" s="7" t="str">
        <f t="shared" si="116"/>
        <v>Less than 20%</v>
      </c>
      <c r="W567" s="11">
        <v>13</v>
      </c>
      <c r="X567" s="6">
        <f t="shared" si="113"/>
        <v>17540.201120000002</v>
      </c>
      <c r="Y567" s="6">
        <f t="shared" si="114"/>
        <v>16035.76</v>
      </c>
      <c r="Z567" s="6">
        <f t="shared" si="117"/>
        <v>1504.4411200000013</v>
      </c>
      <c r="AA567" s="9">
        <f t="shared" si="118"/>
        <v>8.5771030201277493E-2</v>
      </c>
      <c r="AB567" s="9">
        <f>IF(U567&gt;'What-If Analysis'!$F$16, 'What-If Analysis'!$F$16,T567)</f>
        <v>0.126</v>
      </c>
      <c r="AC567" s="42">
        <f>S567*(1-AB567)</f>
        <v>1349.2462399999999</v>
      </c>
      <c r="AD567" s="42">
        <f>Q567*(1+'What-If Analysis'!F582)</f>
        <v>1233.52</v>
      </c>
      <c r="AE567" s="41">
        <f>W567*(1+'What-If Analysis'!$F$18)</f>
        <v>15.209999999999999</v>
      </c>
      <c r="AF567" s="42">
        <f t="shared" si="119"/>
        <v>20522.035310399999</v>
      </c>
      <c r="AG567" s="42">
        <f t="shared" si="120"/>
        <v>18761.839199999999</v>
      </c>
      <c r="AH567" s="42">
        <f t="shared" si="121"/>
        <v>1760.1961104000002</v>
      </c>
      <c r="AI567" s="44">
        <f t="shared" si="122"/>
        <v>8.5771030201277437E-2</v>
      </c>
      <c r="AJ567" s="42">
        <f t="shared" si="123"/>
        <v>2981.8341903999972</v>
      </c>
      <c r="AK567" s="42">
        <f t="shared" si="124"/>
        <v>1504.4411200000013</v>
      </c>
      <c r="AL567" s="9">
        <f t="shared" si="125"/>
        <v>0</v>
      </c>
      <c r="AM567" s="42"/>
    </row>
    <row r="568" spans="1:39" x14ac:dyDescent="0.25">
      <c r="A568" t="s">
        <v>581</v>
      </c>
      <c r="B568" s="20">
        <v>45834</v>
      </c>
      <c r="C568" s="4">
        <v>45849</v>
      </c>
      <c r="D568" s="4" t="s">
        <v>1440</v>
      </c>
      <c r="E568" s="4">
        <v>45849</v>
      </c>
      <c r="F568" s="11">
        <f t="shared" si="112"/>
        <v>15</v>
      </c>
      <c r="G568" s="11" t="str">
        <f t="shared" si="115"/>
        <v>Does not Meet Target</v>
      </c>
      <c r="H568" t="s">
        <v>646</v>
      </c>
      <c r="I568" t="s">
        <v>651</v>
      </c>
      <c r="J568" t="s">
        <v>663</v>
      </c>
      <c r="K568" t="s">
        <v>705</v>
      </c>
      <c r="L568" t="s">
        <v>708</v>
      </c>
      <c r="M568" t="s">
        <v>720</v>
      </c>
      <c r="N568" t="s">
        <v>731</v>
      </c>
      <c r="O568" t="str" cm="1">
        <f t="array" ref="O568">_xlfn.IFS(S568&lt;=_xlfn.PERCENTILE.INC(IF(N568:N1198=N568, S568:S1198), 0.33), "Low", S568&lt;=_xlfn.PERCENTILE.INC(IF(N568:N1198=N568, S568:S1198), 0.66), "Medium", S568 &gt; _xlfn.PERCENTILE.INC(IF(N568:N1198=N568, S568:S1198), 0.66), "High")</f>
        <v>High</v>
      </c>
      <c r="P568" t="s">
        <v>1299</v>
      </c>
      <c r="Q568" s="6">
        <v>1170.1500000000001</v>
      </c>
      <c r="R568" s="6">
        <v>2115.19</v>
      </c>
      <c r="S568" s="6">
        <v>2115.19</v>
      </c>
      <c r="T568" s="9">
        <v>9.1999999999999998E-2</v>
      </c>
      <c r="U568" s="9">
        <f>IF(T568&gt;0.3, $AO$4, T568)</f>
        <v>9.1999999999999998E-2</v>
      </c>
      <c r="V568" s="7" t="str">
        <f t="shared" si="116"/>
        <v>Less than 20%</v>
      </c>
      <c r="W568" s="11">
        <v>23</v>
      </c>
      <c r="X568" s="6">
        <f t="shared" si="113"/>
        <v>44173.627960000005</v>
      </c>
      <c r="Y568" s="6">
        <f t="shared" si="114"/>
        <v>26913.45</v>
      </c>
      <c r="Z568" s="6">
        <f t="shared" si="117"/>
        <v>17260.177960000005</v>
      </c>
      <c r="AA568" s="9">
        <f t="shared" si="118"/>
        <v>0.39073489674946776</v>
      </c>
      <c r="AB568" s="9">
        <f>IF(U568&gt;'What-If Analysis'!$F$16, 'What-If Analysis'!$F$16,T568)</f>
        <v>9.1999999999999998E-2</v>
      </c>
      <c r="AC568" s="42">
        <f>S568*(1-AB568)</f>
        <v>1920.5925200000001</v>
      </c>
      <c r="AD568" s="42">
        <f>Q568*(1+'What-If Analysis'!F583)</f>
        <v>1170.1500000000001</v>
      </c>
      <c r="AE568" s="41">
        <f>W568*(1+'What-If Analysis'!$F$18)</f>
        <v>26.909999999999997</v>
      </c>
      <c r="AF568" s="42">
        <f t="shared" si="119"/>
        <v>51683.144713199996</v>
      </c>
      <c r="AG568" s="42">
        <f t="shared" si="120"/>
        <v>31488.736499999999</v>
      </c>
      <c r="AH568" s="42">
        <f t="shared" si="121"/>
        <v>20194.408213199997</v>
      </c>
      <c r="AI568" s="44">
        <f t="shared" si="122"/>
        <v>0.39073489674946765</v>
      </c>
      <c r="AJ568" s="42">
        <f t="shared" si="123"/>
        <v>7509.5167531999905</v>
      </c>
      <c r="AK568" s="42">
        <f t="shared" si="124"/>
        <v>17260.177960000005</v>
      </c>
      <c r="AL568" s="9">
        <f t="shared" si="125"/>
        <v>0</v>
      </c>
      <c r="AM568" s="42"/>
    </row>
    <row r="569" spans="1:39" x14ac:dyDescent="0.25">
      <c r="A569" t="s">
        <v>582</v>
      </c>
      <c r="B569" s="20">
        <v>45600</v>
      </c>
      <c r="C569" s="4">
        <v>45603</v>
      </c>
      <c r="D569" s="4" t="s">
        <v>1435</v>
      </c>
      <c r="E569" s="4">
        <v>45603</v>
      </c>
      <c r="F569" s="11">
        <f t="shared" si="112"/>
        <v>3</v>
      </c>
      <c r="G569" s="11" t="str">
        <f t="shared" si="115"/>
        <v>Meets Target</v>
      </c>
      <c r="H569" t="s">
        <v>649</v>
      </c>
      <c r="I569" t="s">
        <v>657</v>
      </c>
      <c r="J569" t="s">
        <v>679</v>
      </c>
      <c r="K569" t="s">
        <v>701</v>
      </c>
      <c r="L569" t="s">
        <v>708</v>
      </c>
      <c r="M569" t="s">
        <v>719</v>
      </c>
      <c r="N569" t="s">
        <v>732</v>
      </c>
      <c r="O569" t="str" cm="1">
        <f t="array" ref="O569">_xlfn.IFS(S569&lt;=_xlfn.PERCENTILE.INC(IF(N569:N1199=N569, S569:S1199), 0.33), "Low", S569&lt;=_xlfn.PERCENTILE.INC(IF(N569:N1199=N569, S569:S1199), 0.66), "Medium", S569 &gt; _xlfn.PERCENTILE.INC(IF(N569:N1199=N569, S569:S1199), 0.66), "High")</f>
        <v>High</v>
      </c>
      <c r="P569" t="s">
        <v>1300</v>
      </c>
      <c r="Q569" s="6">
        <v>740.68</v>
      </c>
      <c r="R569" s="6">
        <v>1837.19</v>
      </c>
      <c r="S569" s="6">
        <v>1837.19</v>
      </c>
      <c r="T569" s="9">
        <v>0.19700000000000001</v>
      </c>
      <c r="U569" s="9">
        <f>IF(T569&gt;0.3, $AO$4, T569)</f>
        <v>0.19700000000000001</v>
      </c>
      <c r="V569" s="7" t="str">
        <f t="shared" si="116"/>
        <v>Less than 20%</v>
      </c>
      <c r="W569" s="11">
        <v>17</v>
      </c>
      <c r="X569" s="6">
        <f t="shared" si="113"/>
        <v>25079.480689999997</v>
      </c>
      <c r="Y569" s="6">
        <f t="shared" si="114"/>
        <v>12591.56</v>
      </c>
      <c r="Z569" s="6">
        <f t="shared" si="117"/>
        <v>12487.920689999997</v>
      </c>
      <c r="AA569" s="9">
        <f t="shared" si="118"/>
        <v>0.4979337827748298</v>
      </c>
      <c r="AB569" s="9">
        <f>IF(U569&gt;'What-If Analysis'!$F$16, 'What-If Analysis'!$F$16,T569)</f>
        <v>0.17</v>
      </c>
      <c r="AC569" s="42">
        <f>S569*(1-AB569)</f>
        <v>1524.8677</v>
      </c>
      <c r="AD569" s="42">
        <f>Q569*(1+'What-If Analysis'!F584)</f>
        <v>740.68</v>
      </c>
      <c r="AE569" s="41">
        <f>W569*(1+'What-If Analysis'!$F$18)</f>
        <v>19.89</v>
      </c>
      <c r="AF569" s="42">
        <f t="shared" si="119"/>
        <v>30329.618553</v>
      </c>
      <c r="AG569" s="42">
        <f t="shared" si="120"/>
        <v>14732.125199999999</v>
      </c>
      <c r="AH569" s="42">
        <f t="shared" si="121"/>
        <v>15597.493353000002</v>
      </c>
      <c r="AI569" s="44">
        <f t="shared" si="122"/>
        <v>0.51426605731107033</v>
      </c>
      <c r="AJ569" s="42">
        <f t="shared" si="123"/>
        <v>5250.1378630000036</v>
      </c>
      <c r="AK569" s="42">
        <f t="shared" si="124"/>
        <v>12487.920689999997</v>
      </c>
      <c r="AL569" s="9">
        <f t="shared" si="125"/>
        <v>1.6332274536240532E-2</v>
      </c>
      <c r="AM569" s="42"/>
    </row>
    <row r="570" spans="1:39" x14ac:dyDescent="0.25">
      <c r="A570" t="s">
        <v>583</v>
      </c>
      <c r="B570" s="20">
        <v>45342</v>
      </c>
      <c r="C570" s="4">
        <v>45342</v>
      </c>
      <c r="D570" s="4" t="s">
        <v>1434</v>
      </c>
      <c r="E570" s="4">
        <v>45342</v>
      </c>
      <c r="F570" s="11">
        <f t="shared" si="112"/>
        <v>0</v>
      </c>
      <c r="G570" s="11" t="str">
        <f t="shared" si="115"/>
        <v>Meets Target</v>
      </c>
      <c r="H570" t="s">
        <v>648</v>
      </c>
      <c r="I570" t="s">
        <v>660</v>
      </c>
      <c r="J570" t="s">
        <v>700</v>
      </c>
      <c r="K570" t="s">
        <v>706</v>
      </c>
      <c r="L570" t="s">
        <v>708</v>
      </c>
      <c r="M570" t="s">
        <v>712</v>
      </c>
      <c r="N570" t="s">
        <v>729</v>
      </c>
      <c r="O570" t="str" cm="1">
        <f t="array" ref="O570">_xlfn.IFS(S570&lt;=_xlfn.PERCENTILE.INC(IF(N570:N1200=N570, S570:S1200), 0.33), "Low", S570&lt;=_xlfn.PERCENTILE.INC(IF(N570:N1200=N570, S570:S1200), 0.66), "Medium", S570 &gt; _xlfn.PERCENTILE.INC(IF(N570:N1200=N570, S570:S1200), 0.66), "High")</f>
        <v>High</v>
      </c>
      <c r="P570" t="s">
        <v>1301</v>
      </c>
      <c r="Q570" s="6">
        <v>1407.05</v>
      </c>
      <c r="R570" s="6">
        <v>2858.93</v>
      </c>
      <c r="S570" s="6">
        <v>2858.93</v>
      </c>
      <c r="T570" s="9">
        <v>0</v>
      </c>
      <c r="U570" s="9">
        <f>IF(T570&gt;0.3, $AO$4, T570)</f>
        <v>0</v>
      </c>
      <c r="V570" s="7" t="str">
        <f t="shared" si="116"/>
        <v>Less than 20%</v>
      </c>
      <c r="W570" s="11">
        <v>12</v>
      </c>
      <c r="X570" s="6">
        <f t="shared" si="113"/>
        <v>34307.159999999996</v>
      </c>
      <c r="Y570" s="6">
        <f t="shared" si="114"/>
        <v>16884.599999999999</v>
      </c>
      <c r="Z570" s="6">
        <f t="shared" si="117"/>
        <v>17422.559999999998</v>
      </c>
      <c r="AA570" s="9">
        <f t="shared" si="118"/>
        <v>0.50784034586366222</v>
      </c>
      <c r="AB570" s="9">
        <f>IF(U570&gt;'What-If Analysis'!$F$16, 'What-If Analysis'!$F$16,T570)</f>
        <v>0</v>
      </c>
      <c r="AC570" s="42">
        <f>S570*(1-AB570)</f>
        <v>2858.93</v>
      </c>
      <c r="AD570" s="42">
        <f>Q570*(1+'What-If Analysis'!F585)</f>
        <v>1407.05</v>
      </c>
      <c r="AE570" s="41">
        <f>W570*(1+'What-If Analysis'!$F$18)</f>
        <v>14.04</v>
      </c>
      <c r="AF570" s="42">
        <f t="shared" si="119"/>
        <v>40139.377199999995</v>
      </c>
      <c r="AG570" s="42">
        <f t="shared" si="120"/>
        <v>19754.982</v>
      </c>
      <c r="AH570" s="42">
        <f t="shared" si="121"/>
        <v>20384.395199999995</v>
      </c>
      <c r="AI570" s="44">
        <f t="shared" si="122"/>
        <v>0.50784034586366222</v>
      </c>
      <c r="AJ570" s="42">
        <f t="shared" si="123"/>
        <v>5832.2171999999991</v>
      </c>
      <c r="AK570" s="42">
        <f t="shared" si="124"/>
        <v>17422.559999999998</v>
      </c>
      <c r="AL570" s="9">
        <f t="shared" si="125"/>
        <v>0</v>
      </c>
      <c r="AM570" s="42"/>
    </row>
    <row r="571" spans="1:39" x14ac:dyDescent="0.25">
      <c r="A571" t="s">
        <v>584</v>
      </c>
      <c r="B571" s="20">
        <v>45760</v>
      </c>
      <c r="C571" s="4">
        <v>45761</v>
      </c>
      <c r="D571" s="4" t="s">
        <v>1440</v>
      </c>
      <c r="E571" s="4">
        <v>45761</v>
      </c>
      <c r="F571" s="11">
        <f t="shared" si="112"/>
        <v>1</v>
      </c>
      <c r="G571" s="11" t="str">
        <f t="shared" si="115"/>
        <v>Meets Target</v>
      </c>
      <c r="H571" t="s">
        <v>647</v>
      </c>
      <c r="I571" t="s">
        <v>652</v>
      </c>
      <c r="J571" t="s">
        <v>666</v>
      </c>
      <c r="K571" t="s">
        <v>706</v>
      </c>
      <c r="L571" t="s">
        <v>708</v>
      </c>
      <c r="M571" t="s">
        <v>715</v>
      </c>
      <c r="N571" t="s">
        <v>727</v>
      </c>
      <c r="O571" t="str" cm="1">
        <f t="array" ref="O571">_xlfn.IFS(S571&lt;=_xlfn.PERCENTILE.INC(IF(N571:N1201=N571, S571:S1201), 0.33), "Low", S571&lt;=_xlfn.PERCENTILE.INC(IF(N571:N1201=N571, S571:S1201), 0.66), "Medium", S571 &gt; _xlfn.PERCENTILE.INC(IF(N571:N1201=N571, S571:S1201), 0.66), "High")</f>
        <v>Low</v>
      </c>
      <c r="P571" t="s">
        <v>1302</v>
      </c>
      <c r="Q571" s="6">
        <v>138.9</v>
      </c>
      <c r="R571" s="6">
        <v>289.92</v>
      </c>
      <c r="S571" s="6">
        <v>289.92</v>
      </c>
      <c r="T571" s="9">
        <v>2.9000000000000001E-2</v>
      </c>
      <c r="U571" s="9">
        <f>IF(T571&gt;0.3, $AO$4, T571)</f>
        <v>2.9000000000000001E-2</v>
      </c>
      <c r="V571" s="7" t="str">
        <f t="shared" si="116"/>
        <v>Less than 20%</v>
      </c>
      <c r="W571" s="11">
        <v>12</v>
      </c>
      <c r="X571" s="6">
        <f t="shared" si="113"/>
        <v>3378.1478400000001</v>
      </c>
      <c r="Y571" s="6">
        <f t="shared" si="114"/>
        <v>1666.8000000000002</v>
      </c>
      <c r="Z571" s="6">
        <f t="shared" si="117"/>
        <v>1711.3478399999999</v>
      </c>
      <c r="AA571" s="9">
        <f t="shared" si="118"/>
        <v>0.50659353025828491</v>
      </c>
      <c r="AB571" s="9">
        <f>IF(U571&gt;'What-If Analysis'!$F$16, 'What-If Analysis'!$F$16,T571)</f>
        <v>2.9000000000000001E-2</v>
      </c>
      <c r="AC571" s="42">
        <f>S571*(1-AB571)</f>
        <v>281.51231999999999</v>
      </c>
      <c r="AD571" s="42">
        <f>Q571*(1+'What-If Analysis'!F586)</f>
        <v>138.9</v>
      </c>
      <c r="AE571" s="41">
        <f>W571*(1+'What-If Analysis'!$F$18)</f>
        <v>14.04</v>
      </c>
      <c r="AF571" s="42">
        <f t="shared" si="119"/>
        <v>3952.4329727999998</v>
      </c>
      <c r="AG571" s="42">
        <f t="shared" si="120"/>
        <v>1950.1559999999999</v>
      </c>
      <c r="AH571" s="42">
        <f t="shared" si="121"/>
        <v>2002.2769727999998</v>
      </c>
      <c r="AI571" s="44">
        <f t="shared" si="122"/>
        <v>0.50659353025828491</v>
      </c>
      <c r="AJ571" s="42">
        <f t="shared" si="123"/>
        <v>574.2851327999997</v>
      </c>
      <c r="AK571" s="42">
        <f t="shared" si="124"/>
        <v>1711.3478399999999</v>
      </c>
      <c r="AL571" s="9">
        <f t="shared" si="125"/>
        <v>0</v>
      </c>
      <c r="AM571" s="42"/>
    </row>
    <row r="572" spans="1:39" x14ac:dyDescent="0.25">
      <c r="A572" t="s">
        <v>585</v>
      </c>
      <c r="B572" s="20">
        <v>45078</v>
      </c>
      <c r="C572" s="4">
        <v>45078</v>
      </c>
      <c r="D572" s="4" t="s">
        <v>1442</v>
      </c>
      <c r="E572" s="4">
        <v>45078</v>
      </c>
      <c r="F572" s="11">
        <f t="shared" si="112"/>
        <v>0</v>
      </c>
      <c r="G572" s="11" t="str">
        <f t="shared" si="115"/>
        <v>Meets Target</v>
      </c>
      <c r="H572" t="s">
        <v>647</v>
      </c>
      <c r="I572" t="s">
        <v>654</v>
      </c>
      <c r="J572" t="s">
        <v>668</v>
      </c>
      <c r="K572" t="s">
        <v>701</v>
      </c>
      <c r="L572" t="s">
        <v>707</v>
      </c>
      <c r="M572" t="s">
        <v>718</v>
      </c>
      <c r="N572" t="s">
        <v>733</v>
      </c>
      <c r="O572" t="str" cm="1">
        <f t="array" ref="O572">_xlfn.IFS(S572&lt;=_xlfn.PERCENTILE.INC(IF(N572:N1202=N572, S572:S1202), 0.33), "Low", S572&lt;=_xlfn.PERCENTILE.INC(IF(N572:N1202=N572, S572:S1202), 0.66), "Medium", S572 &gt; _xlfn.PERCENTILE.INC(IF(N572:N1202=N572, S572:S1202), 0.66), "High")</f>
        <v>Medium</v>
      </c>
      <c r="P572" t="s">
        <v>1303</v>
      </c>
      <c r="Q572" s="6">
        <v>669.37</v>
      </c>
      <c r="R572" s="6">
        <v>997.2</v>
      </c>
      <c r="S572" s="6">
        <v>997.2</v>
      </c>
      <c r="T572" s="9">
        <v>8.2000000000000003E-2</v>
      </c>
      <c r="U572" s="9">
        <f>IF(T572&gt;0.3, $AO$4, T572)</f>
        <v>8.2000000000000003E-2</v>
      </c>
      <c r="V572" s="7" t="str">
        <f t="shared" si="116"/>
        <v>Less than 20%</v>
      </c>
      <c r="W572" s="11">
        <v>5</v>
      </c>
      <c r="X572" s="6">
        <f t="shared" si="113"/>
        <v>4577.1480000000001</v>
      </c>
      <c r="Y572" s="6">
        <f t="shared" si="114"/>
        <v>3346.85</v>
      </c>
      <c r="Z572" s="6">
        <f t="shared" si="117"/>
        <v>1230.2980000000002</v>
      </c>
      <c r="AA572" s="9">
        <f t="shared" si="118"/>
        <v>0.26879139586484863</v>
      </c>
      <c r="AB572" s="9">
        <f>IF(U572&gt;'What-If Analysis'!$F$16, 'What-If Analysis'!$F$16,T572)</f>
        <v>8.2000000000000003E-2</v>
      </c>
      <c r="AC572" s="42">
        <f>S572*(1-AB572)</f>
        <v>915.42960000000005</v>
      </c>
      <c r="AD572" s="42">
        <f>Q572*(1+'What-If Analysis'!F587)</f>
        <v>669.37</v>
      </c>
      <c r="AE572" s="41">
        <f>W572*(1+'What-If Analysis'!$F$18)</f>
        <v>5.85</v>
      </c>
      <c r="AF572" s="42">
        <f t="shared" si="119"/>
        <v>5355.2631599999995</v>
      </c>
      <c r="AG572" s="42">
        <f t="shared" si="120"/>
        <v>3915.8145</v>
      </c>
      <c r="AH572" s="42">
        <f t="shared" si="121"/>
        <v>1439.4486599999996</v>
      </c>
      <c r="AI572" s="44">
        <f t="shared" si="122"/>
        <v>0.26879139586484851</v>
      </c>
      <c r="AJ572" s="42">
        <f t="shared" si="123"/>
        <v>778.11515999999938</v>
      </c>
      <c r="AK572" s="42">
        <f t="shared" si="124"/>
        <v>1230.2980000000002</v>
      </c>
      <c r="AL572" s="9">
        <f t="shared" si="125"/>
        <v>0</v>
      </c>
      <c r="AM572" s="42"/>
    </row>
    <row r="573" spans="1:39" x14ac:dyDescent="0.25">
      <c r="A573" t="s">
        <v>586</v>
      </c>
      <c r="B573" s="20">
        <v>45740</v>
      </c>
      <c r="C573" s="4">
        <v>45751</v>
      </c>
      <c r="D573" s="4" t="s">
        <v>1437</v>
      </c>
      <c r="E573" s="4">
        <v>45751</v>
      </c>
      <c r="F573" s="11">
        <f t="shared" si="112"/>
        <v>11</v>
      </c>
      <c r="G573" s="11" t="str">
        <f t="shared" si="115"/>
        <v>Does not Meet Target</v>
      </c>
      <c r="H573" t="s">
        <v>647</v>
      </c>
      <c r="I573" t="s">
        <v>654</v>
      </c>
      <c r="J573" t="s">
        <v>691</v>
      </c>
      <c r="K573" t="s">
        <v>702</v>
      </c>
      <c r="L573" t="s">
        <v>709</v>
      </c>
      <c r="M573" t="s">
        <v>713</v>
      </c>
      <c r="N573" t="s">
        <v>730</v>
      </c>
      <c r="O573" t="str" cm="1">
        <f t="array" ref="O573">_xlfn.IFS(S573&lt;=_xlfn.PERCENTILE.INC(IF(N573:N1203=N573, S573:S1203), 0.33), "Low", S573&lt;=_xlfn.PERCENTILE.INC(IF(N573:N1203=N573, S573:S1203), 0.66), "Medium", S573 &gt; _xlfn.PERCENTILE.INC(IF(N573:N1203=N573, S573:S1203), 0.66), "High")</f>
        <v>Low</v>
      </c>
      <c r="P573" t="s">
        <v>1304</v>
      </c>
      <c r="Q573" s="6">
        <v>23.83</v>
      </c>
      <c r="R573" s="6">
        <v>47.29</v>
      </c>
      <c r="S573" s="6">
        <v>47.29</v>
      </c>
      <c r="T573" s="9">
        <v>6.4000000000000001E-2</v>
      </c>
      <c r="U573" s="9">
        <f>IF(T573&gt;0.3, $AO$4, T573)</f>
        <v>6.4000000000000001E-2</v>
      </c>
      <c r="V573" s="7" t="str">
        <f t="shared" si="116"/>
        <v>Less than 20%</v>
      </c>
      <c r="W573" s="11">
        <v>19</v>
      </c>
      <c r="X573" s="6">
        <f t="shared" si="113"/>
        <v>841.00536</v>
      </c>
      <c r="Y573" s="6">
        <f t="shared" si="114"/>
        <v>452.77</v>
      </c>
      <c r="Z573" s="6">
        <f t="shared" si="117"/>
        <v>388.23536000000001</v>
      </c>
      <c r="AA573" s="9">
        <f t="shared" si="118"/>
        <v>0.46163244429262618</v>
      </c>
      <c r="AB573" s="9">
        <f>IF(U573&gt;'What-If Analysis'!$F$16, 'What-If Analysis'!$F$16,T573)</f>
        <v>6.4000000000000001E-2</v>
      </c>
      <c r="AC573" s="42">
        <f>S573*(1-AB573)</f>
        <v>44.263439999999996</v>
      </c>
      <c r="AD573" s="42">
        <f>Q573*(1+'What-If Analysis'!F588)</f>
        <v>23.83</v>
      </c>
      <c r="AE573" s="41">
        <f>W573*(1+'What-If Analysis'!$F$18)</f>
        <v>22.229999999999997</v>
      </c>
      <c r="AF573" s="42">
        <f t="shared" si="119"/>
        <v>983.97627119999981</v>
      </c>
      <c r="AG573" s="42">
        <f t="shared" si="120"/>
        <v>529.7408999999999</v>
      </c>
      <c r="AH573" s="42">
        <f t="shared" si="121"/>
        <v>454.23537119999992</v>
      </c>
      <c r="AI573" s="44">
        <f t="shared" si="122"/>
        <v>0.46163244429262618</v>
      </c>
      <c r="AJ573" s="42">
        <f t="shared" si="123"/>
        <v>142.97091119999982</v>
      </c>
      <c r="AK573" s="42">
        <f t="shared" si="124"/>
        <v>388.23536000000001</v>
      </c>
      <c r="AL573" s="9">
        <f t="shared" si="125"/>
        <v>0</v>
      </c>
      <c r="AM573" s="42"/>
    </row>
    <row r="574" spans="1:39" x14ac:dyDescent="0.25">
      <c r="A574" t="s">
        <v>587</v>
      </c>
      <c r="B574" s="20">
        <v>45293</v>
      </c>
      <c r="C574" s="4">
        <v>45293</v>
      </c>
      <c r="D574" s="4" t="s">
        <v>1434</v>
      </c>
      <c r="E574" s="4">
        <v>45293</v>
      </c>
      <c r="F574" s="11">
        <f t="shared" si="112"/>
        <v>0</v>
      </c>
      <c r="G574" s="11" t="str">
        <f t="shared" si="115"/>
        <v>Meets Target</v>
      </c>
      <c r="H574" t="s">
        <v>648</v>
      </c>
      <c r="I574" t="s">
        <v>653</v>
      </c>
      <c r="J574" t="s">
        <v>688</v>
      </c>
      <c r="K574" t="s">
        <v>702</v>
      </c>
      <c r="L574" t="s">
        <v>711</v>
      </c>
      <c r="M574" t="s">
        <v>720</v>
      </c>
      <c r="N574" t="s">
        <v>731</v>
      </c>
      <c r="O574" t="str" cm="1">
        <f t="array" ref="O574">_xlfn.IFS(S574&lt;=_xlfn.PERCENTILE.INC(IF(N574:N1204=N574, S574:S1204), 0.33), "Low", S574&lt;=_xlfn.PERCENTILE.INC(IF(N574:N1204=N574, S574:S1204), 0.66), "Medium", S574 &gt; _xlfn.PERCENTILE.INC(IF(N574:N1204=N574, S574:S1204), 0.66), "High")</f>
        <v>Medium</v>
      </c>
      <c r="P574" t="s">
        <v>1305</v>
      </c>
      <c r="Q574" s="6">
        <v>444.41</v>
      </c>
      <c r="R574" s="6">
        <v>754.24</v>
      </c>
      <c r="S574" s="6">
        <v>754.24</v>
      </c>
      <c r="T574" s="9">
        <v>0.20699999999999999</v>
      </c>
      <c r="U574" s="9">
        <f>IF(T574&gt;0.3, $AO$4, T574)</f>
        <v>0.20699999999999999</v>
      </c>
      <c r="V574" s="7" t="str">
        <f t="shared" si="116"/>
        <v>Greater than 20%</v>
      </c>
      <c r="W574" s="11">
        <v>32</v>
      </c>
      <c r="X574" s="6">
        <f t="shared" si="113"/>
        <v>19139.594240000002</v>
      </c>
      <c r="Y574" s="6">
        <f t="shared" si="114"/>
        <v>14221.12</v>
      </c>
      <c r="Z574" s="6">
        <f t="shared" si="117"/>
        <v>4918.4742400000014</v>
      </c>
      <c r="AA574" s="9">
        <f t="shared" si="118"/>
        <v>0.25697902360546598</v>
      </c>
      <c r="AB574" s="9">
        <f>IF(U574&gt;'What-If Analysis'!$F$16, 'What-If Analysis'!$F$16,T574)</f>
        <v>0.17</v>
      </c>
      <c r="AC574" s="42">
        <f>S574*(1-AB574)</f>
        <v>626.01919999999996</v>
      </c>
      <c r="AD574" s="42">
        <f>Q574*(1+'What-If Analysis'!F589)</f>
        <v>444.41</v>
      </c>
      <c r="AE574" s="41">
        <f>W574*(1+'What-If Analysis'!$F$18)</f>
        <v>37.44</v>
      </c>
      <c r="AF574" s="42">
        <f t="shared" si="119"/>
        <v>23438.158847999995</v>
      </c>
      <c r="AG574" s="42">
        <f t="shared" si="120"/>
        <v>16638.7104</v>
      </c>
      <c r="AH574" s="42">
        <f t="shared" si="121"/>
        <v>6799.4484479999956</v>
      </c>
      <c r="AI574" s="44">
        <f t="shared" si="122"/>
        <v>0.29010164544474021</v>
      </c>
      <c r="AJ574" s="42">
        <f t="shared" si="123"/>
        <v>4298.5646079999933</v>
      </c>
      <c r="AK574" s="42">
        <f t="shared" si="124"/>
        <v>4918.4742400000014</v>
      </c>
      <c r="AL574" s="9">
        <f t="shared" si="125"/>
        <v>3.3122621839274224E-2</v>
      </c>
      <c r="AM574" s="42"/>
    </row>
    <row r="575" spans="1:39" x14ac:dyDescent="0.25">
      <c r="A575" t="s">
        <v>588</v>
      </c>
      <c r="B575" s="20">
        <v>45279</v>
      </c>
      <c r="C575" s="4">
        <v>45292</v>
      </c>
      <c r="D575" s="4" t="s">
        <v>1438</v>
      </c>
      <c r="E575" s="4">
        <v>45292</v>
      </c>
      <c r="F575" s="11">
        <f t="shared" si="112"/>
        <v>13</v>
      </c>
      <c r="G575" s="11" t="str">
        <f t="shared" si="115"/>
        <v>Does not Meet Target</v>
      </c>
      <c r="H575" t="s">
        <v>648</v>
      </c>
      <c r="I575" t="s">
        <v>653</v>
      </c>
      <c r="J575" t="s">
        <v>667</v>
      </c>
      <c r="K575" t="s">
        <v>706</v>
      </c>
      <c r="L575" t="s">
        <v>707</v>
      </c>
      <c r="M575" t="s">
        <v>723</v>
      </c>
      <c r="N575" t="s">
        <v>732</v>
      </c>
      <c r="O575" t="str" cm="1">
        <f t="array" ref="O575">_xlfn.IFS(S575&lt;=_xlfn.PERCENTILE.INC(IF(N575:N1205=N575, S575:S1205), 0.33), "Low", S575&lt;=_xlfn.PERCENTILE.INC(IF(N575:N1205=N575, S575:S1205), 0.66), "Medium", S575 &gt; _xlfn.PERCENTILE.INC(IF(N575:N1205=N575, S575:S1205), 0.66), "High")</f>
        <v>Medium</v>
      </c>
      <c r="P575" t="s">
        <v>1306</v>
      </c>
      <c r="Q575" s="6">
        <v>856.1</v>
      </c>
      <c r="R575" s="6">
        <v>901.48</v>
      </c>
      <c r="S575" s="6">
        <v>901.48</v>
      </c>
      <c r="T575" s="9">
        <v>5.6000000000000001E-2</v>
      </c>
      <c r="U575" s="9">
        <f>IF(T575&gt;0.3, $AO$4, T575)</f>
        <v>5.6000000000000001E-2</v>
      </c>
      <c r="V575" s="7" t="str">
        <f t="shared" si="116"/>
        <v>Less than 20%</v>
      </c>
      <c r="W575" s="11">
        <v>17</v>
      </c>
      <c r="X575" s="6">
        <f t="shared" si="113"/>
        <v>14466.95104</v>
      </c>
      <c r="Y575" s="6">
        <f t="shared" si="114"/>
        <v>14553.7</v>
      </c>
      <c r="Z575" s="6">
        <f t="shared" si="117"/>
        <v>-86.748960000000807</v>
      </c>
      <c r="AA575" s="9">
        <f t="shared" si="118"/>
        <v>-5.9963540182134192E-3</v>
      </c>
      <c r="AB575" s="9">
        <f>IF(U575&gt;'What-If Analysis'!$F$16, 'What-If Analysis'!$F$16,T575)</f>
        <v>5.6000000000000001E-2</v>
      </c>
      <c r="AC575" s="42">
        <f>S575*(1-AB575)</f>
        <v>850.99712</v>
      </c>
      <c r="AD575" s="42">
        <f>Q575*(1+'What-If Analysis'!F590)</f>
        <v>856.1</v>
      </c>
      <c r="AE575" s="41">
        <f>W575*(1+'What-If Analysis'!$F$18)</f>
        <v>19.89</v>
      </c>
      <c r="AF575" s="42">
        <f t="shared" si="119"/>
        <v>16926.3327168</v>
      </c>
      <c r="AG575" s="42">
        <f t="shared" si="120"/>
        <v>17027.829000000002</v>
      </c>
      <c r="AH575" s="42">
        <f t="shared" si="121"/>
        <v>-101.49628320000193</v>
      </c>
      <c r="AI575" s="44">
        <f t="shared" si="122"/>
        <v>-5.9963540182134773E-3</v>
      </c>
      <c r="AJ575" s="42">
        <f t="shared" si="123"/>
        <v>2459.3816767999997</v>
      </c>
      <c r="AK575" s="42">
        <f t="shared" si="124"/>
        <v>-86.748960000000807</v>
      </c>
      <c r="AL575" s="9">
        <f t="shared" si="125"/>
        <v>-5.8113236445223038E-17</v>
      </c>
      <c r="AM575" s="42"/>
    </row>
    <row r="576" spans="1:39" x14ac:dyDescent="0.25">
      <c r="A576" t="s">
        <v>589</v>
      </c>
      <c r="B576" s="20">
        <v>45042</v>
      </c>
      <c r="C576" s="4">
        <v>45042</v>
      </c>
      <c r="D576" s="4" t="s">
        <v>1442</v>
      </c>
      <c r="E576" s="4">
        <v>45042</v>
      </c>
      <c r="F576" s="11">
        <f t="shared" si="112"/>
        <v>0</v>
      </c>
      <c r="G576" s="11" t="str">
        <f t="shared" si="115"/>
        <v>Meets Target</v>
      </c>
      <c r="H576" t="s">
        <v>649</v>
      </c>
      <c r="I576" t="s">
        <v>657</v>
      </c>
      <c r="J576" t="s">
        <v>673</v>
      </c>
      <c r="K576" t="s">
        <v>704</v>
      </c>
      <c r="L576" t="s">
        <v>711</v>
      </c>
      <c r="M576" t="s">
        <v>724</v>
      </c>
      <c r="N576" t="s">
        <v>727</v>
      </c>
      <c r="O576" t="str" cm="1">
        <f t="array" ref="O576">_xlfn.IFS(S576&lt;=_xlfn.PERCENTILE.INC(IF(N576:N1206=N576, S576:S1206), 0.33), "Low", S576&lt;=_xlfn.PERCENTILE.INC(IF(N576:N1206=N576, S576:S1206), 0.66), "Medium", S576 &gt; _xlfn.PERCENTILE.INC(IF(N576:N1206=N576, S576:S1206), 0.66), "High")</f>
        <v>Low</v>
      </c>
      <c r="P576" t="s">
        <v>1307</v>
      </c>
      <c r="Q576" s="6">
        <v>81.489999999999995</v>
      </c>
      <c r="R576" s="6">
        <v>113.08</v>
      </c>
      <c r="S576" s="6">
        <v>113.08</v>
      </c>
      <c r="T576" s="9">
        <v>0.121</v>
      </c>
      <c r="U576" s="9">
        <f>IF(T576&gt;0.3, $AO$4, T576)</f>
        <v>0.121</v>
      </c>
      <c r="V576" s="7" t="str">
        <f t="shared" si="116"/>
        <v>Less than 20%</v>
      </c>
      <c r="W576" s="11">
        <v>5</v>
      </c>
      <c r="X576" s="6">
        <f t="shared" si="113"/>
        <v>496.98660000000001</v>
      </c>
      <c r="Y576" s="6">
        <f t="shared" si="114"/>
        <v>407.45</v>
      </c>
      <c r="Z576" s="6">
        <f t="shared" si="117"/>
        <v>89.536600000000021</v>
      </c>
      <c r="AA576" s="9">
        <f t="shared" si="118"/>
        <v>0.18015898215364362</v>
      </c>
      <c r="AB576" s="9">
        <f>IF(U576&gt;'What-If Analysis'!$F$16, 'What-If Analysis'!$F$16,T576)</f>
        <v>0.121</v>
      </c>
      <c r="AC576" s="42">
        <f>S576*(1-AB576)</f>
        <v>99.397319999999993</v>
      </c>
      <c r="AD576" s="42">
        <f>Q576*(1+'What-If Analysis'!F591)</f>
        <v>81.489999999999995</v>
      </c>
      <c r="AE576" s="41">
        <f>W576*(1+'What-If Analysis'!$F$18)</f>
        <v>5.85</v>
      </c>
      <c r="AF576" s="42">
        <f t="shared" si="119"/>
        <v>581.47432199999992</v>
      </c>
      <c r="AG576" s="42">
        <f t="shared" si="120"/>
        <v>476.71649999999994</v>
      </c>
      <c r="AH576" s="42">
        <f t="shared" si="121"/>
        <v>104.75782199999998</v>
      </c>
      <c r="AI576" s="44">
        <f t="shared" si="122"/>
        <v>0.18015898215364357</v>
      </c>
      <c r="AJ576" s="42">
        <f t="shared" si="123"/>
        <v>84.487721999999906</v>
      </c>
      <c r="AK576" s="42">
        <f t="shared" si="124"/>
        <v>89.536600000000021</v>
      </c>
      <c r="AL576" s="9">
        <f t="shared" si="125"/>
        <v>0</v>
      </c>
      <c r="AM576" s="42"/>
    </row>
    <row r="577" spans="1:39" x14ac:dyDescent="0.25">
      <c r="A577" t="s">
        <v>590</v>
      </c>
      <c r="B577" s="20">
        <v>45872</v>
      </c>
      <c r="C577" s="4">
        <v>45885</v>
      </c>
      <c r="D577" s="4" t="s">
        <v>1441</v>
      </c>
      <c r="E577" s="4">
        <v>45885</v>
      </c>
      <c r="F577" s="11">
        <f t="shared" si="112"/>
        <v>13</v>
      </c>
      <c r="G577" s="11" t="str">
        <f t="shared" si="115"/>
        <v>Does not Meet Target</v>
      </c>
      <c r="H577" t="s">
        <v>648</v>
      </c>
      <c r="I577" t="s">
        <v>653</v>
      </c>
      <c r="J577" t="s">
        <v>681</v>
      </c>
      <c r="K577" t="s">
        <v>706</v>
      </c>
      <c r="L577" t="s">
        <v>710</v>
      </c>
      <c r="M577" t="s">
        <v>719</v>
      </c>
      <c r="N577" t="s">
        <v>729</v>
      </c>
      <c r="O577" t="str" cm="1">
        <f t="array" ref="O577">_xlfn.IFS(S577&lt;=_xlfn.PERCENTILE.INC(IF(N577:N1207=N577, S577:S1207), 0.33), "Low", S577&lt;=_xlfn.PERCENTILE.INC(IF(N577:N1207=N577, S577:S1207), 0.66), "Medium", S577 &gt; _xlfn.PERCENTILE.INC(IF(N577:N1207=N577, S577:S1207), 0.66), "High")</f>
        <v>Medium</v>
      </c>
      <c r="P577" t="s">
        <v>1308</v>
      </c>
      <c r="Q577" s="6">
        <v>698.66</v>
      </c>
      <c r="R577" s="6">
        <v>868.62</v>
      </c>
      <c r="S577" s="6">
        <v>868.62</v>
      </c>
      <c r="T577" s="9">
        <v>7.1999999999999995E-2</v>
      </c>
      <c r="U577" s="9">
        <f>IF(T577&gt;0.3, $AO$4, T577)</f>
        <v>7.1999999999999995E-2</v>
      </c>
      <c r="V577" s="7" t="str">
        <f t="shared" si="116"/>
        <v>Less than 20%</v>
      </c>
      <c r="W577" s="11">
        <v>15</v>
      </c>
      <c r="X577" s="6">
        <f t="shared" si="113"/>
        <v>12091.190399999999</v>
      </c>
      <c r="Y577" s="6">
        <f t="shared" si="114"/>
        <v>10479.9</v>
      </c>
      <c r="Z577" s="6">
        <f t="shared" si="117"/>
        <v>1611.2903999999999</v>
      </c>
      <c r="AA577" s="9">
        <f t="shared" si="118"/>
        <v>0.13326151906432637</v>
      </c>
      <c r="AB577" s="9">
        <f>IF(U577&gt;'What-If Analysis'!$F$16, 'What-If Analysis'!$F$16,T577)</f>
        <v>7.1999999999999995E-2</v>
      </c>
      <c r="AC577" s="42">
        <f>S577*(1-AB577)</f>
        <v>806.07936000000007</v>
      </c>
      <c r="AD577" s="42">
        <f>Q577*(1+'What-If Analysis'!F592)</f>
        <v>698.66</v>
      </c>
      <c r="AE577" s="41">
        <f>W577*(1+'What-If Analysis'!$F$18)</f>
        <v>17.549999999999997</v>
      </c>
      <c r="AF577" s="42">
        <f t="shared" si="119"/>
        <v>14146.692767999999</v>
      </c>
      <c r="AG577" s="42">
        <f t="shared" si="120"/>
        <v>12261.482999999998</v>
      </c>
      <c r="AH577" s="42">
        <f t="shared" si="121"/>
        <v>1885.2097680000006</v>
      </c>
      <c r="AI577" s="44">
        <f t="shared" si="122"/>
        <v>0.13326151906432643</v>
      </c>
      <c r="AJ577" s="42">
        <f t="shared" si="123"/>
        <v>2055.5023679999995</v>
      </c>
      <c r="AK577" s="42">
        <f t="shared" si="124"/>
        <v>1611.2903999999999</v>
      </c>
      <c r="AL577" s="9">
        <f t="shared" si="125"/>
        <v>0</v>
      </c>
      <c r="AM577" s="42"/>
    </row>
    <row r="578" spans="1:39" x14ac:dyDescent="0.25">
      <c r="A578" t="s">
        <v>591</v>
      </c>
      <c r="B578" s="20">
        <v>45140</v>
      </c>
      <c r="C578" s="4">
        <v>45157</v>
      </c>
      <c r="D578" s="4" t="s">
        <v>1444</v>
      </c>
      <c r="E578" s="4">
        <v>45157</v>
      </c>
      <c r="F578" s="11">
        <f t="shared" ref="F578:F632" si="126">E578-B578</f>
        <v>17</v>
      </c>
      <c r="G578" s="11" t="str">
        <f t="shared" si="115"/>
        <v>Does not Meet Target</v>
      </c>
      <c r="H578" t="s">
        <v>648</v>
      </c>
      <c r="I578" t="s">
        <v>653</v>
      </c>
      <c r="J578" t="s">
        <v>688</v>
      </c>
      <c r="K578" t="s">
        <v>701</v>
      </c>
      <c r="L578" t="s">
        <v>708</v>
      </c>
      <c r="M578" t="s">
        <v>721</v>
      </c>
      <c r="N578" t="s">
        <v>729</v>
      </c>
      <c r="O578" t="str" cm="1">
        <f t="array" ref="O578">_xlfn.IFS(S578&lt;=_xlfn.PERCENTILE.INC(IF(N578:N1208=N578, S578:S1208), 0.33), "Low", S578&lt;=_xlfn.PERCENTILE.INC(IF(N578:N1208=N578, S578:S1208), 0.66), "Medium", S578 &gt; _xlfn.PERCENTILE.INC(IF(N578:N1208=N578, S578:S1208), 0.66), "High")</f>
        <v>Low</v>
      </c>
      <c r="P578" t="s">
        <v>1309</v>
      </c>
      <c r="Q578" s="6">
        <v>175.38</v>
      </c>
      <c r="R578" s="6">
        <v>347.9</v>
      </c>
      <c r="S578" s="6">
        <v>347.9</v>
      </c>
      <c r="T578" s="9">
        <v>7.1999999999999995E-2</v>
      </c>
      <c r="U578" s="9">
        <f>IF(T578&gt;0.3, $AO$4, T578)</f>
        <v>7.1999999999999995E-2</v>
      </c>
      <c r="V578" s="7" t="str">
        <f t="shared" si="116"/>
        <v>Less than 20%</v>
      </c>
      <c r="W578" s="11">
        <v>43</v>
      </c>
      <c r="X578" s="6">
        <f t="shared" ref="X578:X611" si="127">S578*W578*(1-U578)</f>
        <v>13882.6016</v>
      </c>
      <c r="Y578" s="6">
        <f t="shared" ref="Y578:Y632" si="128">Q578*W578</f>
        <v>7541.34</v>
      </c>
      <c r="Z578" s="6">
        <f t="shared" si="117"/>
        <v>6341.2615999999998</v>
      </c>
      <c r="AA578" s="9">
        <f t="shared" si="118"/>
        <v>0.45677761148169804</v>
      </c>
      <c r="AB578" s="9">
        <f>IF(U578&gt;'What-If Analysis'!$F$16, 'What-If Analysis'!$F$16,T578)</f>
        <v>7.1999999999999995E-2</v>
      </c>
      <c r="AC578" s="42">
        <f>S578*(1-AB578)</f>
        <v>322.85120000000001</v>
      </c>
      <c r="AD578" s="42">
        <f>Q578*(1+'What-If Analysis'!F593)</f>
        <v>175.38</v>
      </c>
      <c r="AE578" s="41">
        <f>W578*(1+'What-If Analysis'!$F$18)</f>
        <v>50.309999999999995</v>
      </c>
      <c r="AF578" s="42">
        <f t="shared" si="119"/>
        <v>16242.643871999999</v>
      </c>
      <c r="AG578" s="42">
        <f t="shared" si="120"/>
        <v>8823.3677999999982</v>
      </c>
      <c r="AH578" s="42">
        <f t="shared" si="121"/>
        <v>7419.2760720000006</v>
      </c>
      <c r="AI578" s="44">
        <f t="shared" si="122"/>
        <v>0.45677761148169815</v>
      </c>
      <c r="AJ578" s="42">
        <f t="shared" si="123"/>
        <v>2360.0422719999988</v>
      </c>
      <c r="AK578" s="42">
        <f t="shared" si="124"/>
        <v>6341.2615999999998</v>
      </c>
      <c r="AL578" s="9">
        <f t="shared" si="125"/>
        <v>0</v>
      </c>
      <c r="AM578" s="42"/>
    </row>
    <row r="579" spans="1:39" x14ac:dyDescent="0.25">
      <c r="A579" t="s">
        <v>592</v>
      </c>
      <c r="B579" s="20">
        <v>45092</v>
      </c>
      <c r="C579" s="4">
        <v>45119</v>
      </c>
      <c r="D579" s="4" t="s">
        <v>1442</v>
      </c>
      <c r="E579" s="4">
        <v>45119</v>
      </c>
      <c r="F579" s="11">
        <f t="shared" si="126"/>
        <v>27</v>
      </c>
      <c r="G579" s="11" t="str">
        <f t="shared" ref="G579:G632" si="129">IF(F579&lt;=7, "Meets Target", "Does not Meet Target")</f>
        <v>Does not Meet Target</v>
      </c>
      <c r="H579" t="s">
        <v>649</v>
      </c>
      <c r="I579" t="s">
        <v>658</v>
      </c>
      <c r="J579" t="s">
        <v>693</v>
      </c>
      <c r="K579" t="s">
        <v>704</v>
      </c>
      <c r="L579" t="s">
        <v>711</v>
      </c>
      <c r="M579" t="s">
        <v>714</v>
      </c>
      <c r="N579" t="s">
        <v>733</v>
      </c>
      <c r="O579" t="str" cm="1">
        <f t="array" ref="O579">_xlfn.IFS(S579&lt;=_xlfn.PERCENTILE.INC(IF(N579:N1209=N579, S579:S1209), 0.33), "Low", S579&lt;=_xlfn.PERCENTILE.INC(IF(N579:N1209=N579, S579:S1209), 0.66), "Medium", S579 &gt; _xlfn.PERCENTILE.INC(IF(N579:N1209=N579, S579:S1209), 0.66), "High")</f>
        <v>High</v>
      </c>
      <c r="P579" t="s">
        <v>1310</v>
      </c>
      <c r="Q579" s="6">
        <v>751.28</v>
      </c>
      <c r="R579" s="6">
        <v>1111.8800000000001</v>
      </c>
      <c r="S579" s="6">
        <v>1111.8800000000001</v>
      </c>
      <c r="T579" s="9">
        <v>0.13500000000000001</v>
      </c>
      <c r="U579" s="9">
        <f>IF(T579&gt;0.3, $AO$4, T579)</f>
        <v>0.13500000000000001</v>
      </c>
      <c r="V579" s="7" t="str">
        <f t="shared" ref="V579:V632" si="130">IF(U579&gt;20%, "Greater than 20%", "Less than 20%")</f>
        <v>Less than 20%</v>
      </c>
      <c r="W579" s="11">
        <v>7</v>
      </c>
      <c r="X579" s="6">
        <f t="shared" si="127"/>
        <v>6732.4334000000008</v>
      </c>
      <c r="Y579" s="6">
        <f t="shared" si="128"/>
        <v>5258.96</v>
      </c>
      <c r="Z579" s="6">
        <f t="shared" ref="Z579:Z632" si="131">X579-Y579</f>
        <v>1473.4734000000008</v>
      </c>
      <c r="AA579" s="9">
        <f t="shared" ref="AA579:AA632" si="132">IF(X579=0, 0, Z579/X579)</f>
        <v>0.21886193482433863</v>
      </c>
      <c r="AB579" s="9">
        <f>IF(U579&gt;'What-If Analysis'!$F$16, 'What-If Analysis'!$F$16,T579)</f>
        <v>0.13500000000000001</v>
      </c>
      <c r="AC579" s="42">
        <f>S579*(1-AB579)</f>
        <v>961.77620000000013</v>
      </c>
      <c r="AD579" s="42">
        <f>Q579*(1+'What-If Analysis'!F594)</f>
        <v>751.28</v>
      </c>
      <c r="AE579" s="41">
        <f>W579*(1+'What-If Analysis'!$F$18)</f>
        <v>8.19</v>
      </c>
      <c r="AF579" s="42">
        <f t="shared" ref="AF579:AF632" si="133">AC579*AE579</f>
        <v>7876.9470780000001</v>
      </c>
      <c r="AG579" s="42">
        <f t="shared" ref="AG579:AG632" si="134">AD579*AE579</f>
        <v>6152.9831999999997</v>
      </c>
      <c r="AH579" s="42">
        <f t="shared" ref="AH579:AH632" si="135">AF579-AG579</f>
        <v>1723.9638780000005</v>
      </c>
      <c r="AI579" s="44">
        <f t="shared" ref="AI579:AI632" si="136">IF(AF579=0, 0, AH579/AF579)</f>
        <v>0.21886193482433861</v>
      </c>
      <c r="AJ579" s="42">
        <f t="shared" ref="AJ579:AJ632" si="137">AF579-X579</f>
        <v>1144.5136779999993</v>
      </c>
      <c r="AK579" s="42">
        <f t="shared" ref="AK579:AK632" si="138">Z579</f>
        <v>1473.4734000000008</v>
      </c>
      <c r="AL579" s="9">
        <f t="shared" ref="AL579:AL632" si="139">AI579-AA579</f>
        <v>0</v>
      </c>
      <c r="AM579" s="42"/>
    </row>
    <row r="580" spans="1:39" x14ac:dyDescent="0.25">
      <c r="A580" t="s">
        <v>593</v>
      </c>
      <c r="B580" s="20">
        <v>45607</v>
      </c>
      <c r="C580" s="4">
        <v>45620</v>
      </c>
      <c r="D580" s="4" t="s">
        <v>1435</v>
      </c>
      <c r="E580" s="4">
        <v>45620</v>
      </c>
      <c r="F580" s="11">
        <f t="shared" si="126"/>
        <v>13</v>
      </c>
      <c r="G580" s="11" t="str">
        <f t="shared" si="129"/>
        <v>Does not Meet Target</v>
      </c>
      <c r="H580" t="s">
        <v>649</v>
      </c>
      <c r="I580" t="s">
        <v>658</v>
      </c>
      <c r="J580" t="s">
        <v>683</v>
      </c>
      <c r="K580" t="s">
        <v>701</v>
      </c>
      <c r="L580" t="s">
        <v>707</v>
      </c>
      <c r="M580" t="s">
        <v>718</v>
      </c>
      <c r="N580" t="s">
        <v>729</v>
      </c>
      <c r="O580" t="str" cm="1">
        <f t="array" ref="O580">_xlfn.IFS(S580&lt;=_xlfn.PERCENTILE.INC(IF(N580:N1210=N580, S580:S1210), 0.33), "Low", S580&lt;=_xlfn.PERCENTILE.INC(IF(N580:N1210=N580, S580:S1210), 0.66), "Medium", S580 &gt; _xlfn.PERCENTILE.INC(IF(N580:N1210=N580, S580:S1210), 0.66), "High")</f>
        <v>Low</v>
      </c>
      <c r="P580" t="s">
        <v>1311</v>
      </c>
      <c r="Q580" s="6">
        <v>164.53</v>
      </c>
      <c r="R580" s="6">
        <v>327.72</v>
      </c>
      <c r="S580" s="6">
        <v>327.72</v>
      </c>
      <c r="T580" s="9">
        <v>6.7000000000000004E-2</v>
      </c>
      <c r="U580" s="9">
        <f>IF(T580&gt;0.3, $AO$4, T580)</f>
        <v>6.7000000000000004E-2</v>
      </c>
      <c r="V580" s="7" t="str">
        <f t="shared" si="130"/>
        <v>Less than 20%</v>
      </c>
      <c r="W580" s="11">
        <v>14</v>
      </c>
      <c r="X580" s="6">
        <f t="shared" si="127"/>
        <v>4280.6786400000001</v>
      </c>
      <c r="Y580" s="6">
        <f t="shared" si="128"/>
        <v>2303.42</v>
      </c>
      <c r="Z580" s="6">
        <f t="shared" si="131"/>
        <v>1977.25864</v>
      </c>
      <c r="AA580" s="9">
        <f t="shared" si="132"/>
        <v>0.46190307805960412</v>
      </c>
      <c r="AB580" s="9">
        <f>IF(U580&gt;'What-If Analysis'!$F$16, 'What-If Analysis'!$F$16,T580)</f>
        <v>6.7000000000000004E-2</v>
      </c>
      <c r="AC580" s="42">
        <f>S580*(1-AB580)</f>
        <v>305.76276000000001</v>
      </c>
      <c r="AD580" s="42">
        <f>Q580*(1+'What-If Analysis'!F595)</f>
        <v>164.53</v>
      </c>
      <c r="AE580" s="41">
        <f>W580*(1+'What-If Analysis'!$F$18)</f>
        <v>16.38</v>
      </c>
      <c r="AF580" s="42">
        <f t="shared" si="133"/>
        <v>5008.3940087999999</v>
      </c>
      <c r="AG580" s="42">
        <f t="shared" si="134"/>
        <v>2695.0013999999996</v>
      </c>
      <c r="AH580" s="42">
        <f t="shared" si="135"/>
        <v>2313.3926088000003</v>
      </c>
      <c r="AI580" s="44">
        <f t="shared" si="136"/>
        <v>0.46190307805960418</v>
      </c>
      <c r="AJ580" s="42">
        <f t="shared" si="137"/>
        <v>727.71536879999985</v>
      </c>
      <c r="AK580" s="42">
        <f t="shared" si="138"/>
        <v>1977.25864</v>
      </c>
      <c r="AL580" s="9">
        <f t="shared" si="139"/>
        <v>0</v>
      </c>
      <c r="AM580" s="42"/>
    </row>
    <row r="581" spans="1:39" x14ac:dyDescent="0.25">
      <c r="A581" t="s">
        <v>594</v>
      </c>
      <c r="B581" s="20">
        <v>45849</v>
      </c>
      <c r="C581" s="4">
        <v>45872</v>
      </c>
      <c r="D581" s="4" t="s">
        <v>1441</v>
      </c>
      <c r="E581" s="4">
        <v>45872</v>
      </c>
      <c r="F581" s="11">
        <f t="shared" si="126"/>
        <v>23</v>
      </c>
      <c r="G581" s="11" t="str">
        <f t="shared" si="129"/>
        <v>Does not Meet Target</v>
      </c>
      <c r="H581" t="s">
        <v>646</v>
      </c>
      <c r="I581" t="s">
        <v>650</v>
      </c>
      <c r="J581" t="s">
        <v>678</v>
      </c>
      <c r="K581" t="s">
        <v>705</v>
      </c>
      <c r="L581" t="s">
        <v>707</v>
      </c>
      <c r="M581" t="s">
        <v>712</v>
      </c>
      <c r="N581" t="s">
        <v>730</v>
      </c>
      <c r="O581" t="str" cm="1">
        <f t="array" ref="O581">_xlfn.IFS(S581&lt;=_xlfn.PERCENTILE.INC(IF(N581:N1211=N581, S581:S1211), 0.33), "Low", S581&lt;=_xlfn.PERCENTILE.INC(IF(N581:N1211=N581, S581:S1211), 0.66), "Medium", S581 &gt; _xlfn.PERCENTILE.INC(IF(N581:N1211=N581, S581:S1211), 0.66), "High")</f>
        <v>Low</v>
      </c>
      <c r="P581" t="s">
        <v>1312</v>
      </c>
      <c r="Q581" s="6">
        <v>389.93</v>
      </c>
      <c r="R581" s="6">
        <v>486.13</v>
      </c>
      <c r="S581" s="6">
        <v>486.13</v>
      </c>
      <c r="T581" s="9">
        <v>0.13200000000000001</v>
      </c>
      <c r="U581" s="9">
        <f>IF(T581&gt;0.3, $AO$4, T581)</f>
        <v>0.13200000000000001</v>
      </c>
      <c r="V581" s="7" t="str">
        <f t="shared" si="130"/>
        <v>Less than 20%</v>
      </c>
      <c r="W581" s="11">
        <v>17</v>
      </c>
      <c r="X581" s="6">
        <f t="shared" si="127"/>
        <v>7173.3342799999991</v>
      </c>
      <c r="Y581" s="6">
        <f t="shared" si="128"/>
        <v>6628.81</v>
      </c>
      <c r="Z581" s="6">
        <f t="shared" si="131"/>
        <v>544.52427999999873</v>
      </c>
      <c r="AA581" s="9">
        <f t="shared" si="132"/>
        <v>7.5909508569562828E-2</v>
      </c>
      <c r="AB581" s="9">
        <f>IF(U581&gt;'What-If Analysis'!$F$16, 'What-If Analysis'!$F$16,T581)</f>
        <v>0.13200000000000001</v>
      </c>
      <c r="AC581" s="42">
        <f>S581*(1-AB581)</f>
        <v>421.96084000000002</v>
      </c>
      <c r="AD581" s="42">
        <f>Q581*(1+'What-If Analysis'!F596)</f>
        <v>389.93</v>
      </c>
      <c r="AE581" s="41">
        <f>W581*(1+'What-If Analysis'!$F$18)</f>
        <v>19.89</v>
      </c>
      <c r="AF581" s="42">
        <f t="shared" si="133"/>
        <v>8392.8011076000003</v>
      </c>
      <c r="AG581" s="42">
        <f t="shared" si="134"/>
        <v>7755.7076999999999</v>
      </c>
      <c r="AH581" s="42">
        <f t="shared" si="135"/>
        <v>637.09340760000032</v>
      </c>
      <c r="AI581" s="44">
        <f t="shared" si="136"/>
        <v>7.5909508569563036E-2</v>
      </c>
      <c r="AJ581" s="42">
        <f t="shared" si="137"/>
        <v>1219.4668276000011</v>
      </c>
      <c r="AK581" s="42">
        <f t="shared" si="138"/>
        <v>544.52427999999873</v>
      </c>
      <c r="AL581" s="9">
        <f t="shared" si="139"/>
        <v>2.0816681711721685E-16</v>
      </c>
      <c r="AM581" s="42"/>
    </row>
    <row r="582" spans="1:39" x14ac:dyDescent="0.25">
      <c r="A582" t="s">
        <v>595</v>
      </c>
      <c r="B582" s="20">
        <v>45080</v>
      </c>
      <c r="C582" s="4">
        <v>45108</v>
      </c>
      <c r="D582" s="4" t="s">
        <v>1442</v>
      </c>
      <c r="E582" s="4">
        <v>45108</v>
      </c>
      <c r="F582" s="11">
        <f t="shared" si="126"/>
        <v>28</v>
      </c>
      <c r="G582" s="11" t="str">
        <f t="shared" si="129"/>
        <v>Does not Meet Target</v>
      </c>
      <c r="H582" t="s">
        <v>648</v>
      </c>
      <c r="I582" t="s">
        <v>655</v>
      </c>
      <c r="J582" t="s">
        <v>672</v>
      </c>
      <c r="K582" t="s">
        <v>705</v>
      </c>
      <c r="L582" t="s">
        <v>709</v>
      </c>
      <c r="M582" t="s">
        <v>720</v>
      </c>
      <c r="N582" t="s">
        <v>727</v>
      </c>
      <c r="O582" t="str" cm="1">
        <f t="array" ref="O582">_xlfn.IFS(S582&lt;=_xlfn.PERCENTILE.INC(IF(N582:N1212=N582, S582:S1212), 0.33), "Low", S582&lt;=_xlfn.PERCENTILE.INC(IF(N582:N1212=N582, S582:S1212), 0.66), "Medium", S582 &gt; _xlfn.PERCENTILE.INC(IF(N582:N1212=N582, S582:S1212), 0.66), "High")</f>
        <v>High</v>
      </c>
      <c r="P582" t="s">
        <v>1313</v>
      </c>
      <c r="Q582" s="6">
        <v>860.4</v>
      </c>
      <c r="R582" s="6">
        <v>2066.6</v>
      </c>
      <c r="S582" s="6">
        <v>2066.6</v>
      </c>
      <c r="T582" s="9">
        <v>0.01</v>
      </c>
      <c r="U582" s="9">
        <f>IF(T582&gt;0.3, $AO$4, T582)</f>
        <v>0.01</v>
      </c>
      <c r="V582" s="7" t="str">
        <f t="shared" si="130"/>
        <v>Less than 20%</v>
      </c>
      <c r="W582" s="11">
        <v>3</v>
      </c>
      <c r="X582" s="6">
        <f t="shared" si="127"/>
        <v>6137.8019999999988</v>
      </c>
      <c r="Y582" s="6">
        <f t="shared" si="128"/>
        <v>2581.1999999999998</v>
      </c>
      <c r="Z582" s="6">
        <f t="shared" si="131"/>
        <v>3556.601999999999</v>
      </c>
      <c r="AA582" s="9">
        <f t="shared" si="132"/>
        <v>0.57945857491004105</v>
      </c>
      <c r="AB582" s="9">
        <f>IF(U582&gt;'What-If Analysis'!$F$16, 'What-If Analysis'!$F$16,T582)</f>
        <v>0.01</v>
      </c>
      <c r="AC582" s="42">
        <f>S582*(1-AB582)</f>
        <v>2045.934</v>
      </c>
      <c r="AD582" s="42">
        <f>Q582*(1+'What-If Analysis'!F597)</f>
        <v>860.4</v>
      </c>
      <c r="AE582" s="41">
        <f>W582*(1+'What-If Analysis'!$F$18)</f>
        <v>3.51</v>
      </c>
      <c r="AF582" s="42">
        <f t="shared" si="133"/>
        <v>7181.2283399999997</v>
      </c>
      <c r="AG582" s="42">
        <f t="shared" si="134"/>
        <v>3020.0039999999999</v>
      </c>
      <c r="AH582" s="42">
        <f t="shared" si="135"/>
        <v>4161.2243399999998</v>
      </c>
      <c r="AI582" s="44">
        <f t="shared" si="136"/>
        <v>0.57945857491004105</v>
      </c>
      <c r="AJ582" s="42">
        <f t="shared" si="137"/>
        <v>1043.4263400000009</v>
      </c>
      <c r="AK582" s="42">
        <f t="shared" si="138"/>
        <v>3556.601999999999</v>
      </c>
      <c r="AL582" s="9">
        <f t="shared" si="139"/>
        <v>0</v>
      </c>
      <c r="AM582" s="42"/>
    </row>
    <row r="583" spans="1:39" x14ac:dyDescent="0.25">
      <c r="A583" t="s">
        <v>596</v>
      </c>
      <c r="B583" s="20">
        <v>44955</v>
      </c>
      <c r="C583" s="4">
        <v>44963</v>
      </c>
      <c r="D583" s="4" t="s">
        <v>1436</v>
      </c>
      <c r="E583" s="4">
        <v>44963</v>
      </c>
      <c r="F583" s="11">
        <f t="shared" si="126"/>
        <v>8</v>
      </c>
      <c r="G583" s="11" t="str">
        <f t="shared" si="129"/>
        <v>Does not Meet Target</v>
      </c>
      <c r="H583" t="s">
        <v>648</v>
      </c>
      <c r="I583" t="s">
        <v>655</v>
      </c>
      <c r="J583" t="s">
        <v>672</v>
      </c>
      <c r="K583" t="s">
        <v>701</v>
      </c>
      <c r="L583" t="s">
        <v>709</v>
      </c>
      <c r="M583" t="s">
        <v>726</v>
      </c>
      <c r="N583" t="s">
        <v>732</v>
      </c>
      <c r="O583" t="str" cm="1">
        <f t="array" ref="O583">_xlfn.IFS(S583&lt;=_xlfn.PERCENTILE.INC(IF(N583:N1213=N583, S583:S1213), 0.33), "Low", S583&lt;=_xlfn.PERCENTILE.INC(IF(N583:N1213=N583, S583:S1213), 0.66), "Medium", S583 &gt; _xlfn.PERCENTILE.INC(IF(N583:N1213=N583, S583:S1213), 0.66), "High")</f>
        <v>Low</v>
      </c>
      <c r="P583" t="s">
        <v>1314</v>
      </c>
      <c r="Q583" s="6">
        <v>41.84</v>
      </c>
      <c r="R583" s="6">
        <v>86.2</v>
      </c>
      <c r="S583" s="6">
        <v>86.2</v>
      </c>
      <c r="T583" s="9">
        <v>0.22600000000000001</v>
      </c>
      <c r="U583" s="9">
        <f>IF(T583&gt;0.3, $AO$4, T583)</f>
        <v>0.22600000000000001</v>
      </c>
      <c r="V583" s="7" t="str">
        <f t="shared" si="130"/>
        <v>Greater than 20%</v>
      </c>
      <c r="W583" s="11">
        <v>27</v>
      </c>
      <c r="X583" s="6">
        <f t="shared" si="127"/>
        <v>1801.4076000000002</v>
      </c>
      <c r="Y583" s="6">
        <f t="shared" si="128"/>
        <v>1129.68</v>
      </c>
      <c r="Z583" s="6">
        <f t="shared" si="131"/>
        <v>671.72760000000017</v>
      </c>
      <c r="AA583" s="9">
        <f t="shared" si="132"/>
        <v>0.37289039970742882</v>
      </c>
      <c r="AB583" s="9">
        <f>IF(U583&gt;'What-If Analysis'!$F$16, 'What-If Analysis'!$F$16,T583)</f>
        <v>0.17</v>
      </c>
      <c r="AC583" s="42">
        <f>S583*(1-AB583)</f>
        <v>71.545999999999992</v>
      </c>
      <c r="AD583" s="42">
        <f>Q583*(1+'What-If Analysis'!F598)</f>
        <v>41.84</v>
      </c>
      <c r="AE583" s="41">
        <f>W583*(1+'What-If Analysis'!$F$18)</f>
        <v>31.589999999999996</v>
      </c>
      <c r="AF583" s="42">
        <f t="shared" si="133"/>
        <v>2260.1381399999996</v>
      </c>
      <c r="AG583" s="42">
        <f t="shared" si="134"/>
        <v>1321.7256</v>
      </c>
      <c r="AH583" s="42">
        <f t="shared" si="135"/>
        <v>938.41253999999958</v>
      </c>
      <c r="AI583" s="44">
        <f t="shared" si="136"/>
        <v>0.41520140888379492</v>
      </c>
      <c r="AJ583" s="42">
        <f t="shared" si="137"/>
        <v>458.73053999999934</v>
      </c>
      <c r="AK583" s="42">
        <f t="shared" si="138"/>
        <v>671.72760000000017</v>
      </c>
      <c r="AL583" s="9">
        <f t="shared" si="139"/>
        <v>4.2311009176366099E-2</v>
      </c>
      <c r="AM583" s="42"/>
    </row>
    <row r="584" spans="1:39" x14ac:dyDescent="0.25">
      <c r="A584" t="s">
        <v>597</v>
      </c>
      <c r="B584" s="20">
        <v>45541</v>
      </c>
      <c r="C584" s="4">
        <v>45539</v>
      </c>
      <c r="D584" s="4" t="s">
        <v>1443</v>
      </c>
      <c r="E584" s="4">
        <v>45559</v>
      </c>
      <c r="F584" s="11">
        <f t="shared" si="126"/>
        <v>18</v>
      </c>
      <c r="G584" s="11" t="str">
        <f t="shared" si="129"/>
        <v>Does not Meet Target</v>
      </c>
      <c r="H584" t="s">
        <v>647</v>
      </c>
      <c r="I584" t="s">
        <v>652</v>
      </c>
      <c r="J584" t="s">
        <v>666</v>
      </c>
      <c r="K584" t="s">
        <v>701</v>
      </c>
      <c r="L584" t="s">
        <v>711</v>
      </c>
      <c r="M584" t="s">
        <v>720</v>
      </c>
      <c r="N584" t="s">
        <v>731</v>
      </c>
      <c r="O584" t="str" cm="1">
        <f t="array" ref="O584">_xlfn.IFS(S584&lt;=_xlfn.PERCENTILE.INC(IF(N584:N1214=N584, S584:S1214), 0.33), "Low", S584&lt;=_xlfn.PERCENTILE.INC(IF(N584:N1214=N584, S584:S1214), 0.66), "Medium", S584 &gt; _xlfn.PERCENTILE.INC(IF(N584:N1214=N584, S584:S1214), 0.66), "High")</f>
        <v>High</v>
      </c>
      <c r="P584" t="s">
        <v>1315</v>
      </c>
      <c r="Q584" s="6">
        <v>1368.17</v>
      </c>
      <c r="R584" s="6">
        <v>2307.75</v>
      </c>
      <c r="S584" s="6">
        <v>2307.75</v>
      </c>
      <c r="T584" s="9">
        <v>0.16300000000000001</v>
      </c>
      <c r="U584" s="9">
        <f>IF(T584&gt;0.3, $AO$4, T584)</f>
        <v>0.16300000000000001</v>
      </c>
      <c r="V584" s="7" t="str">
        <f t="shared" si="130"/>
        <v>Less than 20%</v>
      </c>
      <c r="W584" s="11">
        <v>21</v>
      </c>
      <c r="X584" s="6">
        <f t="shared" si="127"/>
        <v>40563.321749999996</v>
      </c>
      <c r="Y584" s="6">
        <f t="shared" si="128"/>
        <v>28731.57</v>
      </c>
      <c r="Z584" s="6">
        <f t="shared" si="131"/>
        <v>11831.751749999996</v>
      </c>
      <c r="AA584" s="9">
        <f t="shared" si="132"/>
        <v>0.29168596750831921</v>
      </c>
      <c r="AB584" s="9">
        <f>IF(U584&gt;'What-If Analysis'!$F$16, 'What-If Analysis'!$F$16,T584)</f>
        <v>0.16300000000000001</v>
      </c>
      <c r="AC584" s="42">
        <f>S584*(1-AB584)</f>
        <v>1931.5867499999999</v>
      </c>
      <c r="AD584" s="42">
        <f>Q584*(1+'What-If Analysis'!F599)</f>
        <v>1368.17</v>
      </c>
      <c r="AE584" s="41">
        <f>W584*(1+'What-If Analysis'!$F$18)</f>
        <v>24.57</v>
      </c>
      <c r="AF584" s="42">
        <f t="shared" si="133"/>
        <v>47459.086447499998</v>
      </c>
      <c r="AG584" s="42">
        <f t="shared" si="134"/>
        <v>33615.936900000001</v>
      </c>
      <c r="AH584" s="42">
        <f t="shared" si="135"/>
        <v>13843.149547499997</v>
      </c>
      <c r="AI584" s="44">
        <f t="shared" si="136"/>
        <v>0.29168596750831921</v>
      </c>
      <c r="AJ584" s="42">
        <f t="shared" si="137"/>
        <v>6895.7646975000025</v>
      </c>
      <c r="AK584" s="42">
        <f t="shared" si="138"/>
        <v>11831.751749999996</v>
      </c>
      <c r="AL584" s="9">
        <f t="shared" si="139"/>
        <v>0</v>
      </c>
      <c r="AM584" s="42"/>
    </row>
    <row r="585" spans="1:39" x14ac:dyDescent="0.25">
      <c r="A585" t="s">
        <v>598</v>
      </c>
      <c r="B585" s="20">
        <v>45507</v>
      </c>
      <c r="C585" s="4">
        <v>45513</v>
      </c>
      <c r="D585" s="4" t="s">
        <v>1443</v>
      </c>
      <c r="E585" s="4">
        <v>45513</v>
      </c>
      <c r="F585" s="11">
        <f t="shared" si="126"/>
        <v>6</v>
      </c>
      <c r="G585" s="11" t="str">
        <f t="shared" si="129"/>
        <v>Meets Target</v>
      </c>
      <c r="H585" t="s">
        <v>646</v>
      </c>
      <c r="I585" t="s">
        <v>650</v>
      </c>
      <c r="J585" t="s">
        <v>675</v>
      </c>
      <c r="K585" t="s">
        <v>704</v>
      </c>
      <c r="L585" t="s">
        <v>709</v>
      </c>
      <c r="M585" t="s">
        <v>722</v>
      </c>
      <c r="N585" t="s">
        <v>731</v>
      </c>
      <c r="O585" t="str" cm="1">
        <f t="array" ref="O585">_xlfn.IFS(S585&lt;=_xlfn.PERCENTILE.INC(IF(N585:N1215=N585, S585:S1215), 0.33), "Low", S585&lt;=_xlfn.PERCENTILE.INC(IF(N585:N1215=N585, S585:S1215), 0.66), "Medium", S585 &gt; _xlfn.PERCENTILE.INC(IF(N585:N1215=N585, S585:S1215), 0.66), "High")</f>
        <v>Medium</v>
      </c>
      <c r="P585" t="s">
        <v>1316</v>
      </c>
      <c r="Q585" s="6">
        <v>643.21</v>
      </c>
      <c r="R585" s="6">
        <v>1112.81</v>
      </c>
      <c r="S585" s="6">
        <v>1112.81</v>
      </c>
      <c r="T585" s="9">
        <v>0.14099999999999999</v>
      </c>
      <c r="U585" s="9">
        <f>IF(T585&gt;0.3, $AO$4, T585)</f>
        <v>0.14099999999999999</v>
      </c>
      <c r="V585" s="7" t="str">
        <f t="shared" si="130"/>
        <v>Less than 20%</v>
      </c>
      <c r="W585" s="11">
        <v>4</v>
      </c>
      <c r="X585" s="6">
        <f t="shared" si="127"/>
        <v>3823.6151599999998</v>
      </c>
      <c r="Y585" s="6">
        <f t="shared" si="128"/>
        <v>2572.84</v>
      </c>
      <c r="Z585" s="6">
        <f t="shared" si="131"/>
        <v>1250.7751599999997</v>
      </c>
      <c r="AA585" s="9">
        <f t="shared" si="132"/>
        <v>0.32711847496702562</v>
      </c>
      <c r="AB585" s="9">
        <f>IF(U585&gt;'What-If Analysis'!$F$16, 'What-If Analysis'!$F$16,T585)</f>
        <v>0.14099999999999999</v>
      </c>
      <c r="AC585" s="42">
        <f>S585*(1-AB585)</f>
        <v>955.90378999999996</v>
      </c>
      <c r="AD585" s="42">
        <f>Q585*(1+'What-If Analysis'!F600)</f>
        <v>643.21</v>
      </c>
      <c r="AE585" s="41">
        <f>W585*(1+'What-If Analysis'!$F$18)</f>
        <v>4.68</v>
      </c>
      <c r="AF585" s="42">
        <f t="shared" si="133"/>
        <v>4473.6297371999999</v>
      </c>
      <c r="AG585" s="42">
        <f t="shared" si="134"/>
        <v>3010.2228</v>
      </c>
      <c r="AH585" s="42">
        <f t="shared" si="135"/>
        <v>1463.4069371999999</v>
      </c>
      <c r="AI585" s="44">
        <f t="shared" si="136"/>
        <v>0.32711847496702567</v>
      </c>
      <c r="AJ585" s="42">
        <f t="shared" si="137"/>
        <v>650.01457720000008</v>
      </c>
      <c r="AK585" s="42">
        <f t="shared" si="138"/>
        <v>1250.7751599999997</v>
      </c>
      <c r="AL585" s="9">
        <f t="shared" si="139"/>
        <v>0</v>
      </c>
      <c r="AM585" s="42"/>
    </row>
    <row r="586" spans="1:39" x14ac:dyDescent="0.25">
      <c r="A586" t="s">
        <v>599</v>
      </c>
      <c r="B586" s="20">
        <v>45764</v>
      </c>
      <c r="C586" s="4">
        <v>45764</v>
      </c>
      <c r="D586" s="4" t="s">
        <v>1440</v>
      </c>
      <c r="E586" s="4">
        <v>45764</v>
      </c>
      <c r="F586" s="11">
        <f t="shared" si="126"/>
        <v>0</v>
      </c>
      <c r="G586" s="11" t="str">
        <f t="shared" si="129"/>
        <v>Meets Target</v>
      </c>
      <c r="H586" t="s">
        <v>648</v>
      </c>
      <c r="I586" t="s">
        <v>655</v>
      </c>
      <c r="J586" t="s">
        <v>670</v>
      </c>
      <c r="K586" t="s">
        <v>701</v>
      </c>
      <c r="L586" t="s">
        <v>710</v>
      </c>
      <c r="M586" t="s">
        <v>716</v>
      </c>
      <c r="N586" t="s">
        <v>730</v>
      </c>
      <c r="O586" t="str" cm="1">
        <f t="array" ref="O586">_xlfn.IFS(S586&lt;=_xlfn.PERCENTILE.INC(IF(N586:N1216=N586, S586:S1216), 0.33), "Low", S586&lt;=_xlfn.PERCENTILE.INC(IF(N586:N1216=N586, S586:S1216), 0.66), "Medium", S586 &gt; _xlfn.PERCENTILE.INC(IF(N586:N1216=N586, S586:S1216), 0.66), "High")</f>
        <v>Low</v>
      </c>
      <c r="P586" t="s">
        <v>1317</v>
      </c>
      <c r="Q586" s="6">
        <v>719.41</v>
      </c>
      <c r="R586" s="6">
        <v>1125.99</v>
      </c>
      <c r="S586" s="6">
        <v>1125.99</v>
      </c>
      <c r="T586" s="9">
        <v>4.1000000000000002E-2</v>
      </c>
      <c r="U586" s="9">
        <f>IF(T586&gt;0.3, $AO$4, T586)</f>
        <v>4.1000000000000002E-2</v>
      </c>
      <c r="V586" s="7" t="str">
        <f t="shared" si="130"/>
        <v>Less than 20%</v>
      </c>
      <c r="W586" s="11">
        <v>21</v>
      </c>
      <c r="X586" s="6">
        <f t="shared" si="127"/>
        <v>22676.312610000001</v>
      </c>
      <c r="Y586" s="6">
        <f t="shared" si="128"/>
        <v>15107.609999999999</v>
      </c>
      <c r="Z586" s="6">
        <f t="shared" si="131"/>
        <v>7568.7026100000021</v>
      </c>
      <c r="AA586" s="9">
        <f t="shared" si="132"/>
        <v>0.33377131194876403</v>
      </c>
      <c r="AB586" s="9">
        <f>IF(U586&gt;'What-If Analysis'!$F$16, 'What-If Analysis'!$F$16,T586)</f>
        <v>4.1000000000000002E-2</v>
      </c>
      <c r="AC586" s="42">
        <f>S586*(1-AB586)</f>
        <v>1079.8244099999999</v>
      </c>
      <c r="AD586" s="42">
        <f>Q586*(1+'What-If Analysis'!F601)</f>
        <v>719.41</v>
      </c>
      <c r="AE586" s="41">
        <f>W586*(1+'What-If Analysis'!$F$18)</f>
        <v>24.57</v>
      </c>
      <c r="AF586" s="42">
        <f t="shared" si="133"/>
        <v>26531.285753699998</v>
      </c>
      <c r="AG586" s="42">
        <f t="shared" si="134"/>
        <v>17675.903699999999</v>
      </c>
      <c r="AH586" s="42">
        <f t="shared" si="135"/>
        <v>8855.3820536999992</v>
      </c>
      <c r="AI586" s="44">
        <f t="shared" si="136"/>
        <v>0.33377131194876397</v>
      </c>
      <c r="AJ586" s="42">
        <f t="shared" si="137"/>
        <v>3854.9731436999973</v>
      </c>
      <c r="AK586" s="42">
        <f t="shared" si="138"/>
        <v>7568.7026100000021</v>
      </c>
      <c r="AL586" s="9">
        <f t="shared" si="139"/>
        <v>0</v>
      </c>
      <c r="AM586" s="42"/>
    </row>
    <row r="587" spans="1:39" x14ac:dyDescent="0.25">
      <c r="A587" t="s">
        <v>600</v>
      </c>
      <c r="B587" s="20">
        <v>45049</v>
      </c>
      <c r="C587" s="4">
        <v>45062</v>
      </c>
      <c r="D587" s="4" t="s">
        <v>1442</v>
      </c>
      <c r="E587" s="4">
        <v>45062</v>
      </c>
      <c r="F587" s="11">
        <f t="shared" si="126"/>
        <v>13</v>
      </c>
      <c r="G587" s="11" t="str">
        <f t="shared" si="129"/>
        <v>Does not Meet Target</v>
      </c>
      <c r="H587" t="s">
        <v>648</v>
      </c>
      <c r="I587" t="s">
        <v>660</v>
      </c>
      <c r="J587" t="s">
        <v>700</v>
      </c>
      <c r="K587" t="s">
        <v>701</v>
      </c>
      <c r="L587" t="s">
        <v>709</v>
      </c>
      <c r="M587" t="s">
        <v>716</v>
      </c>
      <c r="N587" t="s">
        <v>730</v>
      </c>
      <c r="O587" t="str" cm="1">
        <f t="array" ref="O587">_xlfn.IFS(S587&lt;=_xlfn.PERCENTILE.INC(IF(N587:N1217=N587, S587:S1217), 0.33), "Low", S587&lt;=_xlfn.PERCENTILE.INC(IF(N587:N1217=N587, S587:S1217), 0.66), "Medium", S587 &gt; _xlfn.PERCENTILE.INC(IF(N587:N1217=N587, S587:S1217), 0.66), "High")</f>
        <v>Low</v>
      </c>
      <c r="P587" t="s">
        <v>1318</v>
      </c>
      <c r="Q587" s="6">
        <v>64.5</v>
      </c>
      <c r="R587" s="6">
        <v>123.62</v>
      </c>
      <c r="S587" s="6">
        <v>123.62</v>
      </c>
      <c r="T587" s="9">
        <v>0</v>
      </c>
      <c r="U587" s="9">
        <f>IF(T587&gt;0.3, $AO$4, T587)</f>
        <v>0</v>
      </c>
      <c r="V587" s="7" t="str">
        <f t="shared" si="130"/>
        <v>Less than 20%</v>
      </c>
      <c r="W587" s="11">
        <v>3</v>
      </c>
      <c r="X587" s="6">
        <f t="shared" si="127"/>
        <v>370.86</v>
      </c>
      <c r="Y587" s="6">
        <f t="shared" si="128"/>
        <v>193.5</v>
      </c>
      <c r="Z587" s="6">
        <f t="shared" si="131"/>
        <v>177.36</v>
      </c>
      <c r="AA587" s="9">
        <f t="shared" si="132"/>
        <v>0.47823976702798904</v>
      </c>
      <c r="AB587" s="9">
        <f>IF(U587&gt;'What-If Analysis'!$F$16, 'What-If Analysis'!$F$16,T587)</f>
        <v>0</v>
      </c>
      <c r="AC587" s="42">
        <f>S587*(1-AB587)</f>
        <v>123.62</v>
      </c>
      <c r="AD587" s="42">
        <f>Q587*(1+'What-If Analysis'!F602)</f>
        <v>64.5</v>
      </c>
      <c r="AE587" s="41">
        <f>W587*(1+'What-If Analysis'!$F$18)</f>
        <v>3.51</v>
      </c>
      <c r="AF587" s="42">
        <f t="shared" si="133"/>
        <v>433.90620000000001</v>
      </c>
      <c r="AG587" s="42">
        <f t="shared" si="134"/>
        <v>226.39499999999998</v>
      </c>
      <c r="AH587" s="42">
        <f t="shared" si="135"/>
        <v>207.51120000000003</v>
      </c>
      <c r="AI587" s="44">
        <f t="shared" si="136"/>
        <v>0.47823976702798904</v>
      </c>
      <c r="AJ587" s="42">
        <f t="shared" si="137"/>
        <v>63.046199999999999</v>
      </c>
      <c r="AK587" s="42">
        <f t="shared" si="138"/>
        <v>177.36</v>
      </c>
      <c r="AL587" s="9">
        <f t="shared" si="139"/>
        <v>0</v>
      </c>
      <c r="AM587" s="42"/>
    </row>
    <row r="588" spans="1:39" x14ac:dyDescent="0.25">
      <c r="A588" t="s">
        <v>601</v>
      </c>
      <c r="B588" s="20">
        <v>45364</v>
      </c>
      <c r="C588" s="4">
        <v>45388</v>
      </c>
      <c r="D588" s="4" t="s">
        <v>1434</v>
      </c>
      <c r="E588" s="4">
        <v>45388</v>
      </c>
      <c r="F588" s="11">
        <f t="shared" si="126"/>
        <v>24</v>
      </c>
      <c r="G588" s="11" t="str">
        <f t="shared" si="129"/>
        <v>Does not Meet Target</v>
      </c>
      <c r="H588" t="s">
        <v>646</v>
      </c>
      <c r="I588" t="s">
        <v>651</v>
      </c>
      <c r="J588" t="s">
        <v>669</v>
      </c>
      <c r="K588" t="s">
        <v>704</v>
      </c>
      <c r="L588" t="s">
        <v>710</v>
      </c>
      <c r="M588" t="s">
        <v>716</v>
      </c>
      <c r="N588" t="s">
        <v>727</v>
      </c>
      <c r="O588" t="str" cm="1">
        <f t="array" ref="O588">_xlfn.IFS(S588&lt;=_xlfn.PERCENTILE.INC(IF(N588:N1218=N588, S588:S1218), 0.33), "Low", S588&lt;=_xlfn.PERCENTILE.INC(IF(N588:N1218=N588, S588:S1218), 0.66), "Medium", S588 &gt; _xlfn.PERCENTILE.INC(IF(N588:N1218=N588, S588:S1218), 0.66), "High")</f>
        <v>High</v>
      </c>
      <c r="P588" t="s">
        <v>1319</v>
      </c>
      <c r="Q588" s="6">
        <v>1232.78</v>
      </c>
      <c r="R588" s="6">
        <v>1731.75</v>
      </c>
      <c r="S588" s="6">
        <v>1731.75</v>
      </c>
      <c r="T588" s="9">
        <v>9.2999999999999999E-2</v>
      </c>
      <c r="U588" s="9">
        <f>IF(T588&gt;0.3, $AO$4, T588)</f>
        <v>9.2999999999999999E-2</v>
      </c>
      <c r="V588" s="7" t="str">
        <f t="shared" si="130"/>
        <v>Less than 20%</v>
      </c>
      <c r="W588" s="11">
        <v>16</v>
      </c>
      <c r="X588" s="6">
        <f t="shared" si="127"/>
        <v>25131.155999999999</v>
      </c>
      <c r="Y588" s="6">
        <f t="shared" si="128"/>
        <v>19724.48</v>
      </c>
      <c r="Z588" s="6">
        <f t="shared" si="131"/>
        <v>5406.6759999999995</v>
      </c>
      <c r="AA588" s="9">
        <f t="shared" si="132"/>
        <v>0.21513837246484005</v>
      </c>
      <c r="AB588" s="9">
        <f>IF(U588&gt;'What-If Analysis'!$F$16, 'What-If Analysis'!$F$16,T588)</f>
        <v>9.2999999999999999E-2</v>
      </c>
      <c r="AC588" s="42">
        <f>S588*(1-AB588)</f>
        <v>1570.6972499999999</v>
      </c>
      <c r="AD588" s="42">
        <f>Q588*(1+'What-If Analysis'!F603)</f>
        <v>1232.78</v>
      </c>
      <c r="AE588" s="41">
        <f>W588*(1+'What-If Analysis'!$F$18)</f>
        <v>18.72</v>
      </c>
      <c r="AF588" s="42">
        <f t="shared" si="133"/>
        <v>29403.452519999995</v>
      </c>
      <c r="AG588" s="42">
        <f t="shared" si="134"/>
        <v>23077.641599999999</v>
      </c>
      <c r="AH588" s="42">
        <f t="shared" si="135"/>
        <v>6325.8109199999963</v>
      </c>
      <c r="AI588" s="44">
        <f t="shared" si="136"/>
        <v>0.21513837246483997</v>
      </c>
      <c r="AJ588" s="42">
        <f t="shared" si="137"/>
        <v>4272.2965199999962</v>
      </c>
      <c r="AK588" s="42">
        <f t="shared" si="138"/>
        <v>5406.6759999999995</v>
      </c>
      <c r="AL588" s="9">
        <f t="shared" si="139"/>
        <v>0</v>
      </c>
      <c r="AM588" s="42"/>
    </row>
    <row r="589" spans="1:39" x14ac:dyDescent="0.25">
      <c r="A589" t="s">
        <v>602</v>
      </c>
      <c r="B589" s="20">
        <v>45459</v>
      </c>
      <c r="C589" s="4">
        <v>45464</v>
      </c>
      <c r="D589" s="4" t="s">
        <v>1439</v>
      </c>
      <c r="E589" s="4">
        <v>45464</v>
      </c>
      <c r="F589" s="11">
        <f t="shared" si="126"/>
        <v>5</v>
      </c>
      <c r="G589" s="11" t="str">
        <f t="shared" si="129"/>
        <v>Meets Target</v>
      </c>
      <c r="H589" t="s">
        <v>647</v>
      </c>
      <c r="I589" t="s">
        <v>652</v>
      </c>
      <c r="J589" t="s">
        <v>689</v>
      </c>
      <c r="K589" t="s">
        <v>705</v>
      </c>
      <c r="L589" t="s">
        <v>710</v>
      </c>
      <c r="M589" t="s">
        <v>721</v>
      </c>
      <c r="N589" t="s">
        <v>730</v>
      </c>
      <c r="O589" t="str" cm="1">
        <f t="array" ref="O589">_xlfn.IFS(S589&lt;=_xlfn.PERCENTILE.INC(IF(N589:N1219=N589, S589:S1219), 0.33), "Low", S589&lt;=_xlfn.PERCENTILE.INC(IF(N589:N1219=N589, S589:S1219), 0.66), "Medium", S589 &gt; _xlfn.PERCENTILE.INC(IF(N589:N1219=N589, S589:S1219), 0.66), "High")</f>
        <v>High</v>
      </c>
      <c r="P589" t="s">
        <v>1320</v>
      </c>
      <c r="Q589" s="6">
        <v>1367.13</v>
      </c>
      <c r="R589" s="6">
        <v>3062.01</v>
      </c>
      <c r="S589" s="6">
        <v>3062.01</v>
      </c>
      <c r="T589" s="9">
        <v>0.10299999999999999</v>
      </c>
      <c r="U589" s="9">
        <f>IF(T589&gt;0.3, $AO$4, T589)</f>
        <v>0.10299999999999999</v>
      </c>
      <c r="V589" s="7" t="str">
        <f t="shared" si="130"/>
        <v>Less than 20%</v>
      </c>
      <c r="W589" s="11">
        <v>25</v>
      </c>
      <c r="X589" s="6">
        <f t="shared" si="127"/>
        <v>68665.574250000005</v>
      </c>
      <c r="Y589" s="6">
        <f t="shared" si="128"/>
        <v>34178.25</v>
      </c>
      <c r="Z589" s="6">
        <f t="shared" si="131"/>
        <v>34487.324250000005</v>
      </c>
      <c r="AA589" s="9">
        <f t="shared" si="132"/>
        <v>0.50225057645971705</v>
      </c>
      <c r="AB589" s="9">
        <f>IF(U589&gt;'What-If Analysis'!$F$16, 'What-If Analysis'!$F$16,T589)</f>
        <v>0.10299999999999999</v>
      </c>
      <c r="AC589" s="42">
        <f>S589*(1-AB589)</f>
        <v>2746.6229700000004</v>
      </c>
      <c r="AD589" s="42">
        <f>Q589*(1+'What-If Analysis'!F604)</f>
        <v>1367.13</v>
      </c>
      <c r="AE589" s="41">
        <f>W589*(1+'What-If Analysis'!$F$18)</f>
        <v>29.25</v>
      </c>
      <c r="AF589" s="42">
        <f t="shared" si="133"/>
        <v>80338.721872500013</v>
      </c>
      <c r="AG589" s="42">
        <f t="shared" si="134"/>
        <v>39988.552500000005</v>
      </c>
      <c r="AH589" s="42">
        <f t="shared" si="135"/>
        <v>40350.169372500008</v>
      </c>
      <c r="AI589" s="44">
        <f t="shared" si="136"/>
        <v>0.50225057645971705</v>
      </c>
      <c r="AJ589" s="42">
        <f t="shared" si="137"/>
        <v>11673.147622500008</v>
      </c>
      <c r="AK589" s="42">
        <f t="shared" si="138"/>
        <v>34487.324250000005</v>
      </c>
      <c r="AL589" s="9">
        <f t="shared" si="139"/>
        <v>0</v>
      </c>
      <c r="AM589" s="42"/>
    </row>
    <row r="590" spans="1:39" x14ac:dyDescent="0.25">
      <c r="A590" t="s">
        <v>603</v>
      </c>
      <c r="B590" s="20">
        <v>45703</v>
      </c>
      <c r="C590" s="4">
        <v>45715</v>
      </c>
      <c r="D590" s="4" t="s">
        <v>1437</v>
      </c>
      <c r="E590" s="4">
        <v>45715</v>
      </c>
      <c r="F590" s="11">
        <f t="shared" si="126"/>
        <v>12</v>
      </c>
      <c r="G590" s="11" t="str">
        <f t="shared" si="129"/>
        <v>Does not Meet Target</v>
      </c>
      <c r="H590" t="s">
        <v>649</v>
      </c>
      <c r="I590" t="s">
        <v>657</v>
      </c>
      <c r="J590" t="s">
        <v>679</v>
      </c>
      <c r="K590" t="s">
        <v>703</v>
      </c>
      <c r="L590" t="s">
        <v>711</v>
      </c>
      <c r="M590" t="s">
        <v>723</v>
      </c>
      <c r="N590" t="s">
        <v>733</v>
      </c>
      <c r="O590" t="str" cm="1">
        <f t="array" ref="O590">_xlfn.IFS(S590&lt;=_xlfn.PERCENTILE.INC(IF(N590:N1220=N590, S590:S1220), 0.33), "Low", S590&lt;=_xlfn.PERCENTILE.INC(IF(N590:N1220=N590, S590:S1220), 0.66), "Medium", S590 &gt; _xlfn.PERCENTILE.INC(IF(N590:N1220=N590, S590:S1220), 0.66), "High")</f>
        <v>High</v>
      </c>
      <c r="P590" t="s">
        <v>1321</v>
      </c>
      <c r="Q590" s="6">
        <v>1027.26</v>
      </c>
      <c r="R590" s="6">
        <v>2200.41</v>
      </c>
      <c r="S590" s="6">
        <v>2200.41</v>
      </c>
      <c r="T590" s="9">
        <v>8.7999999999999995E-2</v>
      </c>
      <c r="U590" s="9">
        <f>IF(T590&gt;0.3, $AO$4, T590)</f>
        <v>8.7999999999999995E-2</v>
      </c>
      <c r="V590" s="7" t="str">
        <f t="shared" si="130"/>
        <v>Less than 20%</v>
      </c>
      <c r="W590" s="11">
        <v>6</v>
      </c>
      <c r="X590" s="6">
        <f t="shared" si="127"/>
        <v>12040.64352</v>
      </c>
      <c r="Y590" s="6">
        <f t="shared" si="128"/>
        <v>6163.5599999999995</v>
      </c>
      <c r="Z590" s="6">
        <f t="shared" si="131"/>
        <v>5877.0835200000001</v>
      </c>
      <c r="AA590" s="9">
        <f t="shared" si="132"/>
        <v>0.48810377204822358</v>
      </c>
      <c r="AB590" s="9">
        <f>IF(U590&gt;'What-If Analysis'!$F$16, 'What-If Analysis'!$F$16,T590)</f>
        <v>8.7999999999999995E-2</v>
      </c>
      <c r="AC590" s="42">
        <f>S590*(1-AB590)</f>
        <v>2006.7739199999999</v>
      </c>
      <c r="AD590" s="42">
        <f>Q590*(1+'What-If Analysis'!F605)</f>
        <v>1027.26</v>
      </c>
      <c r="AE590" s="41">
        <f>W590*(1+'What-If Analysis'!$F$18)</f>
        <v>7.02</v>
      </c>
      <c r="AF590" s="42">
        <f t="shared" si="133"/>
        <v>14087.552918399999</v>
      </c>
      <c r="AG590" s="42">
        <f t="shared" si="134"/>
        <v>7211.3651999999993</v>
      </c>
      <c r="AH590" s="42">
        <f t="shared" si="135"/>
        <v>6876.1877183999995</v>
      </c>
      <c r="AI590" s="44">
        <f t="shared" si="136"/>
        <v>0.48810377204822358</v>
      </c>
      <c r="AJ590" s="42">
        <f t="shared" si="137"/>
        <v>2046.9093983999992</v>
      </c>
      <c r="AK590" s="42">
        <f t="shared" si="138"/>
        <v>5877.0835200000001</v>
      </c>
      <c r="AL590" s="9">
        <f t="shared" si="139"/>
        <v>0</v>
      </c>
      <c r="AM590" s="42"/>
    </row>
    <row r="591" spans="1:39" x14ac:dyDescent="0.25">
      <c r="A591" t="s">
        <v>604</v>
      </c>
      <c r="B591" s="20">
        <v>45019</v>
      </c>
      <c r="C591" s="4">
        <v>45032</v>
      </c>
      <c r="D591" s="4" t="s">
        <v>1442</v>
      </c>
      <c r="E591" s="4">
        <v>45032</v>
      </c>
      <c r="F591" s="11">
        <f t="shared" si="126"/>
        <v>13</v>
      </c>
      <c r="G591" s="11" t="str">
        <f t="shared" si="129"/>
        <v>Does not Meet Target</v>
      </c>
      <c r="H591" t="s">
        <v>649</v>
      </c>
      <c r="I591" t="s">
        <v>657</v>
      </c>
      <c r="J591" t="s">
        <v>673</v>
      </c>
      <c r="K591" t="s">
        <v>703</v>
      </c>
      <c r="L591" t="s">
        <v>709</v>
      </c>
      <c r="M591" t="s">
        <v>724</v>
      </c>
      <c r="N591" t="s">
        <v>733</v>
      </c>
      <c r="O591" t="str" cm="1">
        <f t="array" ref="O591">_xlfn.IFS(S591&lt;=_xlfn.PERCENTILE.INC(IF(N591:N1221=N591, S591:S1221), 0.33), "Low", S591&lt;=_xlfn.PERCENTILE.INC(IF(N591:N1221=N591, S591:S1221), 0.66), "Medium", S591 &gt; _xlfn.PERCENTILE.INC(IF(N591:N1221=N591, S591:S1221), 0.66), "High")</f>
        <v>Low</v>
      </c>
      <c r="P591" t="s">
        <v>1322</v>
      </c>
      <c r="Q591" s="6">
        <v>790.54</v>
      </c>
      <c r="R591" s="6">
        <v>601.49</v>
      </c>
      <c r="S591" s="6">
        <v>601.49</v>
      </c>
      <c r="T591" s="9">
        <v>0</v>
      </c>
      <c r="U591" s="9">
        <f>IF(T591&gt;0.3, $AO$4, T591)</f>
        <v>0</v>
      </c>
      <c r="V591" s="7" t="str">
        <f t="shared" si="130"/>
        <v>Less than 20%</v>
      </c>
      <c r="W591" s="11">
        <v>15</v>
      </c>
      <c r="X591" s="6">
        <f t="shared" si="127"/>
        <v>9022.35</v>
      </c>
      <c r="Y591" s="6">
        <f t="shared" si="128"/>
        <v>11858.099999999999</v>
      </c>
      <c r="Z591" s="6">
        <f t="shared" si="131"/>
        <v>-2835.7499999999982</v>
      </c>
      <c r="AA591" s="9">
        <f t="shared" si="132"/>
        <v>-0.31430281467688553</v>
      </c>
      <c r="AB591" s="9">
        <f>IF(U591&gt;'What-If Analysis'!$F$16, 'What-If Analysis'!$F$16,T591)</f>
        <v>0</v>
      </c>
      <c r="AC591" s="42">
        <f>S591*(1-AB591)</f>
        <v>601.49</v>
      </c>
      <c r="AD591" s="42">
        <f>Q591*(1+'What-If Analysis'!F606)</f>
        <v>790.54</v>
      </c>
      <c r="AE591" s="41">
        <f>W591*(1+'What-If Analysis'!$F$18)</f>
        <v>17.549999999999997</v>
      </c>
      <c r="AF591" s="42">
        <f t="shared" si="133"/>
        <v>10556.149499999998</v>
      </c>
      <c r="AG591" s="42">
        <f t="shared" si="134"/>
        <v>13873.976999999997</v>
      </c>
      <c r="AH591" s="42">
        <f t="shared" si="135"/>
        <v>-3317.8274999999994</v>
      </c>
      <c r="AI591" s="44">
        <f t="shared" si="136"/>
        <v>-0.31430281467688576</v>
      </c>
      <c r="AJ591" s="42">
        <f t="shared" si="137"/>
        <v>1533.7994999999974</v>
      </c>
      <c r="AK591" s="42">
        <f t="shared" si="138"/>
        <v>-2835.7499999999982</v>
      </c>
      <c r="AL591" s="9">
        <f t="shared" si="139"/>
        <v>0</v>
      </c>
      <c r="AM591" s="42"/>
    </row>
    <row r="592" spans="1:39" x14ac:dyDescent="0.25">
      <c r="A592" t="s">
        <v>605</v>
      </c>
      <c r="B592" s="20">
        <v>45899</v>
      </c>
      <c r="C592" s="4">
        <v>45922</v>
      </c>
      <c r="D592" s="4" t="s">
        <v>1441</v>
      </c>
      <c r="E592" s="4">
        <v>45922</v>
      </c>
      <c r="F592" s="11">
        <f t="shared" si="126"/>
        <v>23</v>
      </c>
      <c r="G592" s="11" t="str">
        <f t="shared" si="129"/>
        <v>Does not Meet Target</v>
      </c>
      <c r="H592" t="s">
        <v>649</v>
      </c>
      <c r="I592" t="s">
        <v>657</v>
      </c>
      <c r="J592" t="s">
        <v>673</v>
      </c>
      <c r="K592" t="s">
        <v>701</v>
      </c>
      <c r="L592" t="s">
        <v>711</v>
      </c>
      <c r="M592" t="s">
        <v>718</v>
      </c>
      <c r="N592" t="s">
        <v>727</v>
      </c>
      <c r="O592" t="str" cm="1">
        <f t="array" ref="O592">_xlfn.IFS(S592&lt;=_xlfn.PERCENTILE.INC(IF(N592:N1222=N592, S592:S1222), 0.33), "Low", S592&lt;=_xlfn.PERCENTILE.INC(IF(N592:N1222=N592, S592:S1222), 0.66), "Medium", S592 &gt; _xlfn.PERCENTILE.INC(IF(N592:N1222=N592, S592:S1222), 0.66), "High")</f>
        <v>Low</v>
      </c>
      <c r="P592" t="s">
        <v>1323</v>
      </c>
      <c r="Q592" s="6">
        <v>663.9</v>
      </c>
      <c r="R592" s="6">
        <v>947.77</v>
      </c>
      <c r="S592" s="6">
        <v>947.77</v>
      </c>
      <c r="T592" s="9">
        <v>0.17399999999999999</v>
      </c>
      <c r="U592" s="9">
        <f>IF(T592&gt;0.3, $AO$4, T592)</f>
        <v>0.17399999999999999</v>
      </c>
      <c r="V592" s="7" t="str">
        <f t="shared" si="130"/>
        <v>Less than 20%</v>
      </c>
      <c r="W592" s="11">
        <v>15</v>
      </c>
      <c r="X592" s="6">
        <f t="shared" si="127"/>
        <v>11742.8703</v>
      </c>
      <c r="Y592" s="6">
        <f t="shared" si="128"/>
        <v>9958.5</v>
      </c>
      <c r="Z592" s="6">
        <f t="shared" si="131"/>
        <v>1784.3703000000005</v>
      </c>
      <c r="AA592" s="9">
        <f t="shared" si="132"/>
        <v>0.1519535049280073</v>
      </c>
      <c r="AB592" s="9">
        <f>IF(U592&gt;'What-If Analysis'!$F$16, 'What-If Analysis'!$F$16,T592)</f>
        <v>0.17</v>
      </c>
      <c r="AC592" s="42">
        <f>S592*(1-AB592)</f>
        <v>786.64909999999998</v>
      </c>
      <c r="AD592" s="42">
        <f>Q592*(1+'What-If Analysis'!F607)</f>
        <v>663.9</v>
      </c>
      <c r="AE592" s="41">
        <f>W592*(1+'What-If Analysis'!$F$18)</f>
        <v>17.549999999999997</v>
      </c>
      <c r="AF592" s="42">
        <f t="shared" si="133"/>
        <v>13805.691704999997</v>
      </c>
      <c r="AG592" s="42">
        <f t="shared" si="134"/>
        <v>11651.444999999998</v>
      </c>
      <c r="AH592" s="42">
        <f t="shared" si="135"/>
        <v>2154.2467049999996</v>
      </c>
      <c r="AI592" s="44">
        <f t="shared" si="136"/>
        <v>0.15604047598859516</v>
      </c>
      <c r="AJ592" s="42">
        <f t="shared" si="137"/>
        <v>2062.821404999997</v>
      </c>
      <c r="AK592" s="42">
        <f t="shared" si="138"/>
        <v>1784.3703000000005</v>
      </c>
      <c r="AL592" s="9">
        <f t="shared" si="139"/>
        <v>4.0869710605878629E-3</v>
      </c>
      <c r="AM592" s="42"/>
    </row>
    <row r="593" spans="1:39" x14ac:dyDescent="0.25">
      <c r="A593" t="s">
        <v>606</v>
      </c>
      <c r="B593" s="20">
        <v>44984</v>
      </c>
      <c r="C593" s="4">
        <v>44983</v>
      </c>
      <c r="D593" s="4" t="s">
        <v>1436</v>
      </c>
      <c r="E593" s="4">
        <v>45003</v>
      </c>
      <c r="F593" s="11">
        <f t="shared" si="126"/>
        <v>19</v>
      </c>
      <c r="G593" s="11" t="str">
        <f t="shared" si="129"/>
        <v>Does not Meet Target</v>
      </c>
      <c r="H593" t="s">
        <v>648</v>
      </c>
      <c r="I593" t="s">
        <v>660</v>
      </c>
      <c r="J593" t="s">
        <v>686</v>
      </c>
      <c r="K593" t="s">
        <v>703</v>
      </c>
      <c r="L593" t="s">
        <v>708</v>
      </c>
      <c r="M593" t="s">
        <v>716</v>
      </c>
      <c r="N593" t="s">
        <v>729</v>
      </c>
      <c r="O593" t="str" cm="1">
        <f t="array" ref="O593">_xlfn.IFS(S593&lt;=_xlfn.PERCENTILE.INC(IF(N593:N1223=N593, S593:S1223), 0.33), "Low", S593&lt;=_xlfn.PERCENTILE.INC(IF(N593:N1223=N593, S593:S1223), 0.66), "Medium", S593 &gt; _xlfn.PERCENTILE.INC(IF(N593:N1223=N593, S593:S1223), 0.66), "High")</f>
        <v>Medium</v>
      </c>
      <c r="P593" t="s">
        <v>1324</v>
      </c>
      <c r="Q593" s="6">
        <v>1015.91</v>
      </c>
      <c r="R593" s="6">
        <v>2331.48</v>
      </c>
      <c r="S593" s="6">
        <v>2331.48</v>
      </c>
      <c r="T593" s="9">
        <v>0.14599999999999999</v>
      </c>
      <c r="U593" s="9">
        <f>IF(T593&gt;0.3, $AO$4, T593)</f>
        <v>0.14599999999999999</v>
      </c>
      <c r="V593" s="7" t="str">
        <f t="shared" si="130"/>
        <v>Less than 20%</v>
      </c>
      <c r="W593" s="11">
        <v>26</v>
      </c>
      <c r="X593" s="6">
        <f t="shared" si="127"/>
        <v>51768.181920000003</v>
      </c>
      <c r="Y593" s="6">
        <f t="shared" si="128"/>
        <v>26413.66</v>
      </c>
      <c r="Z593" s="6">
        <f t="shared" si="131"/>
        <v>25354.521920000003</v>
      </c>
      <c r="AA593" s="9">
        <f t="shared" si="132"/>
        <v>0.48977037592669626</v>
      </c>
      <c r="AB593" s="9">
        <f>IF(U593&gt;'What-If Analysis'!$F$16, 'What-If Analysis'!$F$16,T593)</f>
        <v>0.14599999999999999</v>
      </c>
      <c r="AC593" s="42">
        <f>S593*(1-AB593)</f>
        <v>1991.08392</v>
      </c>
      <c r="AD593" s="42">
        <f>Q593*(1+'What-If Analysis'!F608)</f>
        <v>1015.91</v>
      </c>
      <c r="AE593" s="41">
        <f>W593*(1+'What-If Analysis'!$F$18)</f>
        <v>30.419999999999998</v>
      </c>
      <c r="AF593" s="42">
        <f t="shared" si="133"/>
        <v>60568.772846399996</v>
      </c>
      <c r="AG593" s="42">
        <f t="shared" si="134"/>
        <v>30903.982199999999</v>
      </c>
      <c r="AH593" s="42">
        <f t="shared" si="135"/>
        <v>29664.790646399997</v>
      </c>
      <c r="AI593" s="44">
        <f t="shared" si="136"/>
        <v>0.48977037592669626</v>
      </c>
      <c r="AJ593" s="42">
        <f t="shared" si="137"/>
        <v>8800.5909263999929</v>
      </c>
      <c r="AK593" s="42">
        <f t="shared" si="138"/>
        <v>25354.521920000003</v>
      </c>
      <c r="AL593" s="9">
        <f t="shared" si="139"/>
        <v>0</v>
      </c>
      <c r="AM593" s="42"/>
    </row>
    <row r="594" spans="1:39" x14ac:dyDescent="0.25">
      <c r="A594" t="s">
        <v>607</v>
      </c>
      <c r="B594" s="20">
        <v>45504</v>
      </c>
      <c r="C594" s="4">
        <v>45519</v>
      </c>
      <c r="D594" s="4" t="s">
        <v>1443</v>
      </c>
      <c r="E594" s="4">
        <v>45519</v>
      </c>
      <c r="F594" s="11">
        <f t="shared" si="126"/>
        <v>15</v>
      </c>
      <c r="G594" s="11" t="str">
        <f t="shared" si="129"/>
        <v>Does not Meet Target</v>
      </c>
      <c r="H594" t="s">
        <v>647</v>
      </c>
      <c r="I594" t="s">
        <v>652</v>
      </c>
      <c r="J594" t="s">
        <v>689</v>
      </c>
      <c r="K594" t="s">
        <v>701</v>
      </c>
      <c r="L594" t="s">
        <v>709</v>
      </c>
      <c r="M594" t="s">
        <v>721</v>
      </c>
      <c r="N594" t="s">
        <v>732</v>
      </c>
      <c r="O594" t="str" cm="1">
        <f t="array" ref="O594">_xlfn.IFS(S594&lt;=_xlfn.PERCENTILE.INC(IF(N594:N1224=N594, S594:S1224), 0.33), "Low", S594&lt;=_xlfn.PERCENTILE.INC(IF(N594:N1224=N594, S594:S1224), 0.66), "Medium", S594 &gt; _xlfn.PERCENTILE.INC(IF(N594:N1224=N594, S594:S1224), 0.66), "High")</f>
        <v>High</v>
      </c>
      <c r="P594" t="s">
        <v>1325</v>
      </c>
      <c r="Q594" s="6">
        <v>1252.52</v>
      </c>
      <c r="R594" s="6">
        <v>1417.24</v>
      </c>
      <c r="S594" s="6">
        <v>1417.24</v>
      </c>
      <c r="T594" s="9">
        <v>0.192</v>
      </c>
      <c r="U594" s="9">
        <f>IF(T594&gt;0.3, $AO$4, T594)</f>
        <v>0.192</v>
      </c>
      <c r="V594" s="7" t="str">
        <f t="shared" si="130"/>
        <v>Less than 20%</v>
      </c>
      <c r="W594" s="11">
        <v>5</v>
      </c>
      <c r="X594" s="6">
        <f t="shared" si="127"/>
        <v>5725.6496000000006</v>
      </c>
      <c r="Y594" s="6">
        <f t="shared" si="128"/>
        <v>6262.6</v>
      </c>
      <c r="Z594" s="6">
        <f t="shared" si="131"/>
        <v>-536.95039999999972</v>
      </c>
      <c r="AA594" s="9">
        <f t="shared" si="132"/>
        <v>-9.3779821943696953E-2</v>
      </c>
      <c r="AB594" s="9">
        <f>IF(U594&gt;'What-If Analysis'!$F$16, 'What-If Analysis'!$F$16,T594)</f>
        <v>0.17</v>
      </c>
      <c r="AC594" s="42">
        <f>S594*(1-AB594)</f>
        <v>1176.3091999999999</v>
      </c>
      <c r="AD594" s="42">
        <f>Q594*(1+'What-If Analysis'!F609)</f>
        <v>1252.52</v>
      </c>
      <c r="AE594" s="41">
        <f>W594*(1+'What-If Analysis'!$F$18)</f>
        <v>5.85</v>
      </c>
      <c r="AF594" s="42">
        <f t="shared" si="133"/>
        <v>6881.4088199999987</v>
      </c>
      <c r="AG594" s="42">
        <f t="shared" si="134"/>
        <v>7327.2419999999993</v>
      </c>
      <c r="AH594" s="42">
        <f t="shared" si="135"/>
        <v>-445.83318000000054</v>
      </c>
      <c r="AI594" s="44">
        <f t="shared" si="136"/>
        <v>-6.4788067627117182E-2</v>
      </c>
      <c r="AJ594" s="42">
        <f t="shared" si="137"/>
        <v>1155.7592199999981</v>
      </c>
      <c r="AK594" s="42">
        <f t="shared" si="138"/>
        <v>-536.95039999999972</v>
      </c>
      <c r="AL594" s="9">
        <f t="shared" si="139"/>
        <v>2.8991754316579771E-2</v>
      </c>
      <c r="AM594" s="42"/>
    </row>
    <row r="595" spans="1:39" x14ac:dyDescent="0.25">
      <c r="A595" t="s">
        <v>608</v>
      </c>
      <c r="B595" s="20">
        <v>45823</v>
      </c>
      <c r="C595" s="4">
        <v>45850</v>
      </c>
      <c r="D595" s="4" t="s">
        <v>1440</v>
      </c>
      <c r="E595" s="4">
        <v>45850</v>
      </c>
      <c r="F595" s="11">
        <f t="shared" si="126"/>
        <v>27</v>
      </c>
      <c r="G595" s="11" t="str">
        <f t="shared" si="129"/>
        <v>Does not Meet Target</v>
      </c>
      <c r="H595" t="s">
        <v>649</v>
      </c>
      <c r="I595" t="s">
        <v>657</v>
      </c>
      <c r="J595" t="s">
        <v>673</v>
      </c>
      <c r="K595" t="s">
        <v>704</v>
      </c>
      <c r="L595" t="s">
        <v>711</v>
      </c>
      <c r="M595" t="s">
        <v>712</v>
      </c>
      <c r="N595" t="s">
        <v>733</v>
      </c>
      <c r="O595" t="str" cm="1">
        <f t="array" ref="O595">_xlfn.IFS(S595&lt;=_xlfn.PERCENTILE.INC(IF(N595:N1225=N595, S595:S1225), 0.33), "Low", S595&lt;=_xlfn.PERCENTILE.INC(IF(N595:N1225=N595, S595:S1225), 0.66), "Medium", S595 &gt; _xlfn.PERCENTILE.INC(IF(N595:N1225=N595, S595:S1225), 0.66), "High")</f>
        <v>Medium</v>
      </c>
      <c r="P595" t="s">
        <v>1326</v>
      </c>
      <c r="Q595" s="6">
        <v>318.83</v>
      </c>
      <c r="R595" s="6">
        <v>699.5</v>
      </c>
      <c r="S595" s="6">
        <v>699.5</v>
      </c>
      <c r="T595" s="9">
        <v>0.08</v>
      </c>
      <c r="U595" s="9">
        <f>IF(T595&gt;0.3, $AO$4, T595)</f>
        <v>0.08</v>
      </c>
      <c r="V595" s="7" t="str">
        <f t="shared" si="130"/>
        <v>Less than 20%</v>
      </c>
      <c r="W595" s="11">
        <v>13</v>
      </c>
      <c r="X595" s="6">
        <f t="shared" si="127"/>
        <v>8366.02</v>
      </c>
      <c r="Y595" s="6">
        <f t="shared" si="128"/>
        <v>4144.79</v>
      </c>
      <c r="Z595" s="6">
        <f t="shared" si="131"/>
        <v>4221.2300000000005</v>
      </c>
      <c r="AA595" s="9">
        <f t="shared" si="132"/>
        <v>0.50456848059172699</v>
      </c>
      <c r="AB595" s="9">
        <f>IF(U595&gt;'What-If Analysis'!$F$16, 'What-If Analysis'!$F$16,T595)</f>
        <v>0.08</v>
      </c>
      <c r="AC595" s="42">
        <f>S595*(1-AB595)</f>
        <v>643.54000000000008</v>
      </c>
      <c r="AD595" s="42">
        <f>Q595*(1+'What-If Analysis'!F610)</f>
        <v>318.83</v>
      </c>
      <c r="AE595" s="41">
        <f>W595*(1+'What-If Analysis'!$F$18)</f>
        <v>15.209999999999999</v>
      </c>
      <c r="AF595" s="42">
        <f t="shared" si="133"/>
        <v>9788.2434000000012</v>
      </c>
      <c r="AG595" s="42">
        <f t="shared" si="134"/>
        <v>4849.4042999999992</v>
      </c>
      <c r="AH595" s="42">
        <f t="shared" si="135"/>
        <v>4938.839100000002</v>
      </c>
      <c r="AI595" s="44">
        <f t="shared" si="136"/>
        <v>0.5045684805917271</v>
      </c>
      <c r="AJ595" s="42">
        <f t="shared" si="137"/>
        <v>1422.2234000000008</v>
      </c>
      <c r="AK595" s="42">
        <f t="shared" si="138"/>
        <v>4221.2300000000005</v>
      </c>
      <c r="AL595" s="9">
        <f t="shared" si="139"/>
        <v>0</v>
      </c>
      <c r="AM595" s="42"/>
    </row>
    <row r="596" spans="1:39" x14ac:dyDescent="0.25">
      <c r="A596" t="s">
        <v>609</v>
      </c>
      <c r="B596" s="20">
        <v>45473</v>
      </c>
      <c r="C596" s="4">
        <v>45494</v>
      </c>
      <c r="D596" s="4" t="s">
        <v>1439</v>
      </c>
      <c r="E596" s="4">
        <v>45494</v>
      </c>
      <c r="F596" s="11">
        <f t="shared" si="126"/>
        <v>21</v>
      </c>
      <c r="G596" s="11" t="str">
        <f t="shared" si="129"/>
        <v>Does not Meet Target</v>
      </c>
      <c r="H596" t="s">
        <v>646</v>
      </c>
      <c r="I596" t="s">
        <v>650</v>
      </c>
      <c r="J596" t="s">
        <v>662</v>
      </c>
      <c r="K596" t="s">
        <v>705</v>
      </c>
      <c r="L596" t="s">
        <v>707</v>
      </c>
      <c r="M596" t="s">
        <v>723</v>
      </c>
      <c r="N596" t="s">
        <v>731</v>
      </c>
      <c r="O596" t="str" cm="1">
        <f t="array" ref="O596">_xlfn.IFS(S596&lt;=_xlfn.PERCENTILE.INC(IF(N596:N1226=N596, S596:S1226), 0.33), "Low", S596&lt;=_xlfn.PERCENTILE.INC(IF(N596:N1226=N596, S596:S1226), 0.66), "Medium", S596 &gt; _xlfn.PERCENTILE.INC(IF(N596:N1226=N596, S596:S1226), 0.66), "High")</f>
        <v>High</v>
      </c>
      <c r="P596" t="s">
        <v>1327</v>
      </c>
      <c r="Q596" s="6">
        <v>753.43</v>
      </c>
      <c r="R596" s="6">
        <v>1787.2</v>
      </c>
      <c r="S596" s="6">
        <v>1787.2</v>
      </c>
      <c r="T596" s="9">
        <v>7.2999999999999995E-2</v>
      </c>
      <c r="U596" s="9">
        <f>IF(T596&gt;0.3, $AO$4, T596)</f>
        <v>7.2999999999999995E-2</v>
      </c>
      <c r="V596" s="7" t="str">
        <f t="shared" si="130"/>
        <v>Less than 20%</v>
      </c>
      <c r="W596" s="11">
        <v>9</v>
      </c>
      <c r="X596" s="6">
        <f t="shared" si="127"/>
        <v>14910.609600000002</v>
      </c>
      <c r="Y596" s="6">
        <f t="shared" si="128"/>
        <v>6780.87</v>
      </c>
      <c r="Z596" s="6">
        <f t="shared" si="131"/>
        <v>8129.7396000000017</v>
      </c>
      <c r="AA596" s="9">
        <f t="shared" si="132"/>
        <v>0.54523187301476939</v>
      </c>
      <c r="AB596" s="9">
        <f>IF(U596&gt;'What-If Analysis'!$F$16, 'What-If Analysis'!$F$16,T596)</f>
        <v>7.2999999999999995E-2</v>
      </c>
      <c r="AC596" s="42">
        <f>S596*(1-AB596)</f>
        <v>1656.7344000000001</v>
      </c>
      <c r="AD596" s="42">
        <f>Q596*(1+'What-If Analysis'!F611)</f>
        <v>753.43</v>
      </c>
      <c r="AE596" s="41">
        <f>W596*(1+'What-If Analysis'!$F$18)</f>
        <v>10.53</v>
      </c>
      <c r="AF596" s="42">
        <f t="shared" si="133"/>
        <v>17445.413231999999</v>
      </c>
      <c r="AG596" s="42">
        <f t="shared" si="134"/>
        <v>7933.6178999999993</v>
      </c>
      <c r="AH596" s="42">
        <f t="shared" si="135"/>
        <v>9511.7953319999997</v>
      </c>
      <c r="AI596" s="44">
        <f t="shared" si="136"/>
        <v>0.54523187301476927</v>
      </c>
      <c r="AJ596" s="42">
        <f t="shared" si="137"/>
        <v>2534.8036319999974</v>
      </c>
      <c r="AK596" s="42">
        <f t="shared" si="138"/>
        <v>8129.7396000000017</v>
      </c>
      <c r="AL596" s="9">
        <f t="shared" si="139"/>
        <v>0</v>
      </c>
      <c r="AM596" s="42"/>
    </row>
    <row r="597" spans="1:39" x14ac:dyDescent="0.25">
      <c r="A597" t="s">
        <v>610</v>
      </c>
      <c r="B597" s="20">
        <v>45705</v>
      </c>
      <c r="C597" s="4">
        <v>45703</v>
      </c>
      <c r="D597" s="4" t="s">
        <v>1437</v>
      </c>
      <c r="E597" s="4">
        <v>45723</v>
      </c>
      <c r="F597" s="11">
        <f t="shared" si="126"/>
        <v>18</v>
      </c>
      <c r="G597" s="11" t="str">
        <f t="shared" si="129"/>
        <v>Does not Meet Target</v>
      </c>
      <c r="H597" t="s">
        <v>648</v>
      </c>
      <c r="I597" t="s">
        <v>653</v>
      </c>
      <c r="J597" t="s">
        <v>667</v>
      </c>
      <c r="K597" t="s">
        <v>705</v>
      </c>
      <c r="L597" t="s">
        <v>707</v>
      </c>
      <c r="M597" t="s">
        <v>726</v>
      </c>
      <c r="N597" t="s">
        <v>727</v>
      </c>
      <c r="O597" t="str" cm="1">
        <f t="array" ref="O597">_xlfn.IFS(S597&lt;=_xlfn.PERCENTILE.INC(IF(N597:N1227=N597, S597:S1227), 0.33), "Low", S597&lt;=_xlfn.PERCENTILE.INC(IF(N597:N1227=N597, S597:S1227), 0.66), "Medium", S597 &gt; _xlfn.PERCENTILE.INC(IF(N597:N1227=N597, S597:S1227), 0.66), "High")</f>
        <v>High</v>
      </c>
      <c r="P597" t="s">
        <v>1328</v>
      </c>
      <c r="Q597" s="6">
        <v>1133.47</v>
      </c>
      <c r="R597" s="6">
        <v>1698.75</v>
      </c>
      <c r="S597" s="6">
        <v>1698.75</v>
      </c>
      <c r="T597" s="9">
        <v>4.2999999999999997E-2</v>
      </c>
      <c r="U597" s="9">
        <f>IF(T597&gt;0.3, $AO$4, T597)</f>
        <v>4.2999999999999997E-2</v>
      </c>
      <c r="V597" s="7" t="str">
        <f t="shared" si="130"/>
        <v>Less than 20%</v>
      </c>
      <c r="W597" s="11">
        <v>5</v>
      </c>
      <c r="X597" s="6">
        <f t="shared" si="127"/>
        <v>8128.5187499999993</v>
      </c>
      <c r="Y597" s="6">
        <f t="shared" si="128"/>
        <v>5667.35</v>
      </c>
      <c r="Z597" s="6">
        <f t="shared" si="131"/>
        <v>2461.1687499999989</v>
      </c>
      <c r="AA597" s="9">
        <f t="shared" si="132"/>
        <v>0.30278194904821976</v>
      </c>
      <c r="AB597" s="9">
        <f>IF(U597&gt;'What-If Analysis'!$F$16, 'What-If Analysis'!$F$16,T597)</f>
        <v>4.2999999999999997E-2</v>
      </c>
      <c r="AC597" s="42">
        <f>S597*(1-AB597)</f>
        <v>1625.7037499999999</v>
      </c>
      <c r="AD597" s="42">
        <f>Q597*(1+'What-If Analysis'!F612)</f>
        <v>1133.47</v>
      </c>
      <c r="AE597" s="41">
        <f>W597*(1+'What-If Analysis'!$F$18)</f>
        <v>5.85</v>
      </c>
      <c r="AF597" s="42">
        <f t="shared" si="133"/>
        <v>9510.366937499999</v>
      </c>
      <c r="AG597" s="42">
        <f t="shared" si="134"/>
        <v>6630.7995000000001</v>
      </c>
      <c r="AH597" s="42">
        <f t="shared" si="135"/>
        <v>2879.567437499999</v>
      </c>
      <c r="AI597" s="44">
        <f t="shared" si="136"/>
        <v>0.30278194904821981</v>
      </c>
      <c r="AJ597" s="42">
        <f t="shared" si="137"/>
        <v>1381.8481874999998</v>
      </c>
      <c r="AK597" s="42">
        <f t="shared" si="138"/>
        <v>2461.1687499999989</v>
      </c>
      <c r="AL597" s="9">
        <f t="shared" si="139"/>
        <v>0</v>
      </c>
      <c r="AM597" s="42"/>
    </row>
    <row r="598" spans="1:39" x14ac:dyDescent="0.25">
      <c r="A598" t="s">
        <v>611</v>
      </c>
      <c r="B598" s="20">
        <v>44933</v>
      </c>
      <c r="C598" s="4">
        <v>44956</v>
      </c>
      <c r="D598" s="4" t="s">
        <v>1436</v>
      </c>
      <c r="E598" s="4">
        <v>44956</v>
      </c>
      <c r="F598" s="11">
        <f t="shared" si="126"/>
        <v>23</v>
      </c>
      <c r="G598" s="11" t="str">
        <f t="shared" si="129"/>
        <v>Does not Meet Target</v>
      </c>
      <c r="H598" t="s">
        <v>646</v>
      </c>
      <c r="I598" t="s">
        <v>661</v>
      </c>
      <c r="J598" t="s">
        <v>695</v>
      </c>
      <c r="K598" t="s">
        <v>704</v>
      </c>
      <c r="L598" t="s">
        <v>708</v>
      </c>
      <c r="M598" t="s">
        <v>720</v>
      </c>
      <c r="N598" t="s">
        <v>728</v>
      </c>
      <c r="O598" t="str" cm="1">
        <f t="array" ref="O598">_xlfn.IFS(S598&lt;=_xlfn.PERCENTILE.INC(IF(N598:N1228=N598, S598:S1228), 0.33), "Low", S598&lt;=_xlfn.PERCENTILE.INC(IF(N598:N1228=N598, S598:S1228), 0.66), "Medium", S598 &gt; _xlfn.PERCENTILE.INC(IF(N598:N1228=N598, S598:S1228), 0.66), "High")</f>
        <v>Low</v>
      </c>
      <c r="P598" t="s">
        <v>1329</v>
      </c>
      <c r="Q598" s="6">
        <v>299.02</v>
      </c>
      <c r="R598" s="6">
        <v>724.7</v>
      </c>
      <c r="S598" s="6">
        <v>724.7</v>
      </c>
      <c r="T598" s="9">
        <v>0.14000000000000001</v>
      </c>
      <c r="U598" s="9">
        <f>IF(T598&gt;0.3, $AO$4, T598)</f>
        <v>0.14000000000000001</v>
      </c>
      <c r="V598" s="7" t="str">
        <f t="shared" si="130"/>
        <v>Less than 20%</v>
      </c>
      <c r="W598" s="11">
        <v>5</v>
      </c>
      <c r="X598" s="6">
        <f t="shared" si="127"/>
        <v>3116.21</v>
      </c>
      <c r="Y598" s="6">
        <f t="shared" si="128"/>
        <v>1495.1</v>
      </c>
      <c r="Z598" s="6">
        <f t="shared" si="131"/>
        <v>1621.1100000000001</v>
      </c>
      <c r="AA598" s="9">
        <f t="shared" si="132"/>
        <v>0.52021847051386139</v>
      </c>
      <c r="AB598" s="9">
        <f>IF(U598&gt;'What-If Analysis'!$F$16, 'What-If Analysis'!$F$16,T598)</f>
        <v>0.14000000000000001</v>
      </c>
      <c r="AC598" s="42">
        <f>S598*(1-AB598)</f>
        <v>623.24200000000008</v>
      </c>
      <c r="AD598" s="42">
        <f>Q598*(1+'What-If Analysis'!F613)</f>
        <v>299.02</v>
      </c>
      <c r="AE598" s="41">
        <f>W598*(1+'What-If Analysis'!$F$18)</f>
        <v>5.85</v>
      </c>
      <c r="AF598" s="42">
        <f t="shared" si="133"/>
        <v>3645.9657000000002</v>
      </c>
      <c r="AG598" s="42">
        <f t="shared" si="134"/>
        <v>1749.2669999999998</v>
      </c>
      <c r="AH598" s="42">
        <f t="shared" si="135"/>
        <v>1896.6987000000004</v>
      </c>
      <c r="AI598" s="44">
        <f t="shared" si="136"/>
        <v>0.5202184705138615</v>
      </c>
      <c r="AJ598" s="42">
        <f t="shared" si="137"/>
        <v>529.75570000000016</v>
      </c>
      <c r="AK598" s="42">
        <f t="shared" si="138"/>
        <v>1621.1100000000001</v>
      </c>
      <c r="AL598" s="9">
        <f t="shared" si="139"/>
        <v>0</v>
      </c>
      <c r="AM598" s="42"/>
    </row>
    <row r="599" spans="1:39" x14ac:dyDescent="0.25">
      <c r="A599" t="s">
        <v>612</v>
      </c>
      <c r="B599" s="20">
        <v>45726</v>
      </c>
      <c r="C599" s="4">
        <v>45751</v>
      </c>
      <c r="D599" s="4" t="s">
        <v>1437</v>
      </c>
      <c r="E599" s="4">
        <v>45751</v>
      </c>
      <c r="F599" s="11">
        <f t="shared" si="126"/>
        <v>25</v>
      </c>
      <c r="G599" s="11" t="str">
        <f t="shared" si="129"/>
        <v>Does not Meet Target</v>
      </c>
      <c r="H599" t="s">
        <v>647</v>
      </c>
      <c r="I599" t="s">
        <v>652</v>
      </c>
      <c r="J599" t="s">
        <v>666</v>
      </c>
      <c r="K599" t="s">
        <v>701</v>
      </c>
      <c r="L599" t="s">
        <v>711</v>
      </c>
      <c r="M599" t="s">
        <v>722</v>
      </c>
      <c r="N599" t="s">
        <v>728</v>
      </c>
      <c r="O599" t="str" cm="1">
        <f t="array" ref="O599">_xlfn.IFS(S599&lt;=_xlfn.PERCENTILE.INC(IF(N599:N1229=N599, S599:S1229), 0.33), "Low", S599&lt;=_xlfn.PERCENTILE.INC(IF(N599:N1229=N599, S599:S1229), 0.66), "Medium", S599 &gt; _xlfn.PERCENTILE.INC(IF(N599:N1229=N599, S599:S1229), 0.66), "High")</f>
        <v>Medium</v>
      </c>
      <c r="P599" t="s">
        <v>1330</v>
      </c>
      <c r="Q599" s="6">
        <v>783.72</v>
      </c>
      <c r="R599" s="6">
        <v>1355.94</v>
      </c>
      <c r="S599" s="6">
        <v>1355.94</v>
      </c>
      <c r="T599" s="9">
        <v>0.187</v>
      </c>
      <c r="U599" s="9">
        <f>IF(T599&gt;0.3, $AO$4, T599)</f>
        <v>0.187</v>
      </c>
      <c r="V599" s="7" t="str">
        <f t="shared" si="130"/>
        <v>Less than 20%</v>
      </c>
      <c r="W599" s="11">
        <v>4</v>
      </c>
      <c r="X599" s="6">
        <f t="shared" si="127"/>
        <v>4409.5168800000001</v>
      </c>
      <c r="Y599" s="6">
        <f t="shared" si="128"/>
        <v>3134.88</v>
      </c>
      <c r="Z599" s="6">
        <f t="shared" si="131"/>
        <v>1274.63688</v>
      </c>
      <c r="AA599" s="9">
        <f t="shared" si="132"/>
        <v>0.28906497348525856</v>
      </c>
      <c r="AB599" s="9">
        <f>IF(U599&gt;'What-If Analysis'!$F$16, 'What-If Analysis'!$F$16,T599)</f>
        <v>0.17</v>
      </c>
      <c r="AC599" s="42">
        <f>S599*(1-AB599)</f>
        <v>1125.4302</v>
      </c>
      <c r="AD599" s="42">
        <f>Q599*(1+'What-If Analysis'!F614)</f>
        <v>783.72</v>
      </c>
      <c r="AE599" s="41">
        <f>W599*(1+'What-If Analysis'!$F$18)</f>
        <v>4.68</v>
      </c>
      <c r="AF599" s="42">
        <f t="shared" si="133"/>
        <v>5267.013336</v>
      </c>
      <c r="AG599" s="42">
        <f t="shared" si="134"/>
        <v>3667.8096</v>
      </c>
      <c r="AH599" s="42">
        <f t="shared" si="135"/>
        <v>1599.2037359999999</v>
      </c>
      <c r="AI599" s="44">
        <f t="shared" si="136"/>
        <v>0.30362629330544</v>
      </c>
      <c r="AJ599" s="42">
        <f t="shared" si="137"/>
        <v>857.49645599999985</v>
      </c>
      <c r="AK599" s="42">
        <f t="shared" si="138"/>
        <v>1274.63688</v>
      </c>
      <c r="AL599" s="9">
        <f t="shared" si="139"/>
        <v>1.456131982018144E-2</v>
      </c>
      <c r="AM599" s="42"/>
    </row>
    <row r="600" spans="1:39" x14ac:dyDescent="0.25">
      <c r="A600" t="s">
        <v>613</v>
      </c>
      <c r="B600" s="20">
        <v>45521</v>
      </c>
      <c r="C600" s="4">
        <v>45519</v>
      </c>
      <c r="D600" s="4" t="s">
        <v>1443</v>
      </c>
      <c r="E600" s="4">
        <v>45539</v>
      </c>
      <c r="F600" s="11">
        <f t="shared" si="126"/>
        <v>18</v>
      </c>
      <c r="G600" s="11" t="str">
        <f t="shared" si="129"/>
        <v>Does not Meet Target</v>
      </c>
      <c r="H600" t="s">
        <v>648</v>
      </c>
      <c r="I600" t="s">
        <v>655</v>
      </c>
      <c r="J600" t="s">
        <v>692</v>
      </c>
      <c r="K600" t="s">
        <v>704</v>
      </c>
      <c r="L600" t="s">
        <v>711</v>
      </c>
      <c r="M600" t="s">
        <v>724</v>
      </c>
      <c r="N600" t="s">
        <v>732</v>
      </c>
      <c r="O600" t="str" cm="1">
        <f t="array" ref="O600">_xlfn.IFS(S600&lt;=_xlfn.PERCENTILE.INC(IF(N600:N1230=N600, S600:S1230), 0.33), "Low", S600&lt;=_xlfn.PERCENTILE.INC(IF(N600:N1230=N600, S600:S1230), 0.66), "Medium", S600 &gt; _xlfn.PERCENTILE.INC(IF(N600:N1230=N600, S600:S1230), 0.66), "High")</f>
        <v>Low</v>
      </c>
      <c r="P600" t="s">
        <v>1331</v>
      </c>
      <c r="Q600" s="6">
        <v>165.3</v>
      </c>
      <c r="R600" s="6">
        <v>275.07</v>
      </c>
      <c r="S600" s="6">
        <v>275.07</v>
      </c>
      <c r="T600" s="9">
        <v>0.13300000000000001</v>
      </c>
      <c r="U600" s="9">
        <f>IF(T600&gt;0.3, $AO$4, T600)</f>
        <v>0.13300000000000001</v>
      </c>
      <c r="V600" s="7" t="str">
        <f t="shared" si="130"/>
        <v>Less than 20%</v>
      </c>
      <c r="W600" s="11">
        <v>25</v>
      </c>
      <c r="X600" s="6">
        <f t="shared" si="127"/>
        <v>5962.1422499999999</v>
      </c>
      <c r="Y600" s="6">
        <f t="shared" si="128"/>
        <v>4132.5</v>
      </c>
      <c r="Z600" s="6">
        <f t="shared" si="131"/>
        <v>1829.6422499999999</v>
      </c>
      <c r="AA600" s="9">
        <f t="shared" si="132"/>
        <v>0.30687665159280625</v>
      </c>
      <c r="AB600" s="9">
        <f>IF(U600&gt;'What-If Analysis'!$F$16, 'What-If Analysis'!$F$16,T600)</f>
        <v>0.13300000000000001</v>
      </c>
      <c r="AC600" s="42">
        <f>S600*(1-AB600)</f>
        <v>238.48569000000001</v>
      </c>
      <c r="AD600" s="42">
        <f>Q600*(1+'What-If Analysis'!F615)</f>
        <v>165.3</v>
      </c>
      <c r="AE600" s="41">
        <f>W600*(1+'What-If Analysis'!$F$18)</f>
        <v>29.25</v>
      </c>
      <c r="AF600" s="42">
        <f t="shared" si="133"/>
        <v>6975.7064325000001</v>
      </c>
      <c r="AG600" s="42">
        <f t="shared" si="134"/>
        <v>4835.0250000000005</v>
      </c>
      <c r="AH600" s="42">
        <f t="shared" si="135"/>
        <v>2140.6814324999996</v>
      </c>
      <c r="AI600" s="44">
        <f t="shared" si="136"/>
        <v>0.30687665159280619</v>
      </c>
      <c r="AJ600" s="42">
        <f t="shared" si="137"/>
        <v>1013.5641825000002</v>
      </c>
      <c r="AK600" s="42">
        <f t="shared" si="138"/>
        <v>1829.6422499999999</v>
      </c>
      <c r="AL600" s="9">
        <f t="shared" si="139"/>
        <v>0</v>
      </c>
      <c r="AM600" s="42"/>
    </row>
    <row r="601" spans="1:39" x14ac:dyDescent="0.25">
      <c r="A601" t="s">
        <v>614</v>
      </c>
      <c r="B601" s="20">
        <v>45360</v>
      </c>
      <c r="C601" s="4">
        <v>45373</v>
      </c>
      <c r="D601" s="4" t="s">
        <v>1434</v>
      </c>
      <c r="E601" s="4">
        <v>45373</v>
      </c>
      <c r="F601" s="11">
        <f t="shared" si="126"/>
        <v>13</v>
      </c>
      <c r="G601" s="11" t="str">
        <f t="shared" si="129"/>
        <v>Does not Meet Target</v>
      </c>
      <c r="H601" t="s">
        <v>649</v>
      </c>
      <c r="I601" t="s">
        <v>658</v>
      </c>
      <c r="J601" t="s">
        <v>693</v>
      </c>
      <c r="K601" t="s">
        <v>704</v>
      </c>
      <c r="L601" t="s">
        <v>708</v>
      </c>
      <c r="M601" t="s">
        <v>718</v>
      </c>
      <c r="N601" t="s">
        <v>731</v>
      </c>
      <c r="O601" t="str" cm="1">
        <f t="array" ref="O601">_xlfn.IFS(S601&lt;=_xlfn.PERCENTILE.INC(IF(N601:N1231=N601, S601:S1231), 0.33), "Low", S601&lt;=_xlfn.PERCENTILE.INC(IF(N601:N1231=N601, S601:S1231), 0.66), "Medium", S601 &gt; _xlfn.PERCENTILE.INC(IF(N601:N1231=N601, S601:S1231), 0.66), "High")</f>
        <v>High</v>
      </c>
      <c r="P601" t="s">
        <v>1332</v>
      </c>
      <c r="Q601" s="6">
        <v>985.45</v>
      </c>
      <c r="R601" s="6">
        <v>1802.44</v>
      </c>
      <c r="S601" s="6">
        <v>1802.44</v>
      </c>
      <c r="T601" s="9">
        <v>8.9999999999999993E-3</v>
      </c>
      <c r="U601" s="9">
        <f>IF(T601&gt;0.3, $AO$4, T601)</f>
        <v>8.9999999999999993E-3</v>
      </c>
      <c r="V601" s="7" t="str">
        <f t="shared" si="130"/>
        <v>Less than 20%</v>
      </c>
      <c r="W601" s="11">
        <v>19</v>
      </c>
      <c r="X601" s="6">
        <f t="shared" si="127"/>
        <v>33938.142760000002</v>
      </c>
      <c r="Y601" s="6">
        <f t="shared" si="128"/>
        <v>18723.55</v>
      </c>
      <c r="Z601" s="6">
        <f t="shared" si="131"/>
        <v>15214.592760000003</v>
      </c>
      <c r="AA601" s="9">
        <f t="shared" si="132"/>
        <v>0.44830363486867486</v>
      </c>
      <c r="AB601" s="9">
        <f>IF(U601&gt;'What-If Analysis'!$F$16, 'What-If Analysis'!$F$16,T601)</f>
        <v>8.9999999999999993E-3</v>
      </c>
      <c r="AC601" s="42">
        <f>S601*(1-AB601)</f>
        <v>1786.21804</v>
      </c>
      <c r="AD601" s="42">
        <f>Q601*(1+'What-If Analysis'!F616)</f>
        <v>985.45</v>
      </c>
      <c r="AE601" s="41">
        <f>W601*(1+'What-If Analysis'!$F$18)</f>
        <v>22.229999999999997</v>
      </c>
      <c r="AF601" s="42">
        <f t="shared" si="133"/>
        <v>39707.627029199997</v>
      </c>
      <c r="AG601" s="42">
        <f t="shared" si="134"/>
        <v>21906.553499999998</v>
      </c>
      <c r="AH601" s="42">
        <f t="shared" si="135"/>
        <v>17801.073529199999</v>
      </c>
      <c r="AI601" s="44">
        <f t="shared" si="136"/>
        <v>0.44830363486867481</v>
      </c>
      <c r="AJ601" s="42">
        <f t="shared" si="137"/>
        <v>5769.4842691999947</v>
      </c>
      <c r="AK601" s="42">
        <f t="shared" si="138"/>
        <v>15214.592760000003</v>
      </c>
      <c r="AL601" s="9">
        <f t="shared" si="139"/>
        <v>0</v>
      </c>
      <c r="AM601" s="42"/>
    </row>
    <row r="602" spans="1:39" x14ac:dyDescent="0.25">
      <c r="A602" t="s">
        <v>615</v>
      </c>
      <c r="B602" s="20">
        <v>45523</v>
      </c>
      <c r="C602" s="4">
        <v>45537</v>
      </c>
      <c r="D602" s="4" t="s">
        <v>1443</v>
      </c>
      <c r="E602" s="4">
        <v>45537</v>
      </c>
      <c r="F602" s="11">
        <f t="shared" si="126"/>
        <v>14</v>
      </c>
      <c r="G602" s="11" t="str">
        <f t="shared" si="129"/>
        <v>Does not Meet Target</v>
      </c>
      <c r="H602" t="s">
        <v>648</v>
      </c>
      <c r="I602" t="s">
        <v>653</v>
      </c>
      <c r="J602" t="s">
        <v>667</v>
      </c>
      <c r="K602" t="s">
        <v>704</v>
      </c>
      <c r="L602" t="s">
        <v>710</v>
      </c>
      <c r="M602" t="s">
        <v>712</v>
      </c>
      <c r="N602" t="s">
        <v>728</v>
      </c>
      <c r="O602" t="str" cm="1">
        <f t="array" ref="O602">_xlfn.IFS(S602&lt;=_xlfn.PERCENTILE.INC(IF(N602:N1232=N602, S602:S1232), 0.33), "Low", S602&lt;=_xlfn.PERCENTILE.INC(IF(N602:N1232=N602, S602:S1232), 0.66), "Medium", S602 &gt; _xlfn.PERCENTILE.INC(IF(N602:N1232=N602, S602:S1232), 0.66), "High")</f>
        <v>Medium</v>
      </c>
      <c r="P602" t="s">
        <v>1333</v>
      </c>
      <c r="Q602" s="6">
        <v>1337.01</v>
      </c>
      <c r="R602" s="6">
        <v>1269.78</v>
      </c>
      <c r="S602" s="6">
        <v>1269.78</v>
      </c>
      <c r="T602" s="9">
        <v>0.16</v>
      </c>
      <c r="U602" s="9">
        <f>IF(T602&gt;0.3, $AO$4, T602)</f>
        <v>0.16</v>
      </c>
      <c r="V602" s="7" t="str">
        <f t="shared" si="130"/>
        <v>Less than 20%</v>
      </c>
      <c r="W602" s="11">
        <v>7</v>
      </c>
      <c r="X602" s="6">
        <f t="shared" si="127"/>
        <v>7466.3063999999986</v>
      </c>
      <c r="Y602" s="6">
        <f t="shared" si="128"/>
        <v>9359.07</v>
      </c>
      <c r="Z602" s="6">
        <f t="shared" si="131"/>
        <v>-1892.7636000000011</v>
      </c>
      <c r="AA602" s="9">
        <f t="shared" si="132"/>
        <v>-0.25350735672996244</v>
      </c>
      <c r="AB602" s="9">
        <f>IF(U602&gt;'What-If Analysis'!$F$16, 'What-If Analysis'!$F$16,T602)</f>
        <v>0.16</v>
      </c>
      <c r="AC602" s="42">
        <f>S602*(1-AB602)</f>
        <v>1066.6152</v>
      </c>
      <c r="AD602" s="42">
        <f>Q602*(1+'What-If Analysis'!F617)</f>
        <v>1337.01</v>
      </c>
      <c r="AE602" s="41">
        <f>W602*(1+'What-If Analysis'!$F$18)</f>
        <v>8.19</v>
      </c>
      <c r="AF602" s="42">
        <f t="shared" si="133"/>
        <v>8735.5784879999992</v>
      </c>
      <c r="AG602" s="42">
        <f t="shared" si="134"/>
        <v>10950.1119</v>
      </c>
      <c r="AH602" s="42">
        <f t="shared" si="135"/>
        <v>-2214.5334120000007</v>
      </c>
      <c r="AI602" s="44">
        <f t="shared" si="136"/>
        <v>-0.25350735672996233</v>
      </c>
      <c r="AJ602" s="42">
        <f t="shared" si="137"/>
        <v>1269.2720880000006</v>
      </c>
      <c r="AK602" s="42">
        <f t="shared" si="138"/>
        <v>-1892.7636000000011</v>
      </c>
      <c r="AL602" s="9">
        <f t="shared" si="139"/>
        <v>0</v>
      </c>
      <c r="AM602" s="42"/>
    </row>
    <row r="603" spans="1:39" x14ac:dyDescent="0.25">
      <c r="A603" t="s">
        <v>616</v>
      </c>
      <c r="B603" s="20">
        <v>45880</v>
      </c>
      <c r="C603" s="4">
        <v>45897</v>
      </c>
      <c r="D603" s="4" t="s">
        <v>1441</v>
      </c>
      <c r="E603" s="4">
        <v>45897</v>
      </c>
      <c r="F603" s="11">
        <f t="shared" si="126"/>
        <v>17</v>
      </c>
      <c r="G603" s="11" t="str">
        <f t="shared" si="129"/>
        <v>Does not Meet Target</v>
      </c>
      <c r="H603" t="s">
        <v>649</v>
      </c>
      <c r="I603" t="s">
        <v>657</v>
      </c>
      <c r="J603" t="s">
        <v>690</v>
      </c>
      <c r="K603" t="s">
        <v>702</v>
      </c>
      <c r="L603" t="s">
        <v>708</v>
      </c>
      <c r="M603" t="s">
        <v>721</v>
      </c>
      <c r="N603" t="s">
        <v>729</v>
      </c>
      <c r="O603" t="str" cm="1">
        <f t="array" ref="O603">_xlfn.IFS(S603&lt;=_xlfn.PERCENTILE.INC(IF(N603:N1233=N603, S603:S1233), 0.33), "Low", S603&lt;=_xlfn.PERCENTILE.INC(IF(N603:N1233=N603, S603:S1233), 0.66), "Medium", S603 &gt; _xlfn.PERCENTILE.INC(IF(N603:N1233=N603, S603:S1233), 0.66), "High")</f>
        <v>Low</v>
      </c>
      <c r="P603" t="s">
        <v>1334</v>
      </c>
      <c r="Q603" s="6">
        <v>416.16</v>
      </c>
      <c r="R603" s="6">
        <v>571.9</v>
      </c>
      <c r="S603" s="6">
        <v>571.9</v>
      </c>
      <c r="T603" s="9">
        <v>7.0999999999999994E-2</v>
      </c>
      <c r="U603" s="9">
        <f>IF(T603&gt;0.3, $AO$4, T603)</f>
        <v>7.0999999999999994E-2</v>
      </c>
      <c r="V603" s="7" t="str">
        <f t="shared" si="130"/>
        <v>Less than 20%</v>
      </c>
      <c r="W603" s="11">
        <v>2</v>
      </c>
      <c r="X603" s="6">
        <f t="shared" si="127"/>
        <v>1062.5902000000001</v>
      </c>
      <c r="Y603" s="6">
        <f t="shared" si="128"/>
        <v>832.32</v>
      </c>
      <c r="Z603" s="6">
        <f t="shared" si="131"/>
        <v>230.27020000000005</v>
      </c>
      <c r="AA603" s="9">
        <f t="shared" si="132"/>
        <v>0.21670649701079497</v>
      </c>
      <c r="AB603" s="9">
        <f>IF(U603&gt;'What-If Analysis'!$F$16, 'What-If Analysis'!$F$16,T603)</f>
        <v>7.0999999999999994E-2</v>
      </c>
      <c r="AC603" s="42">
        <f>S603*(1-AB603)</f>
        <v>531.29510000000005</v>
      </c>
      <c r="AD603" s="42">
        <f>Q603*(1+'What-If Analysis'!F618)</f>
        <v>416.16</v>
      </c>
      <c r="AE603" s="41">
        <f>W603*(1+'What-If Analysis'!$F$18)</f>
        <v>2.34</v>
      </c>
      <c r="AF603" s="42">
        <f t="shared" si="133"/>
        <v>1243.230534</v>
      </c>
      <c r="AG603" s="42">
        <f t="shared" si="134"/>
        <v>973.81439999999998</v>
      </c>
      <c r="AH603" s="42">
        <f t="shared" si="135"/>
        <v>269.41613400000006</v>
      </c>
      <c r="AI603" s="44">
        <f t="shared" si="136"/>
        <v>0.21670649701079497</v>
      </c>
      <c r="AJ603" s="42">
        <f t="shared" si="137"/>
        <v>180.64033399999994</v>
      </c>
      <c r="AK603" s="42">
        <f t="shared" si="138"/>
        <v>230.27020000000005</v>
      </c>
      <c r="AL603" s="9">
        <f t="shared" si="139"/>
        <v>0</v>
      </c>
      <c r="AM603" s="42"/>
    </row>
    <row r="604" spans="1:39" x14ac:dyDescent="0.25">
      <c r="A604" t="s">
        <v>617</v>
      </c>
      <c r="B604" s="20">
        <v>45793</v>
      </c>
      <c r="C604" s="4">
        <v>45795</v>
      </c>
      <c r="D604" s="4" t="s">
        <v>1440</v>
      </c>
      <c r="E604" s="4">
        <v>45795</v>
      </c>
      <c r="F604" s="11">
        <f t="shared" si="126"/>
        <v>2</v>
      </c>
      <c r="G604" s="11" t="str">
        <f t="shared" si="129"/>
        <v>Meets Target</v>
      </c>
      <c r="H604" t="s">
        <v>647</v>
      </c>
      <c r="I604" t="s">
        <v>652</v>
      </c>
      <c r="J604" t="s">
        <v>689</v>
      </c>
      <c r="K604" t="s">
        <v>706</v>
      </c>
      <c r="L604" t="s">
        <v>707</v>
      </c>
      <c r="M604" t="s">
        <v>713</v>
      </c>
      <c r="N604" t="s">
        <v>728</v>
      </c>
      <c r="O604" t="str" cm="1">
        <f t="array" ref="O604">_xlfn.IFS(S604&lt;=_xlfn.PERCENTILE.INC(IF(N604:N1234=N604, S604:S1234), 0.33), "Low", S604&lt;=_xlfn.PERCENTILE.INC(IF(N604:N1234=N604, S604:S1234), 0.66), "Medium", S604 &gt; _xlfn.PERCENTILE.INC(IF(N604:N1234=N604, S604:S1234), 0.66), "High")</f>
        <v>High</v>
      </c>
      <c r="P604" t="s">
        <v>1335</v>
      </c>
      <c r="Q604" s="6">
        <v>1144.3800000000001</v>
      </c>
      <c r="R604" s="6">
        <v>2755.04</v>
      </c>
      <c r="S604" s="6">
        <v>2755.04</v>
      </c>
      <c r="T604" s="9">
        <v>0.15</v>
      </c>
      <c r="U604" s="9">
        <f>IF(T604&gt;0.3, $AO$4, T604)</f>
        <v>0.15</v>
      </c>
      <c r="V604" s="7" t="str">
        <f t="shared" si="130"/>
        <v>Less than 20%</v>
      </c>
      <c r="W604" s="11">
        <v>17</v>
      </c>
      <c r="X604" s="6">
        <f t="shared" si="127"/>
        <v>39810.328000000001</v>
      </c>
      <c r="Y604" s="6">
        <f t="shared" si="128"/>
        <v>19454.460000000003</v>
      </c>
      <c r="Z604" s="6">
        <f t="shared" si="131"/>
        <v>20355.867999999999</v>
      </c>
      <c r="AA604" s="9">
        <f t="shared" si="132"/>
        <v>0.51132128326096682</v>
      </c>
      <c r="AB604" s="9">
        <f>IF(U604&gt;'What-If Analysis'!$F$16, 'What-If Analysis'!$F$16,T604)</f>
        <v>0.15</v>
      </c>
      <c r="AC604" s="42">
        <f>S604*(1-AB604)</f>
        <v>2341.7840000000001</v>
      </c>
      <c r="AD604" s="42">
        <f>Q604*(1+'What-If Analysis'!F619)</f>
        <v>1144.3800000000001</v>
      </c>
      <c r="AE604" s="41">
        <f>W604*(1+'What-If Analysis'!$F$18)</f>
        <v>19.89</v>
      </c>
      <c r="AF604" s="42">
        <f t="shared" si="133"/>
        <v>46578.083760000001</v>
      </c>
      <c r="AG604" s="42">
        <f t="shared" si="134"/>
        <v>22761.718200000003</v>
      </c>
      <c r="AH604" s="42">
        <f t="shared" si="135"/>
        <v>23816.365559999998</v>
      </c>
      <c r="AI604" s="44">
        <f t="shared" si="136"/>
        <v>0.51132128326096682</v>
      </c>
      <c r="AJ604" s="42">
        <f t="shared" si="137"/>
        <v>6767.75576</v>
      </c>
      <c r="AK604" s="42">
        <f t="shared" si="138"/>
        <v>20355.867999999999</v>
      </c>
      <c r="AL604" s="9">
        <f t="shared" si="139"/>
        <v>0</v>
      </c>
      <c r="AM604" s="42"/>
    </row>
    <row r="605" spans="1:39" x14ac:dyDescent="0.25">
      <c r="A605" t="s">
        <v>618</v>
      </c>
      <c r="B605" s="20">
        <v>45026</v>
      </c>
      <c r="C605" s="4">
        <v>45041</v>
      </c>
      <c r="D605" s="4" t="s">
        <v>1442</v>
      </c>
      <c r="E605" s="4">
        <v>45041</v>
      </c>
      <c r="F605" s="11">
        <f t="shared" si="126"/>
        <v>15</v>
      </c>
      <c r="G605" s="11" t="str">
        <f t="shared" si="129"/>
        <v>Does not Meet Target</v>
      </c>
      <c r="H605" t="s">
        <v>649</v>
      </c>
      <c r="I605" t="s">
        <v>658</v>
      </c>
      <c r="J605" t="s">
        <v>683</v>
      </c>
      <c r="K605" t="s">
        <v>705</v>
      </c>
      <c r="L605" t="s">
        <v>707</v>
      </c>
      <c r="M605" t="s">
        <v>726</v>
      </c>
      <c r="N605" t="s">
        <v>728</v>
      </c>
      <c r="O605" t="str" cm="1">
        <f t="array" ref="O605">_xlfn.IFS(S605&lt;=_xlfn.PERCENTILE.INC(IF(N605:N1235=N605, S605:S1235), 0.33), "Low", S605&lt;=_xlfn.PERCENTILE.INC(IF(N605:N1235=N605, S605:S1235), 0.66), "Medium", S605 &gt; _xlfn.PERCENTILE.INC(IF(N605:N1235=N605, S605:S1235), 0.66), "High")</f>
        <v>Low</v>
      </c>
      <c r="P605" t="s">
        <v>1336</v>
      </c>
      <c r="Q605" s="6">
        <v>405.66</v>
      </c>
      <c r="R605" s="6">
        <v>962.51</v>
      </c>
      <c r="S605" s="6">
        <v>962.51</v>
      </c>
      <c r="T605" s="9">
        <v>0.19</v>
      </c>
      <c r="U605" s="9">
        <f>IF(T605&gt;0.3, $AO$4, T605)</f>
        <v>0.19</v>
      </c>
      <c r="V605" s="7" t="str">
        <f t="shared" si="130"/>
        <v>Less than 20%</v>
      </c>
      <c r="W605" s="11">
        <v>7</v>
      </c>
      <c r="X605" s="6">
        <f t="shared" si="127"/>
        <v>5457.4317000000001</v>
      </c>
      <c r="Y605" s="6">
        <f t="shared" si="128"/>
        <v>2839.6200000000003</v>
      </c>
      <c r="Z605" s="6">
        <f t="shared" si="131"/>
        <v>2617.8116999999997</v>
      </c>
      <c r="AA605" s="9">
        <f t="shared" si="132"/>
        <v>0.47967832561239376</v>
      </c>
      <c r="AB605" s="9">
        <f>IF(U605&gt;'What-If Analysis'!$F$16, 'What-If Analysis'!$F$16,T605)</f>
        <v>0.17</v>
      </c>
      <c r="AC605" s="42">
        <f>S605*(1-AB605)</f>
        <v>798.88329999999996</v>
      </c>
      <c r="AD605" s="42">
        <f>Q605*(1+'What-If Analysis'!F620)</f>
        <v>405.66</v>
      </c>
      <c r="AE605" s="41">
        <f>W605*(1+'What-If Analysis'!$F$18)</f>
        <v>8.19</v>
      </c>
      <c r="AF605" s="42">
        <f t="shared" si="133"/>
        <v>6542.8542269999989</v>
      </c>
      <c r="AG605" s="42">
        <f t="shared" si="134"/>
        <v>3322.3553999999999</v>
      </c>
      <c r="AH605" s="42">
        <f t="shared" si="135"/>
        <v>3220.498826999999</v>
      </c>
      <c r="AI605" s="44">
        <f t="shared" si="136"/>
        <v>0.49221619728438426</v>
      </c>
      <c r="AJ605" s="42">
        <f t="shared" si="137"/>
        <v>1085.4225269999988</v>
      </c>
      <c r="AK605" s="42">
        <f t="shared" si="138"/>
        <v>2617.8116999999997</v>
      </c>
      <c r="AL605" s="9">
        <f t="shared" si="139"/>
        <v>1.2537871671990497E-2</v>
      </c>
      <c r="AM605" s="42"/>
    </row>
    <row r="606" spans="1:39" x14ac:dyDescent="0.25">
      <c r="A606" t="s">
        <v>619</v>
      </c>
      <c r="B606" s="20">
        <v>45186</v>
      </c>
      <c r="C606" s="4">
        <v>45201</v>
      </c>
      <c r="D606" s="4" t="s">
        <v>1444</v>
      </c>
      <c r="E606" s="4">
        <v>45201</v>
      </c>
      <c r="F606" s="11">
        <f t="shared" si="126"/>
        <v>15</v>
      </c>
      <c r="G606" s="11" t="str">
        <f t="shared" si="129"/>
        <v>Does not Meet Target</v>
      </c>
      <c r="H606" t="s">
        <v>648</v>
      </c>
      <c r="I606" t="s">
        <v>655</v>
      </c>
      <c r="J606" t="s">
        <v>692</v>
      </c>
      <c r="K606" t="s">
        <v>705</v>
      </c>
      <c r="L606" t="s">
        <v>707</v>
      </c>
      <c r="M606" t="s">
        <v>717</v>
      </c>
      <c r="N606" t="s">
        <v>731</v>
      </c>
      <c r="O606" t="str" cm="1">
        <f t="array" ref="O606">_xlfn.IFS(S606&lt;=_xlfn.PERCENTILE.INC(IF(N606:N1236=N606, S606:S1236), 0.33), "Low", S606&lt;=_xlfn.PERCENTILE.INC(IF(N606:N1236=N606, S606:S1236), 0.66), "Medium", S606 &gt; _xlfn.PERCENTILE.INC(IF(N606:N1236=N606, S606:S1236), 0.66), "High")</f>
        <v>High</v>
      </c>
      <c r="P606" t="s">
        <v>1337</v>
      </c>
      <c r="Q606" s="6">
        <v>689.33</v>
      </c>
      <c r="R606" s="6">
        <v>668.27</v>
      </c>
      <c r="S606" s="6">
        <v>668.27</v>
      </c>
      <c r="T606" s="9">
        <v>0.186</v>
      </c>
      <c r="U606" s="9">
        <f>IF(T606&gt;0.3, $AO$4, T606)</f>
        <v>0.186</v>
      </c>
      <c r="V606" s="7" t="str">
        <f t="shared" si="130"/>
        <v>Less than 20%</v>
      </c>
      <c r="W606" s="11">
        <v>13</v>
      </c>
      <c r="X606" s="6">
        <f t="shared" si="127"/>
        <v>7071.6331400000008</v>
      </c>
      <c r="Y606" s="6">
        <f t="shared" si="128"/>
        <v>8961.2900000000009</v>
      </c>
      <c r="Z606" s="6">
        <f t="shared" si="131"/>
        <v>-1889.6568600000001</v>
      </c>
      <c r="AA606" s="9">
        <f t="shared" si="132"/>
        <v>-0.26721647214861033</v>
      </c>
      <c r="AB606" s="9">
        <f>IF(U606&gt;'What-If Analysis'!$F$16, 'What-If Analysis'!$F$16,T606)</f>
        <v>0.17</v>
      </c>
      <c r="AC606" s="42">
        <f>S606*(1-AB606)</f>
        <v>554.66409999999996</v>
      </c>
      <c r="AD606" s="42">
        <f>Q606*(1+'What-If Analysis'!F621)</f>
        <v>689.33</v>
      </c>
      <c r="AE606" s="41">
        <f>W606*(1+'What-If Analysis'!$F$18)</f>
        <v>15.209999999999999</v>
      </c>
      <c r="AF606" s="42">
        <f t="shared" si="133"/>
        <v>8436.4409609999984</v>
      </c>
      <c r="AG606" s="42">
        <f t="shared" si="134"/>
        <v>10484.7093</v>
      </c>
      <c r="AH606" s="42">
        <f t="shared" si="135"/>
        <v>-2048.268339000002</v>
      </c>
      <c r="AI606" s="44">
        <f t="shared" si="136"/>
        <v>-0.24278820280598681</v>
      </c>
      <c r="AJ606" s="42">
        <f t="shared" si="137"/>
        <v>1364.8078209999976</v>
      </c>
      <c r="AK606" s="42">
        <f t="shared" si="138"/>
        <v>-1889.6568600000001</v>
      </c>
      <c r="AL606" s="9">
        <f t="shared" si="139"/>
        <v>2.4428269342623515E-2</v>
      </c>
      <c r="AM606" s="42"/>
    </row>
    <row r="607" spans="1:39" x14ac:dyDescent="0.25">
      <c r="A607" t="s">
        <v>620</v>
      </c>
      <c r="B607" s="20">
        <v>45038</v>
      </c>
      <c r="C607" s="4">
        <v>45060</v>
      </c>
      <c r="D607" s="4" t="s">
        <v>1442</v>
      </c>
      <c r="E607" s="4">
        <v>45060</v>
      </c>
      <c r="F607" s="11">
        <f t="shared" si="126"/>
        <v>22</v>
      </c>
      <c r="G607" s="11" t="str">
        <f t="shared" si="129"/>
        <v>Does not Meet Target</v>
      </c>
      <c r="H607" t="s">
        <v>647</v>
      </c>
      <c r="I607" t="s">
        <v>652</v>
      </c>
      <c r="J607" t="s">
        <v>694</v>
      </c>
      <c r="K607" t="s">
        <v>706</v>
      </c>
      <c r="L607" t="s">
        <v>707</v>
      </c>
      <c r="M607" t="s">
        <v>720</v>
      </c>
      <c r="N607" t="s">
        <v>733</v>
      </c>
      <c r="O607" t="str" cm="1">
        <f t="array" ref="O607">_xlfn.IFS(S607&lt;=_xlfn.PERCENTILE.INC(IF(N607:N1237=N607, S607:S1237), 0.33), "Low", S607&lt;=_xlfn.PERCENTILE.INC(IF(N607:N1237=N607, S607:S1237), 0.66), "Medium", S607 &gt; _xlfn.PERCENTILE.INC(IF(N607:N1237=N607, S607:S1237), 0.66), "High")</f>
        <v>High</v>
      </c>
      <c r="P607" t="s">
        <v>1338</v>
      </c>
      <c r="Q607" s="6">
        <v>1209.22</v>
      </c>
      <c r="R607" s="6">
        <v>1404.33</v>
      </c>
      <c r="S607" s="6">
        <v>1404.33</v>
      </c>
      <c r="T607" s="9">
        <v>0.10299999999999999</v>
      </c>
      <c r="U607" s="9">
        <f>IF(T607&gt;0.3, $AO$4, T607)</f>
        <v>0.10299999999999999</v>
      </c>
      <c r="V607" s="7" t="str">
        <f t="shared" si="130"/>
        <v>Less than 20%</v>
      </c>
      <c r="W607" s="11">
        <v>11</v>
      </c>
      <c r="X607" s="6">
        <f t="shared" si="127"/>
        <v>13856.52411</v>
      </c>
      <c r="Y607" s="6">
        <f t="shared" si="128"/>
        <v>13301.42</v>
      </c>
      <c r="Z607" s="6">
        <f t="shared" si="131"/>
        <v>555.10411000000022</v>
      </c>
      <c r="AA607" s="9">
        <f t="shared" si="132"/>
        <v>4.0060848275751328E-2</v>
      </c>
      <c r="AB607" s="9">
        <f>IF(U607&gt;'What-If Analysis'!$F$16, 'What-If Analysis'!$F$16,T607)</f>
        <v>0.10299999999999999</v>
      </c>
      <c r="AC607" s="42">
        <f>S607*(1-AB607)</f>
        <v>1259.6840099999999</v>
      </c>
      <c r="AD607" s="42">
        <f>Q607*(1+'What-If Analysis'!F622)</f>
        <v>1209.22</v>
      </c>
      <c r="AE607" s="41">
        <f>W607*(1+'What-If Analysis'!$F$18)</f>
        <v>12.87</v>
      </c>
      <c r="AF607" s="42">
        <f t="shared" si="133"/>
        <v>16212.133208699999</v>
      </c>
      <c r="AG607" s="42">
        <f t="shared" si="134"/>
        <v>15562.661399999999</v>
      </c>
      <c r="AH607" s="42">
        <f t="shared" si="135"/>
        <v>649.47180870000011</v>
      </c>
      <c r="AI607" s="44">
        <f t="shared" si="136"/>
        <v>4.0060848275751321E-2</v>
      </c>
      <c r="AJ607" s="42">
        <f t="shared" si="137"/>
        <v>2355.6090986999989</v>
      </c>
      <c r="AK607" s="42">
        <f t="shared" si="138"/>
        <v>555.10411000000022</v>
      </c>
      <c r="AL607" s="9">
        <f t="shared" si="139"/>
        <v>0</v>
      </c>
      <c r="AM607" s="42"/>
    </row>
    <row r="608" spans="1:39" x14ac:dyDescent="0.25">
      <c r="A608" t="s">
        <v>621</v>
      </c>
      <c r="B608" s="20">
        <v>45827</v>
      </c>
      <c r="C608" s="4">
        <v>45829</v>
      </c>
      <c r="D608" s="4" t="s">
        <v>1440</v>
      </c>
      <c r="E608" s="4">
        <v>45829</v>
      </c>
      <c r="F608" s="11">
        <f t="shared" si="126"/>
        <v>2</v>
      </c>
      <c r="G608" s="11" t="str">
        <f t="shared" si="129"/>
        <v>Meets Target</v>
      </c>
      <c r="H608" t="s">
        <v>646</v>
      </c>
      <c r="I608" t="s">
        <v>661</v>
      </c>
      <c r="J608" t="s">
        <v>682</v>
      </c>
      <c r="K608" t="s">
        <v>705</v>
      </c>
      <c r="L608" t="s">
        <v>1422</v>
      </c>
      <c r="M608" t="s">
        <v>722</v>
      </c>
      <c r="N608" t="s">
        <v>730</v>
      </c>
      <c r="O608" t="str" cm="1">
        <f t="array" ref="O608">_xlfn.IFS(S608&lt;=_xlfn.PERCENTILE.INC(IF(N608:N1238=N608, S608:S1238), 0.33), "Low", S608&lt;=_xlfn.PERCENTILE.INC(IF(N608:N1238=N608, S608:S1238), 0.66), "Medium", S608 &gt; _xlfn.PERCENTILE.INC(IF(N608:N1238=N608, S608:S1238), 0.66), "High")</f>
        <v>High</v>
      </c>
      <c r="P608" t="s">
        <v>1339</v>
      </c>
      <c r="Q608" s="6">
        <v>1466.27</v>
      </c>
      <c r="R608" s="6">
        <v>3589.89</v>
      </c>
      <c r="S608" s="6">
        <v>3589.89</v>
      </c>
      <c r="T608" s="9">
        <v>9.7000000000000003E-2</v>
      </c>
      <c r="U608" s="9">
        <f>IF(T608&gt;0.3, $AO$4, T608)</f>
        <v>9.7000000000000003E-2</v>
      </c>
      <c r="V608" s="7" t="str">
        <f t="shared" si="130"/>
        <v>Less than 20%</v>
      </c>
      <c r="W608" s="11">
        <v>9</v>
      </c>
      <c r="X608" s="6">
        <f t="shared" si="127"/>
        <v>29175.036029999999</v>
      </c>
      <c r="Y608" s="6">
        <f t="shared" si="128"/>
        <v>13196.43</v>
      </c>
      <c r="Z608" s="6">
        <f t="shared" si="131"/>
        <v>15978.606029999999</v>
      </c>
      <c r="AA608" s="9">
        <f t="shared" si="132"/>
        <v>0.54768076425234147</v>
      </c>
      <c r="AB608" s="9">
        <f>IF(U608&gt;'What-If Analysis'!$F$16, 'What-If Analysis'!$F$16,T608)</f>
        <v>9.7000000000000003E-2</v>
      </c>
      <c r="AC608" s="42">
        <f>S608*(1-AB608)</f>
        <v>3241.67067</v>
      </c>
      <c r="AD608" s="42">
        <f>Q608*(1+'What-If Analysis'!F623)</f>
        <v>1466.27</v>
      </c>
      <c r="AE608" s="41">
        <f>W608*(1+'What-If Analysis'!$F$18)</f>
        <v>10.53</v>
      </c>
      <c r="AF608" s="42">
        <f t="shared" si="133"/>
        <v>34134.792155099996</v>
      </c>
      <c r="AG608" s="42">
        <f t="shared" si="134"/>
        <v>15439.8231</v>
      </c>
      <c r="AH608" s="42">
        <f t="shared" si="135"/>
        <v>18694.969055099995</v>
      </c>
      <c r="AI608" s="44">
        <f t="shared" si="136"/>
        <v>0.54768076425234147</v>
      </c>
      <c r="AJ608" s="42">
        <f t="shared" si="137"/>
        <v>4959.756125099997</v>
      </c>
      <c r="AK608" s="42">
        <f t="shared" si="138"/>
        <v>15978.606029999999</v>
      </c>
      <c r="AL608" s="9">
        <f t="shared" si="139"/>
        <v>0</v>
      </c>
      <c r="AM608" s="42"/>
    </row>
    <row r="609" spans="1:39" x14ac:dyDescent="0.25">
      <c r="A609" t="s">
        <v>622</v>
      </c>
      <c r="B609" s="20">
        <v>45623</v>
      </c>
      <c r="C609" s="4">
        <v>45650</v>
      </c>
      <c r="D609" s="4" t="s">
        <v>1435</v>
      </c>
      <c r="E609" s="4">
        <v>45650</v>
      </c>
      <c r="F609" s="11">
        <f t="shared" si="126"/>
        <v>27</v>
      </c>
      <c r="G609" s="11" t="str">
        <f t="shared" si="129"/>
        <v>Does not Meet Target</v>
      </c>
      <c r="H609" t="s">
        <v>646</v>
      </c>
      <c r="I609" t="s">
        <v>650</v>
      </c>
      <c r="J609" t="s">
        <v>675</v>
      </c>
      <c r="K609" t="s">
        <v>701</v>
      </c>
      <c r="L609" t="s">
        <v>710</v>
      </c>
      <c r="M609" t="s">
        <v>717</v>
      </c>
      <c r="N609" t="s">
        <v>728</v>
      </c>
      <c r="O609" t="str" cm="1">
        <f t="array" ref="O609">_xlfn.IFS(S609&lt;=_xlfn.PERCENTILE.INC(IF(N609:N1239=N609, S609:S1239), 0.33), "Low", S609&lt;=_xlfn.PERCENTILE.INC(IF(N609:N1239=N609, S609:S1239), 0.66), "Medium", S609 &gt; _xlfn.PERCENTILE.INC(IF(N609:N1239=N609, S609:S1239), 0.66), "High")</f>
        <v>Low</v>
      </c>
      <c r="P609" t="s">
        <v>1340</v>
      </c>
      <c r="Q609" s="6">
        <v>143.33000000000001</v>
      </c>
      <c r="R609" s="6">
        <v>233.51</v>
      </c>
      <c r="S609" s="6">
        <v>233.51</v>
      </c>
      <c r="T609" s="9">
        <v>0.16300000000000001</v>
      </c>
      <c r="U609" s="9">
        <f>IF(T609&gt;0.3, $AO$4, T609)</f>
        <v>0.16300000000000001</v>
      </c>
      <c r="V609" s="7" t="str">
        <f t="shared" si="130"/>
        <v>Less than 20%</v>
      </c>
      <c r="W609" s="11">
        <v>14</v>
      </c>
      <c r="X609" s="6">
        <f t="shared" si="127"/>
        <v>2736.27018</v>
      </c>
      <c r="Y609" s="6">
        <f t="shared" si="128"/>
        <v>2006.6200000000001</v>
      </c>
      <c r="Z609" s="6">
        <f t="shared" si="131"/>
        <v>729.65017999999986</v>
      </c>
      <c r="AA609" s="9">
        <f t="shared" si="132"/>
        <v>0.26665867476580835</v>
      </c>
      <c r="AB609" s="9">
        <f>IF(U609&gt;'What-If Analysis'!$F$16, 'What-If Analysis'!$F$16,T609)</f>
        <v>0.16300000000000001</v>
      </c>
      <c r="AC609" s="42">
        <f>S609*(1-AB609)</f>
        <v>195.44786999999999</v>
      </c>
      <c r="AD609" s="42">
        <f>Q609*(1+'What-If Analysis'!F624)</f>
        <v>143.33000000000001</v>
      </c>
      <c r="AE609" s="41">
        <f>W609*(1+'What-If Analysis'!$F$18)</f>
        <v>16.38</v>
      </c>
      <c r="AF609" s="42">
        <f t="shared" si="133"/>
        <v>3201.4361105999997</v>
      </c>
      <c r="AG609" s="42">
        <f t="shared" si="134"/>
        <v>2347.7454000000002</v>
      </c>
      <c r="AH609" s="42">
        <f t="shared" si="135"/>
        <v>853.69071059999942</v>
      </c>
      <c r="AI609" s="44">
        <f t="shared" si="136"/>
        <v>0.26665867476580823</v>
      </c>
      <c r="AJ609" s="42">
        <f t="shared" si="137"/>
        <v>465.16593059999968</v>
      </c>
      <c r="AK609" s="42">
        <f t="shared" si="138"/>
        <v>729.65017999999986</v>
      </c>
      <c r="AL609" s="9">
        <f t="shared" si="139"/>
        <v>0</v>
      </c>
      <c r="AM609" s="42"/>
    </row>
    <row r="610" spans="1:39" x14ac:dyDescent="0.25">
      <c r="A610" t="s">
        <v>623</v>
      </c>
      <c r="B610" s="20">
        <v>45319</v>
      </c>
      <c r="C610" s="4">
        <v>45318</v>
      </c>
      <c r="D610" s="4" t="s">
        <v>1434</v>
      </c>
      <c r="E610" s="4">
        <v>45338</v>
      </c>
      <c r="F610" s="11">
        <f t="shared" si="126"/>
        <v>19</v>
      </c>
      <c r="G610" s="11" t="str">
        <f t="shared" si="129"/>
        <v>Does not Meet Target</v>
      </c>
      <c r="H610" t="s">
        <v>646</v>
      </c>
      <c r="I610" t="s">
        <v>661</v>
      </c>
      <c r="J610" t="s">
        <v>695</v>
      </c>
      <c r="K610" t="s">
        <v>706</v>
      </c>
      <c r="L610" t="s">
        <v>711</v>
      </c>
      <c r="M610" t="s">
        <v>719</v>
      </c>
      <c r="N610" t="s">
        <v>727</v>
      </c>
      <c r="O610" t="str" cm="1">
        <f t="array" ref="O610">_xlfn.IFS(S610&lt;=_xlfn.PERCENTILE.INC(IF(N610:N1240=N610, S610:S1240), 0.33), "Low", S610&lt;=_xlfn.PERCENTILE.INC(IF(N610:N1240=N610, S610:S1240), 0.66), "Medium", S610 &gt; _xlfn.PERCENTILE.INC(IF(N610:N1240=N610, S610:S1240), 0.66), "High")</f>
        <v>Low</v>
      </c>
      <c r="P610" t="s">
        <v>1341</v>
      </c>
      <c r="Q610" s="6">
        <v>109.75</v>
      </c>
      <c r="R610" s="6">
        <v>124.25</v>
      </c>
      <c r="S610" s="6">
        <v>124.25</v>
      </c>
      <c r="T610" s="9">
        <v>0.12</v>
      </c>
      <c r="U610" s="9">
        <f>IF(T610&gt;0.3, $AO$4, T610)</f>
        <v>0.12</v>
      </c>
      <c r="V610" s="7" t="str">
        <f t="shared" si="130"/>
        <v>Less than 20%</v>
      </c>
      <c r="W610" s="11">
        <v>19</v>
      </c>
      <c r="X610" s="6">
        <f t="shared" si="127"/>
        <v>2077.46</v>
      </c>
      <c r="Y610" s="6">
        <f t="shared" si="128"/>
        <v>2085.25</v>
      </c>
      <c r="Z610" s="6">
        <f t="shared" si="131"/>
        <v>-7.7899999999999636</v>
      </c>
      <c r="AA610" s="9">
        <f t="shared" si="132"/>
        <v>-3.7497713554051405E-3</v>
      </c>
      <c r="AB610" s="9">
        <f>IF(U610&gt;'What-If Analysis'!$F$16, 'What-If Analysis'!$F$16,T610)</f>
        <v>0.12</v>
      </c>
      <c r="AC610" s="42">
        <f>S610*(1-AB610)</f>
        <v>109.34</v>
      </c>
      <c r="AD610" s="42">
        <f>Q610*(1+'What-If Analysis'!F625)</f>
        <v>109.75</v>
      </c>
      <c r="AE610" s="41">
        <f>W610*(1+'What-If Analysis'!$F$18)</f>
        <v>22.229999999999997</v>
      </c>
      <c r="AF610" s="42">
        <f t="shared" si="133"/>
        <v>2430.6281999999997</v>
      </c>
      <c r="AG610" s="42">
        <f t="shared" si="134"/>
        <v>2439.7424999999998</v>
      </c>
      <c r="AH610" s="42">
        <f t="shared" si="135"/>
        <v>-9.1143000000001848</v>
      </c>
      <c r="AI610" s="44">
        <f t="shared" si="136"/>
        <v>-3.7497713554052346E-3</v>
      </c>
      <c r="AJ610" s="42">
        <f t="shared" si="137"/>
        <v>353.16819999999962</v>
      </c>
      <c r="AK610" s="42">
        <f t="shared" si="138"/>
        <v>-7.7899999999999636</v>
      </c>
      <c r="AL610" s="9">
        <f t="shared" si="139"/>
        <v>-9.4108748571741785E-17</v>
      </c>
      <c r="AM610" s="42"/>
    </row>
    <row r="611" spans="1:39" x14ac:dyDescent="0.25">
      <c r="A611" t="s">
        <v>624</v>
      </c>
      <c r="B611" s="20">
        <v>45032</v>
      </c>
      <c r="C611" s="4">
        <v>45039</v>
      </c>
      <c r="D611" s="4" t="s">
        <v>1442</v>
      </c>
      <c r="E611" s="4">
        <v>45039</v>
      </c>
      <c r="F611" s="11">
        <f t="shared" si="126"/>
        <v>7</v>
      </c>
      <c r="G611" s="11" t="str">
        <f t="shared" si="129"/>
        <v>Meets Target</v>
      </c>
      <c r="H611" t="s">
        <v>648</v>
      </c>
      <c r="I611" t="s">
        <v>660</v>
      </c>
      <c r="J611" t="s">
        <v>697</v>
      </c>
      <c r="K611" t="s">
        <v>701</v>
      </c>
      <c r="L611" t="s">
        <v>710</v>
      </c>
      <c r="M611" t="s">
        <v>719</v>
      </c>
      <c r="N611" t="s">
        <v>728</v>
      </c>
      <c r="O611" t="str" cm="1">
        <f t="array" ref="O611">_xlfn.IFS(S611&lt;=_xlfn.PERCENTILE.INC(IF(N611:N1241=N611, S611:S1241), 0.33), "Low", S611&lt;=_xlfn.PERCENTILE.INC(IF(N611:N1241=N611, S611:S1241), 0.66), "Medium", S611 &gt; _xlfn.PERCENTILE.INC(IF(N611:N1241=N611, S611:S1241), 0.66), "High")</f>
        <v>Medium</v>
      </c>
      <c r="P611" t="s">
        <v>1342</v>
      </c>
      <c r="Q611" s="6">
        <v>1099.1500000000001</v>
      </c>
      <c r="R611" s="6">
        <v>1431.37</v>
      </c>
      <c r="S611" s="6">
        <v>1431.37</v>
      </c>
      <c r="T611" s="9">
        <v>0.104</v>
      </c>
      <c r="U611" s="9">
        <f>IF(T611&gt;0.3, $AO$4, T611)</f>
        <v>0.104</v>
      </c>
      <c r="V611" s="7" t="str">
        <f t="shared" si="130"/>
        <v>Less than 20%</v>
      </c>
      <c r="W611" s="11">
        <v>8</v>
      </c>
      <c r="X611" s="6">
        <f t="shared" si="127"/>
        <v>10260.060159999999</v>
      </c>
      <c r="Y611" s="6">
        <f t="shared" si="128"/>
        <v>8793.2000000000007</v>
      </c>
      <c r="Z611" s="6">
        <f t="shared" si="131"/>
        <v>1466.8601599999984</v>
      </c>
      <c r="AA611" s="9">
        <f t="shared" si="132"/>
        <v>0.14296798821109433</v>
      </c>
      <c r="AB611" s="9">
        <f>IF(U611&gt;'What-If Analysis'!$F$16, 'What-If Analysis'!$F$16,T611)</f>
        <v>0.104</v>
      </c>
      <c r="AC611" s="42">
        <f>S611*(1-AB611)</f>
        <v>1282.5075199999999</v>
      </c>
      <c r="AD611" s="42">
        <f>Q611*(1+'What-If Analysis'!F626)</f>
        <v>1099.1500000000001</v>
      </c>
      <c r="AE611" s="41">
        <f>W611*(1+'What-If Analysis'!$F$18)</f>
        <v>9.36</v>
      </c>
      <c r="AF611" s="42">
        <f t="shared" si="133"/>
        <v>12004.270387199998</v>
      </c>
      <c r="AG611" s="42">
        <f t="shared" si="134"/>
        <v>10288.044</v>
      </c>
      <c r="AH611" s="42">
        <f t="shared" si="135"/>
        <v>1716.2263871999985</v>
      </c>
      <c r="AI611" s="44">
        <f t="shared" si="136"/>
        <v>0.14296798821109435</v>
      </c>
      <c r="AJ611" s="42">
        <f t="shared" si="137"/>
        <v>1744.2102271999993</v>
      </c>
      <c r="AK611" s="42">
        <f t="shared" si="138"/>
        <v>1466.8601599999984</v>
      </c>
      <c r="AL611" s="9">
        <f t="shared" si="139"/>
        <v>0</v>
      </c>
      <c r="AM611" s="42"/>
    </row>
    <row r="612" spans="1:39" x14ac:dyDescent="0.25">
      <c r="A612" t="s">
        <v>625</v>
      </c>
      <c r="B612" s="20">
        <v>45323</v>
      </c>
      <c r="C612" s="4">
        <v>45323</v>
      </c>
      <c r="D612" s="4" t="s">
        <v>1434</v>
      </c>
      <c r="E612" s="4">
        <v>45323</v>
      </c>
      <c r="F612" s="11">
        <f t="shared" si="126"/>
        <v>0</v>
      </c>
      <c r="G612" s="11" t="str">
        <f t="shared" si="129"/>
        <v>Meets Target</v>
      </c>
      <c r="H612" t="s">
        <v>648</v>
      </c>
      <c r="I612" t="s">
        <v>660</v>
      </c>
      <c r="J612" t="s">
        <v>697</v>
      </c>
      <c r="K612" t="s">
        <v>704</v>
      </c>
      <c r="L612" t="s">
        <v>710</v>
      </c>
      <c r="M612" t="s">
        <v>722</v>
      </c>
      <c r="N612" t="s">
        <v>728</v>
      </c>
      <c r="O612" t="str" cm="1">
        <f t="array" ref="O612">_xlfn.IFS(S612&lt;=_xlfn.PERCENTILE.INC(IF(N612:N1242=N612, S612:S1242), 0.33), "Low", S612&lt;=_xlfn.PERCENTILE.INC(IF(N612:N1242=N612, S612:S1242), 0.66), "Medium", S612 &gt; _xlfn.PERCENTILE.INC(IF(N612:N1242=N612, S612:S1242), 0.66), "High")</f>
        <v>Medium</v>
      </c>
      <c r="P612" t="s">
        <v>1343</v>
      </c>
      <c r="Q612" s="6">
        <v>714.43</v>
      </c>
      <c r="R612" s="6">
        <v>1595.52</v>
      </c>
      <c r="S612" s="6">
        <v>1595.52</v>
      </c>
      <c r="T612" s="9">
        <v>0.19400000000000001</v>
      </c>
      <c r="U612" s="9">
        <f>IF(T612&gt;0.3, $AO$4, T612)</f>
        <v>0.19400000000000001</v>
      </c>
      <c r="V612" s="7" t="str">
        <f t="shared" si="130"/>
        <v>Less than 20%</v>
      </c>
      <c r="W612" s="11">
        <v>14</v>
      </c>
      <c r="X612" s="6">
        <f>S612*W612*(1-U612)</f>
        <v>18003.847679999999</v>
      </c>
      <c r="Y612" s="6">
        <f t="shared" si="128"/>
        <v>10002.019999999999</v>
      </c>
      <c r="Z612" s="6">
        <f t="shared" si="131"/>
        <v>8001.8276800000003</v>
      </c>
      <c r="AA612" s="9">
        <f t="shared" si="132"/>
        <v>0.44445097638151093</v>
      </c>
      <c r="AB612" s="9">
        <f>IF(U612&gt;'What-If Analysis'!$F$16, 'What-If Analysis'!$F$16,T612)</f>
        <v>0.17</v>
      </c>
      <c r="AC612" s="42">
        <f>S612*(1-AB612)</f>
        <v>1324.2816</v>
      </c>
      <c r="AD612" s="42">
        <f>Q612*(1+'What-If Analysis'!F627)</f>
        <v>714.43</v>
      </c>
      <c r="AE612" s="41">
        <f>W612*(1+'What-If Analysis'!$F$18)</f>
        <v>16.38</v>
      </c>
      <c r="AF612" s="42">
        <f t="shared" si="133"/>
        <v>21691.732607999998</v>
      </c>
      <c r="AG612" s="42">
        <f t="shared" si="134"/>
        <v>11702.363399999998</v>
      </c>
      <c r="AH612" s="42">
        <f t="shared" si="135"/>
        <v>9989.3692080000001</v>
      </c>
      <c r="AI612" s="44">
        <f t="shared" si="136"/>
        <v>0.46051504453433473</v>
      </c>
      <c r="AJ612" s="42">
        <f t="shared" si="137"/>
        <v>3687.8849279999995</v>
      </c>
      <c r="AK612" s="42">
        <f t="shared" si="138"/>
        <v>8001.8276800000003</v>
      </c>
      <c r="AL612" s="9">
        <f t="shared" si="139"/>
        <v>1.6064068152823796E-2</v>
      </c>
      <c r="AM612" s="42"/>
    </row>
    <row r="613" spans="1:39" x14ac:dyDescent="0.25">
      <c r="A613" t="s">
        <v>626</v>
      </c>
      <c r="B613" s="20">
        <v>45584</v>
      </c>
      <c r="C613" s="4">
        <v>45602</v>
      </c>
      <c r="D613" s="4" t="s">
        <v>1435</v>
      </c>
      <c r="E613" s="4">
        <v>45602</v>
      </c>
      <c r="F613" s="11">
        <f t="shared" si="126"/>
        <v>18</v>
      </c>
      <c r="G613" s="11" t="str">
        <f t="shared" si="129"/>
        <v>Does not Meet Target</v>
      </c>
      <c r="H613" t="s">
        <v>648</v>
      </c>
      <c r="I613" t="s">
        <v>660</v>
      </c>
      <c r="J613" t="s">
        <v>677</v>
      </c>
      <c r="K613" t="s">
        <v>702</v>
      </c>
      <c r="L613" t="s">
        <v>1422</v>
      </c>
      <c r="M613" t="s">
        <v>712</v>
      </c>
      <c r="N613" t="s">
        <v>732</v>
      </c>
      <c r="O613" t="str" cm="1">
        <f t="array" ref="O613">_xlfn.IFS(S613&lt;=_xlfn.PERCENTILE.INC(IF(N613:N1243=N613, S613:S1243), 0.33), "Low", S613&lt;=_xlfn.PERCENTILE.INC(IF(N613:N1243=N613, S613:S1243), 0.66), "Medium", S613 &gt; _xlfn.PERCENTILE.INC(IF(N613:N1243=N613, S613:S1243), 0.66), "High")</f>
        <v>Medium</v>
      </c>
      <c r="P613" t="s">
        <v>1344</v>
      </c>
      <c r="Q613" s="6">
        <v>942.02</v>
      </c>
      <c r="R613" s="6">
        <v>1028.46</v>
      </c>
      <c r="S613" s="6">
        <v>1028.46</v>
      </c>
      <c r="T613" s="9">
        <v>0</v>
      </c>
      <c r="U613" s="9">
        <f>IF(T613&gt;0.3, $AO$4, T613)</f>
        <v>0</v>
      </c>
      <c r="V613" s="7" t="str">
        <f t="shared" si="130"/>
        <v>Less than 20%</v>
      </c>
      <c r="W613" s="11">
        <v>9</v>
      </c>
      <c r="X613" s="6">
        <f t="shared" ref="X613:X632" si="140">S613*W613*(1-U613)</f>
        <v>9256.14</v>
      </c>
      <c r="Y613" s="6">
        <f t="shared" si="128"/>
        <v>8478.18</v>
      </c>
      <c r="Z613" s="6">
        <f t="shared" si="131"/>
        <v>777.95999999999913</v>
      </c>
      <c r="AA613" s="9">
        <f t="shared" si="132"/>
        <v>8.4047994088248354E-2</v>
      </c>
      <c r="AB613" s="9">
        <f>IF(U613&gt;'What-If Analysis'!$F$16, 'What-If Analysis'!$F$16,T613)</f>
        <v>0</v>
      </c>
      <c r="AC613" s="42">
        <f>S613*(1-AB613)</f>
        <v>1028.46</v>
      </c>
      <c r="AD613" s="42">
        <f>Q613*(1+'What-If Analysis'!F628)</f>
        <v>942.02</v>
      </c>
      <c r="AE613" s="41">
        <f>W613*(1+'What-If Analysis'!$F$18)</f>
        <v>10.53</v>
      </c>
      <c r="AF613" s="42">
        <f t="shared" si="133"/>
        <v>10829.683799999999</v>
      </c>
      <c r="AG613" s="42">
        <f t="shared" si="134"/>
        <v>9919.4705999999987</v>
      </c>
      <c r="AH613" s="42">
        <f t="shared" si="135"/>
        <v>910.21320000000014</v>
      </c>
      <c r="AI613" s="44">
        <f t="shared" si="136"/>
        <v>8.4047994088248465E-2</v>
      </c>
      <c r="AJ613" s="42">
        <f t="shared" si="137"/>
        <v>1573.5437999999995</v>
      </c>
      <c r="AK613" s="42">
        <f t="shared" si="138"/>
        <v>777.95999999999913</v>
      </c>
      <c r="AL613" s="9">
        <f t="shared" si="139"/>
        <v>1.1102230246251565E-16</v>
      </c>
      <c r="AM613" s="42"/>
    </row>
    <row r="614" spans="1:39" x14ac:dyDescent="0.25">
      <c r="A614" t="s">
        <v>627</v>
      </c>
      <c r="B614" s="20">
        <v>45468</v>
      </c>
      <c r="C614" s="4">
        <v>45473</v>
      </c>
      <c r="D614" s="4" t="s">
        <v>1439</v>
      </c>
      <c r="E614" s="4">
        <v>45473</v>
      </c>
      <c r="F614" s="11">
        <f t="shared" si="126"/>
        <v>5</v>
      </c>
      <c r="G614" s="11" t="str">
        <f t="shared" si="129"/>
        <v>Meets Target</v>
      </c>
      <c r="H614" t="s">
        <v>646</v>
      </c>
      <c r="I614" t="s">
        <v>650</v>
      </c>
      <c r="J614" t="s">
        <v>662</v>
      </c>
      <c r="K614" t="s">
        <v>702</v>
      </c>
      <c r="L614" t="s">
        <v>711</v>
      </c>
      <c r="M614" t="s">
        <v>724</v>
      </c>
      <c r="N614" t="s">
        <v>729</v>
      </c>
      <c r="O614" t="str" cm="1">
        <f t="array" ref="O614">_xlfn.IFS(S614&lt;=_xlfn.PERCENTILE.INC(IF(N614:N1244=N614, S614:S1244), 0.33), "Low", S614&lt;=_xlfn.PERCENTILE.INC(IF(N614:N1244=N614, S614:S1244), 0.66), "Medium", S614 &gt; _xlfn.PERCENTILE.INC(IF(N614:N1244=N614, S614:S1244), 0.66), "High")</f>
        <v>High</v>
      </c>
      <c r="P614" t="s">
        <v>1345</v>
      </c>
      <c r="Q614" s="6">
        <v>1323.55</v>
      </c>
      <c r="R614" s="6">
        <v>3230.35</v>
      </c>
      <c r="S614" s="6">
        <v>3230.35</v>
      </c>
      <c r="T614" s="9">
        <v>2.1999999999999999E-2</v>
      </c>
      <c r="U614" s="9">
        <f>IF(T614&gt;0.3, $AO$4, T614)</f>
        <v>2.1999999999999999E-2</v>
      </c>
      <c r="V614" s="7" t="str">
        <f t="shared" si="130"/>
        <v>Less than 20%</v>
      </c>
      <c r="W614" s="11">
        <v>26</v>
      </c>
      <c r="X614" s="6">
        <f t="shared" si="140"/>
        <v>82141.339799999987</v>
      </c>
      <c r="Y614" s="6">
        <f t="shared" si="128"/>
        <v>34412.299999999996</v>
      </c>
      <c r="Z614" s="6">
        <f t="shared" si="131"/>
        <v>47729.039799999991</v>
      </c>
      <c r="AA614" s="9">
        <f t="shared" si="132"/>
        <v>0.58105991351263542</v>
      </c>
      <c r="AB614" s="9">
        <f>IF(U614&gt;'What-If Analysis'!$F$16, 'What-If Analysis'!$F$16,T614)</f>
        <v>2.1999999999999999E-2</v>
      </c>
      <c r="AC614" s="42">
        <f>S614*(1-AB614)</f>
        <v>3159.2822999999999</v>
      </c>
      <c r="AD614" s="42">
        <f>Q614*(1+'What-If Analysis'!F629)</f>
        <v>1323.55</v>
      </c>
      <c r="AE614" s="41">
        <f>W614*(1+'What-If Analysis'!$F$18)</f>
        <v>30.419999999999998</v>
      </c>
      <c r="AF614" s="42">
        <f t="shared" si="133"/>
        <v>96105.367565999986</v>
      </c>
      <c r="AG614" s="42">
        <f t="shared" si="134"/>
        <v>40262.390999999996</v>
      </c>
      <c r="AH614" s="42">
        <f t="shared" si="135"/>
        <v>55842.97656599999</v>
      </c>
      <c r="AI614" s="44">
        <f t="shared" si="136"/>
        <v>0.58105991351263542</v>
      </c>
      <c r="AJ614" s="42">
        <f t="shared" si="137"/>
        <v>13964.027765999999</v>
      </c>
      <c r="AK614" s="42">
        <f t="shared" si="138"/>
        <v>47729.039799999991</v>
      </c>
      <c r="AL614" s="9">
        <f t="shared" si="139"/>
        <v>0</v>
      </c>
      <c r="AM614" s="42"/>
    </row>
    <row r="615" spans="1:39" x14ac:dyDescent="0.25">
      <c r="A615" t="s">
        <v>628</v>
      </c>
      <c r="B615" s="20">
        <v>45137</v>
      </c>
      <c r="C615" s="4">
        <v>45157</v>
      </c>
      <c r="D615" s="4" t="s">
        <v>1444</v>
      </c>
      <c r="E615" s="4">
        <v>45157</v>
      </c>
      <c r="F615" s="11">
        <f t="shared" si="126"/>
        <v>20</v>
      </c>
      <c r="G615" s="11" t="str">
        <f t="shared" si="129"/>
        <v>Does not Meet Target</v>
      </c>
      <c r="H615" t="s">
        <v>649</v>
      </c>
      <c r="I615" t="s">
        <v>657</v>
      </c>
      <c r="J615" t="s">
        <v>690</v>
      </c>
      <c r="K615" t="s">
        <v>706</v>
      </c>
      <c r="L615" t="s">
        <v>709</v>
      </c>
      <c r="M615" t="s">
        <v>715</v>
      </c>
      <c r="N615" t="s">
        <v>729</v>
      </c>
      <c r="O615" t="str" cm="1">
        <f t="array" ref="O615">_xlfn.IFS(S615&lt;=_xlfn.PERCENTILE.INC(IF(N615:N1245=N615, S615:S1245), 0.33), "Low", S615&lt;=_xlfn.PERCENTILE.INC(IF(N615:N1245=N615, S615:S1245), 0.66), "Medium", S615 &gt; _xlfn.PERCENTILE.INC(IF(N615:N1245=N615, S615:S1245), 0.66), "High")</f>
        <v>High</v>
      </c>
      <c r="P615" t="s">
        <v>1346</v>
      </c>
      <c r="Q615" s="6">
        <v>1418.51</v>
      </c>
      <c r="R615" s="6">
        <v>2789.61</v>
      </c>
      <c r="S615" s="6">
        <v>2789.61</v>
      </c>
      <c r="T615" s="9">
        <v>0.17100000000000001</v>
      </c>
      <c r="U615" s="9">
        <f>IF(T615&gt;0.3, $AO$4, T615)</f>
        <v>0.17100000000000001</v>
      </c>
      <c r="V615" s="7" t="str">
        <f t="shared" si="130"/>
        <v>Less than 20%</v>
      </c>
      <c r="W615" s="11">
        <v>8</v>
      </c>
      <c r="X615" s="6">
        <f t="shared" si="140"/>
        <v>18500.693520000001</v>
      </c>
      <c r="Y615" s="6">
        <f t="shared" si="128"/>
        <v>11348.08</v>
      </c>
      <c r="Z615" s="6">
        <f t="shared" si="131"/>
        <v>7152.6135200000008</v>
      </c>
      <c r="AA615" s="9">
        <f t="shared" si="132"/>
        <v>0.38661326464695689</v>
      </c>
      <c r="AB615" s="9">
        <f>IF(U615&gt;'What-If Analysis'!$F$16, 'What-If Analysis'!$F$16,T615)</f>
        <v>0.17</v>
      </c>
      <c r="AC615" s="42">
        <f>S615*(1-AB615)</f>
        <v>2315.3762999999999</v>
      </c>
      <c r="AD615" s="42">
        <f>Q615*(1+'What-If Analysis'!F630)</f>
        <v>1418.51</v>
      </c>
      <c r="AE615" s="41">
        <f>W615*(1+'What-If Analysis'!$F$18)</f>
        <v>9.36</v>
      </c>
      <c r="AF615" s="42">
        <f t="shared" si="133"/>
        <v>21671.922167999997</v>
      </c>
      <c r="AG615" s="42">
        <f t="shared" si="134"/>
        <v>13277.2536</v>
      </c>
      <c r="AH615" s="42">
        <f t="shared" si="135"/>
        <v>8394.6685679999973</v>
      </c>
      <c r="AI615" s="44">
        <f t="shared" si="136"/>
        <v>0.38735228481003275</v>
      </c>
      <c r="AJ615" s="42">
        <f t="shared" si="137"/>
        <v>3171.2286479999966</v>
      </c>
      <c r="AK615" s="42">
        <f t="shared" si="138"/>
        <v>7152.6135200000008</v>
      </c>
      <c r="AL615" s="9">
        <f t="shared" si="139"/>
        <v>7.3902016307586527E-4</v>
      </c>
      <c r="AM615" s="42"/>
    </row>
    <row r="616" spans="1:39" x14ac:dyDescent="0.25">
      <c r="A616" t="s">
        <v>629</v>
      </c>
      <c r="B616" s="20">
        <v>45727</v>
      </c>
      <c r="C616" s="4">
        <v>45743</v>
      </c>
      <c r="D616" s="4" t="s">
        <v>1437</v>
      </c>
      <c r="E616" s="4">
        <v>45743</v>
      </c>
      <c r="F616" s="11">
        <f t="shared" si="126"/>
        <v>16</v>
      </c>
      <c r="G616" s="11" t="str">
        <f t="shared" si="129"/>
        <v>Does not Meet Target</v>
      </c>
      <c r="H616" t="s">
        <v>647</v>
      </c>
      <c r="I616" t="s">
        <v>652</v>
      </c>
      <c r="J616" t="s">
        <v>689</v>
      </c>
      <c r="K616" t="s">
        <v>706</v>
      </c>
      <c r="L616" t="s">
        <v>710</v>
      </c>
      <c r="M616" t="s">
        <v>717</v>
      </c>
      <c r="N616" t="s">
        <v>728</v>
      </c>
      <c r="O616" t="str" cm="1">
        <f t="array" ref="O616">_xlfn.IFS(S616&lt;=_xlfn.PERCENTILE.INC(IF(N616:N1246=N616, S616:S1246), 0.33), "Low", S616&lt;=_xlfn.PERCENTILE.INC(IF(N616:N1246=N616, S616:S1246), 0.66), "Medium", S616 &gt; _xlfn.PERCENTILE.INC(IF(N616:N1246=N616, S616:S1246), 0.66), "High")</f>
        <v>High</v>
      </c>
      <c r="P616" t="s">
        <v>1347</v>
      </c>
      <c r="Q616" s="6">
        <v>1317.58</v>
      </c>
      <c r="R616" s="6">
        <v>1897.74</v>
      </c>
      <c r="S616" s="6">
        <v>1897.74</v>
      </c>
      <c r="T616" s="9">
        <v>8.1000000000000003E-2</v>
      </c>
      <c r="U616" s="9">
        <f>IF(T616&gt;0.3, $AO$4, T616)</f>
        <v>8.1000000000000003E-2</v>
      </c>
      <c r="V616" s="7" t="str">
        <f t="shared" si="130"/>
        <v>Less than 20%</v>
      </c>
      <c r="W616" s="11">
        <v>6</v>
      </c>
      <c r="X616" s="6">
        <f t="shared" si="140"/>
        <v>10464.138360000001</v>
      </c>
      <c r="Y616" s="6">
        <f t="shared" si="128"/>
        <v>7905.48</v>
      </c>
      <c r="Z616" s="6">
        <f t="shared" si="131"/>
        <v>2558.6583600000013</v>
      </c>
      <c r="AA616" s="9">
        <f t="shared" si="132"/>
        <v>0.24451687009230266</v>
      </c>
      <c r="AB616" s="9">
        <f>IF(U616&gt;'What-If Analysis'!$F$16, 'What-If Analysis'!$F$16,T616)</f>
        <v>8.1000000000000003E-2</v>
      </c>
      <c r="AC616" s="42">
        <f>S616*(1-AB616)</f>
        <v>1744.02306</v>
      </c>
      <c r="AD616" s="42">
        <f>Q616*(1+'What-If Analysis'!F631)</f>
        <v>1317.58</v>
      </c>
      <c r="AE616" s="41">
        <f>W616*(1+'What-If Analysis'!$F$18)</f>
        <v>7.02</v>
      </c>
      <c r="AF616" s="42">
        <f t="shared" si="133"/>
        <v>12243.041881199999</v>
      </c>
      <c r="AG616" s="42">
        <f t="shared" si="134"/>
        <v>9249.4115999999995</v>
      </c>
      <c r="AH616" s="42">
        <f t="shared" si="135"/>
        <v>2993.6302811999994</v>
      </c>
      <c r="AI616" s="44">
        <f t="shared" si="136"/>
        <v>0.24451687009230255</v>
      </c>
      <c r="AJ616" s="42">
        <f t="shared" si="137"/>
        <v>1778.9035211999981</v>
      </c>
      <c r="AK616" s="42">
        <f t="shared" si="138"/>
        <v>2558.6583600000013</v>
      </c>
      <c r="AL616" s="9">
        <f t="shared" si="139"/>
        <v>0</v>
      </c>
      <c r="AM616" s="42"/>
    </row>
    <row r="617" spans="1:39" x14ac:dyDescent="0.25">
      <c r="A617" t="s">
        <v>630</v>
      </c>
      <c r="B617" s="20">
        <v>45208</v>
      </c>
      <c r="C617" s="4">
        <v>45210</v>
      </c>
      <c r="D617" s="4" t="s">
        <v>1438</v>
      </c>
      <c r="E617" s="4">
        <v>45210</v>
      </c>
      <c r="F617" s="11">
        <f t="shared" si="126"/>
        <v>2</v>
      </c>
      <c r="G617" s="11" t="str">
        <f t="shared" si="129"/>
        <v>Meets Target</v>
      </c>
      <c r="H617" t="s">
        <v>646</v>
      </c>
      <c r="I617" t="s">
        <v>651</v>
      </c>
      <c r="J617" t="s">
        <v>663</v>
      </c>
      <c r="K617" t="s">
        <v>702</v>
      </c>
      <c r="L617" t="s">
        <v>709</v>
      </c>
      <c r="M617" t="s">
        <v>723</v>
      </c>
      <c r="N617" t="s">
        <v>729</v>
      </c>
      <c r="O617" t="str" cm="1">
        <f t="array" ref="O617">_xlfn.IFS(S617&lt;=_xlfn.PERCENTILE.INC(IF(N617:N1247=N617, S617:S1247), 0.33), "Low", S617&lt;=_xlfn.PERCENTILE.INC(IF(N617:N1247=N617, S617:S1247), 0.66), "Medium", S617 &gt; _xlfn.PERCENTILE.INC(IF(N617:N1247=N617, S617:S1247), 0.66), "High")</f>
        <v>Low</v>
      </c>
      <c r="P617" t="s">
        <v>1348</v>
      </c>
      <c r="Q617" s="6">
        <v>391.16</v>
      </c>
      <c r="R617" s="6">
        <v>902.47</v>
      </c>
      <c r="S617" s="6">
        <v>902.47</v>
      </c>
      <c r="T617" s="9">
        <v>4.0000000000000001E-3</v>
      </c>
      <c r="U617" s="9">
        <f>IF(T617&gt;0.3, $AO$4, T617)</f>
        <v>4.0000000000000001E-3</v>
      </c>
      <c r="V617" s="7" t="str">
        <f t="shared" si="130"/>
        <v>Less than 20%</v>
      </c>
      <c r="W617" s="11">
        <v>12</v>
      </c>
      <c r="X617" s="6">
        <f t="shared" si="140"/>
        <v>10786.32144</v>
      </c>
      <c r="Y617" s="6">
        <f t="shared" si="128"/>
        <v>4693.92</v>
      </c>
      <c r="Z617" s="6">
        <f t="shared" si="131"/>
        <v>6092.4014399999996</v>
      </c>
      <c r="AA617" s="9">
        <f t="shared" si="132"/>
        <v>0.56482661618139207</v>
      </c>
      <c r="AB617" s="9">
        <f>IF(U617&gt;'What-If Analysis'!$F$16, 'What-If Analysis'!$F$16,T617)</f>
        <v>4.0000000000000001E-3</v>
      </c>
      <c r="AC617" s="42">
        <f>S617*(1-AB617)</f>
        <v>898.86012000000005</v>
      </c>
      <c r="AD617" s="42">
        <f>Q617*(1+'What-If Analysis'!F632)</f>
        <v>391.16</v>
      </c>
      <c r="AE617" s="41">
        <f>W617*(1+'What-If Analysis'!$F$18)</f>
        <v>14.04</v>
      </c>
      <c r="AF617" s="42">
        <f t="shared" si="133"/>
        <v>12619.996084799999</v>
      </c>
      <c r="AG617" s="42">
        <f t="shared" si="134"/>
        <v>5491.8864000000003</v>
      </c>
      <c r="AH617" s="42">
        <f t="shared" si="135"/>
        <v>7128.1096847999988</v>
      </c>
      <c r="AI617" s="44">
        <f t="shared" si="136"/>
        <v>0.56482661618139196</v>
      </c>
      <c r="AJ617" s="42">
        <f t="shared" si="137"/>
        <v>1833.6746447999994</v>
      </c>
      <c r="AK617" s="42">
        <f t="shared" si="138"/>
        <v>6092.4014399999996</v>
      </c>
      <c r="AL617" s="9">
        <f t="shared" si="139"/>
        <v>0</v>
      </c>
      <c r="AM617" s="42"/>
    </row>
    <row r="618" spans="1:39" x14ac:dyDescent="0.25">
      <c r="A618" t="s">
        <v>631</v>
      </c>
      <c r="B618" s="20">
        <v>45643</v>
      </c>
      <c r="C618" s="4">
        <v>45673</v>
      </c>
      <c r="D618" s="4" t="s">
        <v>1435</v>
      </c>
      <c r="E618" s="4">
        <v>45673</v>
      </c>
      <c r="F618" s="11">
        <f t="shared" si="126"/>
        <v>30</v>
      </c>
      <c r="G618" s="11" t="str">
        <f t="shared" si="129"/>
        <v>Does not Meet Target</v>
      </c>
      <c r="H618" t="s">
        <v>649</v>
      </c>
      <c r="I618" t="s">
        <v>658</v>
      </c>
      <c r="J618" t="s">
        <v>693</v>
      </c>
      <c r="K618" t="s">
        <v>701</v>
      </c>
      <c r="L618" t="s">
        <v>707</v>
      </c>
      <c r="M618" t="s">
        <v>726</v>
      </c>
      <c r="N618" t="s">
        <v>732</v>
      </c>
      <c r="O618" t="str" cm="1">
        <f t="array" ref="O618">_xlfn.IFS(S618&lt;=_xlfn.PERCENTILE.INC(IF(N618:N1248=N618, S618:S1248), 0.33), "Low", S618&lt;=_xlfn.PERCENTILE.INC(IF(N618:N1248=N618, S618:S1248), 0.66), "Medium", S618 &gt; _xlfn.PERCENTILE.INC(IF(N618:N1248=N618, S618:S1248), 0.66), "High")</f>
        <v>High</v>
      </c>
      <c r="P618" t="s">
        <v>1349</v>
      </c>
      <c r="Q618" s="6">
        <v>722.87</v>
      </c>
      <c r="R618" s="6">
        <v>-33.659999999999997</v>
      </c>
      <c r="S618" s="6">
        <v>1186.26</v>
      </c>
      <c r="T618" s="9">
        <v>0.10199999999999999</v>
      </c>
      <c r="U618" s="9">
        <f>IF(T618&gt;0.3, $AO$4, T618)</f>
        <v>0.10199999999999999</v>
      </c>
      <c r="V618" s="7" t="str">
        <f t="shared" si="130"/>
        <v>Less than 20%</v>
      </c>
      <c r="W618" s="11">
        <v>28</v>
      </c>
      <c r="X618" s="6">
        <f t="shared" si="140"/>
        <v>29827.32144</v>
      </c>
      <c r="Y618" s="6">
        <f t="shared" si="128"/>
        <v>20240.36</v>
      </c>
      <c r="Z618" s="6">
        <f t="shared" si="131"/>
        <v>9586.9614399999991</v>
      </c>
      <c r="AA618" s="9">
        <f t="shared" si="132"/>
        <v>0.32141543313853793</v>
      </c>
      <c r="AB618" s="9">
        <f>IF(U618&gt;'What-If Analysis'!$F$16, 'What-If Analysis'!$F$16,T618)</f>
        <v>0.10199999999999999</v>
      </c>
      <c r="AC618" s="42">
        <f>S618*(1-AB618)</f>
        <v>1065.2614800000001</v>
      </c>
      <c r="AD618" s="42">
        <f>Q618*(1+'What-If Analysis'!F633)</f>
        <v>722.87</v>
      </c>
      <c r="AE618" s="41">
        <f>W618*(1+'What-If Analysis'!$F$18)</f>
        <v>32.76</v>
      </c>
      <c r="AF618" s="42">
        <f t="shared" si="133"/>
        <v>34897.966084799998</v>
      </c>
      <c r="AG618" s="42">
        <f t="shared" si="134"/>
        <v>23681.2212</v>
      </c>
      <c r="AH618" s="42">
        <f t="shared" si="135"/>
        <v>11216.744884799999</v>
      </c>
      <c r="AI618" s="44">
        <f t="shared" si="136"/>
        <v>0.32141543313853793</v>
      </c>
      <c r="AJ618" s="42">
        <f t="shared" si="137"/>
        <v>5070.6446447999988</v>
      </c>
      <c r="AK618" s="42">
        <f t="shared" si="138"/>
        <v>9586.9614399999991</v>
      </c>
      <c r="AL618" s="9">
        <f t="shared" si="139"/>
        <v>0</v>
      </c>
      <c r="AM618" s="42"/>
    </row>
    <row r="619" spans="1:39" x14ac:dyDescent="0.25">
      <c r="A619" t="s">
        <v>632</v>
      </c>
      <c r="B619" s="20">
        <v>45849</v>
      </c>
      <c r="C619" s="4">
        <v>45854</v>
      </c>
      <c r="D619" s="4" t="s">
        <v>1441</v>
      </c>
      <c r="E619" s="4">
        <v>45854</v>
      </c>
      <c r="F619" s="11">
        <f t="shared" si="126"/>
        <v>5</v>
      </c>
      <c r="G619" s="11" t="str">
        <f t="shared" si="129"/>
        <v>Meets Target</v>
      </c>
      <c r="H619" t="s">
        <v>649</v>
      </c>
      <c r="I619" t="s">
        <v>658</v>
      </c>
      <c r="J619" t="s">
        <v>683</v>
      </c>
      <c r="K619" t="s">
        <v>706</v>
      </c>
      <c r="L619" t="s">
        <v>708</v>
      </c>
      <c r="M619" t="s">
        <v>723</v>
      </c>
      <c r="N619" t="s">
        <v>728</v>
      </c>
      <c r="O619" t="str" cm="1">
        <f t="array" ref="O619">_xlfn.IFS(S619&lt;=_xlfn.PERCENTILE.INC(IF(N619:N1249=N619, S619:S1249), 0.33), "Low", S619&lt;=_xlfn.PERCENTILE.INC(IF(N619:N1249=N619, S619:S1249), 0.66), "Medium", S619 &gt; _xlfn.PERCENTILE.INC(IF(N619:N1249=N619, S619:S1249), 0.66), "High")</f>
        <v>Low</v>
      </c>
      <c r="P619" t="s">
        <v>1350</v>
      </c>
      <c r="Q619" s="6">
        <v>930.03</v>
      </c>
      <c r="R619" s="6">
        <v>1086.68</v>
      </c>
      <c r="S619" s="6">
        <v>1086.68</v>
      </c>
      <c r="T619" s="9">
        <v>0.109</v>
      </c>
      <c r="U619" s="9">
        <f>IF(T619&gt;0.3, $AO$4, T619)</f>
        <v>0.109</v>
      </c>
      <c r="V619" s="7" t="str">
        <f t="shared" si="130"/>
        <v>Less than 20%</v>
      </c>
      <c r="W619" s="11">
        <v>26</v>
      </c>
      <c r="X619" s="6">
        <f t="shared" si="140"/>
        <v>25174.028880000002</v>
      </c>
      <c r="Y619" s="6">
        <f t="shared" si="128"/>
        <v>24180.78</v>
      </c>
      <c r="Z619" s="6">
        <f t="shared" si="131"/>
        <v>993.24888000000283</v>
      </c>
      <c r="AA619" s="9">
        <f t="shared" si="132"/>
        <v>3.9455300728168656E-2</v>
      </c>
      <c r="AB619" s="9">
        <f>IF(U619&gt;'What-If Analysis'!$F$16, 'What-If Analysis'!$F$16,T619)</f>
        <v>0.109</v>
      </c>
      <c r="AC619" s="42">
        <f>S619*(1-AB619)</f>
        <v>968.23188000000005</v>
      </c>
      <c r="AD619" s="42">
        <f>Q619*(1+'What-If Analysis'!F634)</f>
        <v>930.03</v>
      </c>
      <c r="AE619" s="41">
        <f>W619*(1+'What-If Analysis'!$F$18)</f>
        <v>30.419999999999998</v>
      </c>
      <c r="AF619" s="42">
        <f t="shared" si="133"/>
        <v>29453.6137896</v>
      </c>
      <c r="AG619" s="42">
        <f t="shared" si="134"/>
        <v>28291.512599999998</v>
      </c>
      <c r="AH619" s="42">
        <f t="shared" si="135"/>
        <v>1162.1011896000018</v>
      </c>
      <c r="AI619" s="44">
        <f t="shared" si="136"/>
        <v>3.9455300728168607E-2</v>
      </c>
      <c r="AJ619" s="42">
        <f t="shared" si="137"/>
        <v>4279.5849095999984</v>
      </c>
      <c r="AK619" s="42">
        <f t="shared" si="138"/>
        <v>993.24888000000283</v>
      </c>
      <c r="AL619" s="9">
        <f t="shared" si="139"/>
        <v>0</v>
      </c>
      <c r="AM619" s="42"/>
    </row>
    <row r="620" spans="1:39" x14ac:dyDescent="0.25">
      <c r="A620" t="s">
        <v>633</v>
      </c>
      <c r="B620" s="20">
        <v>45578</v>
      </c>
      <c r="C620" s="4">
        <v>45589</v>
      </c>
      <c r="D620" s="4" t="s">
        <v>1435</v>
      </c>
      <c r="E620" s="4">
        <v>45589</v>
      </c>
      <c r="F620" s="11">
        <f t="shared" si="126"/>
        <v>11</v>
      </c>
      <c r="G620" s="11" t="str">
        <f t="shared" si="129"/>
        <v>Does not Meet Target</v>
      </c>
      <c r="H620" t="s">
        <v>649</v>
      </c>
      <c r="I620" t="s">
        <v>657</v>
      </c>
      <c r="J620" t="s">
        <v>690</v>
      </c>
      <c r="K620" t="s">
        <v>702</v>
      </c>
      <c r="L620" t="s">
        <v>710</v>
      </c>
      <c r="M620" t="s">
        <v>721</v>
      </c>
      <c r="N620" t="s">
        <v>727</v>
      </c>
      <c r="O620" t="str" cm="1">
        <f t="array" ref="O620">_xlfn.IFS(S620&lt;=_xlfn.PERCENTILE.INC(IF(N620:N1250=N620, S620:S1250), 0.33), "Low", S620&lt;=_xlfn.PERCENTILE.INC(IF(N620:N1250=N620, S620:S1250), 0.66), "Medium", S620 &gt; _xlfn.PERCENTILE.INC(IF(N620:N1250=N620, S620:S1250), 0.66), "High")</f>
        <v>Medium</v>
      </c>
      <c r="P620" t="s">
        <v>1351</v>
      </c>
      <c r="Q620" s="6">
        <v>816.7</v>
      </c>
      <c r="R620" s="6">
        <v>1010.75</v>
      </c>
      <c r="S620" s="6">
        <v>1010.75</v>
      </c>
      <c r="T620" s="9">
        <v>4.7E-2</v>
      </c>
      <c r="U620" s="9">
        <f>IF(T620&gt;0.3, $AO$4, T620)</f>
        <v>4.7E-2</v>
      </c>
      <c r="V620" s="7" t="str">
        <f t="shared" si="130"/>
        <v>Less than 20%</v>
      </c>
      <c r="W620" s="11">
        <v>43</v>
      </c>
      <c r="X620" s="6">
        <f t="shared" si="140"/>
        <v>41419.524249999995</v>
      </c>
      <c r="Y620" s="6">
        <f t="shared" si="128"/>
        <v>35118.1</v>
      </c>
      <c r="Z620" s="6">
        <f t="shared" si="131"/>
        <v>6301.4242499999964</v>
      </c>
      <c r="AA620" s="9">
        <f t="shared" si="132"/>
        <v>0.15213656757537472</v>
      </c>
      <c r="AB620" s="9">
        <f>IF(U620&gt;'What-If Analysis'!$F$16, 'What-If Analysis'!$F$16,T620)</f>
        <v>4.7E-2</v>
      </c>
      <c r="AC620" s="42">
        <f>S620*(1-AB620)</f>
        <v>963.24474999999995</v>
      </c>
      <c r="AD620" s="42">
        <f>Q620*(1+'What-If Analysis'!F635)</f>
        <v>816.7</v>
      </c>
      <c r="AE620" s="41">
        <f>W620*(1+'What-If Analysis'!$F$18)</f>
        <v>50.309999999999995</v>
      </c>
      <c r="AF620" s="42">
        <f t="shared" si="133"/>
        <v>48460.843372499992</v>
      </c>
      <c r="AG620" s="42">
        <f t="shared" si="134"/>
        <v>41088.176999999996</v>
      </c>
      <c r="AH620" s="42">
        <f t="shared" si="135"/>
        <v>7372.6663724999962</v>
      </c>
      <c r="AI620" s="44">
        <f t="shared" si="136"/>
        <v>0.15213656757537475</v>
      </c>
      <c r="AJ620" s="42">
        <f t="shared" si="137"/>
        <v>7041.3191224999973</v>
      </c>
      <c r="AK620" s="42">
        <f t="shared" si="138"/>
        <v>6301.4242499999964</v>
      </c>
      <c r="AL620" s="9">
        <f t="shared" si="139"/>
        <v>0</v>
      </c>
      <c r="AM620" s="42"/>
    </row>
    <row r="621" spans="1:39" x14ac:dyDescent="0.25">
      <c r="A621" t="s">
        <v>634</v>
      </c>
      <c r="B621" s="20">
        <v>45177</v>
      </c>
      <c r="C621" s="4">
        <v>45183</v>
      </c>
      <c r="D621" s="4" t="s">
        <v>1444</v>
      </c>
      <c r="E621" s="4">
        <v>45183</v>
      </c>
      <c r="F621" s="11">
        <f t="shared" si="126"/>
        <v>6</v>
      </c>
      <c r="G621" s="11" t="str">
        <f t="shared" si="129"/>
        <v>Meets Target</v>
      </c>
      <c r="H621" t="s">
        <v>646</v>
      </c>
      <c r="I621" t="s">
        <v>650</v>
      </c>
      <c r="J621" t="s">
        <v>678</v>
      </c>
      <c r="K621" t="s">
        <v>702</v>
      </c>
      <c r="L621" t="s">
        <v>711</v>
      </c>
      <c r="M621" t="s">
        <v>714</v>
      </c>
      <c r="N621" t="s">
        <v>733</v>
      </c>
      <c r="O621" t="str" cm="1">
        <f t="array" ref="O621">_xlfn.IFS(S621&lt;=_xlfn.PERCENTILE.INC(IF(N621:N1251=N621, S621:S1251), 0.33), "Low", S621&lt;=_xlfn.PERCENTILE.INC(IF(N621:N1251=N621, S621:S1251), 0.66), "Medium", S621 &gt; _xlfn.PERCENTILE.INC(IF(N621:N1251=N621, S621:S1251), 0.66), "High")</f>
        <v>Low</v>
      </c>
      <c r="P621" t="s">
        <v>1352</v>
      </c>
      <c r="Q621" s="6">
        <v>251.03</v>
      </c>
      <c r="R621" s="6">
        <v>411.48</v>
      </c>
      <c r="S621" s="6">
        <v>411.48</v>
      </c>
      <c r="T621" s="9">
        <v>0.16500000000000001</v>
      </c>
      <c r="U621" s="9">
        <f>IF(T621&gt;0.3, $AO$4, T621)</f>
        <v>0.16500000000000001</v>
      </c>
      <c r="V621" s="7" t="str">
        <f t="shared" si="130"/>
        <v>Less than 20%</v>
      </c>
      <c r="W621" s="11">
        <v>3</v>
      </c>
      <c r="X621" s="6">
        <f t="shared" si="140"/>
        <v>1030.7574</v>
      </c>
      <c r="Y621" s="6">
        <f t="shared" si="128"/>
        <v>753.09</v>
      </c>
      <c r="Z621" s="6">
        <f t="shared" si="131"/>
        <v>277.66739999999993</v>
      </c>
      <c r="AA621" s="9">
        <f t="shared" si="132"/>
        <v>0.26938191275658069</v>
      </c>
      <c r="AB621" s="9">
        <f>IF(U621&gt;'What-If Analysis'!$F$16, 'What-If Analysis'!$F$16,T621)</f>
        <v>0.16500000000000001</v>
      </c>
      <c r="AC621" s="42">
        <f>S621*(1-AB621)</f>
        <v>343.58580000000001</v>
      </c>
      <c r="AD621" s="42">
        <f>Q621*(1+'What-If Analysis'!F636)</f>
        <v>251.03</v>
      </c>
      <c r="AE621" s="41">
        <f>W621*(1+'What-If Analysis'!$F$18)</f>
        <v>3.51</v>
      </c>
      <c r="AF621" s="42">
        <f t="shared" si="133"/>
        <v>1205.9861579999999</v>
      </c>
      <c r="AG621" s="42">
        <f t="shared" si="134"/>
        <v>881.11529999999993</v>
      </c>
      <c r="AH621" s="42">
        <f t="shared" si="135"/>
        <v>324.870858</v>
      </c>
      <c r="AI621" s="44">
        <f t="shared" si="136"/>
        <v>0.26938191275658074</v>
      </c>
      <c r="AJ621" s="42">
        <f t="shared" si="137"/>
        <v>175.22875799999997</v>
      </c>
      <c r="AK621" s="42">
        <f t="shared" si="138"/>
        <v>277.66739999999993</v>
      </c>
      <c r="AL621" s="9">
        <f t="shared" si="139"/>
        <v>0</v>
      </c>
      <c r="AM621" s="42"/>
    </row>
    <row r="622" spans="1:39" x14ac:dyDescent="0.25">
      <c r="A622" t="s">
        <v>635</v>
      </c>
      <c r="B622" s="20">
        <v>45764</v>
      </c>
      <c r="C622" s="4">
        <v>45780</v>
      </c>
      <c r="D622" s="4" t="s">
        <v>1440</v>
      </c>
      <c r="E622" s="4">
        <v>45780</v>
      </c>
      <c r="F622" s="11">
        <f t="shared" si="126"/>
        <v>16</v>
      </c>
      <c r="G622" s="11" t="str">
        <f t="shared" si="129"/>
        <v>Does not Meet Target</v>
      </c>
      <c r="H622" t="s">
        <v>648</v>
      </c>
      <c r="I622" t="s">
        <v>655</v>
      </c>
      <c r="J622" t="s">
        <v>692</v>
      </c>
      <c r="K622" t="s">
        <v>704</v>
      </c>
      <c r="L622" t="s">
        <v>709</v>
      </c>
      <c r="M622" t="s">
        <v>713</v>
      </c>
      <c r="N622" t="s">
        <v>729</v>
      </c>
      <c r="O622" t="str" cm="1">
        <f t="array" ref="O622">_xlfn.IFS(S622&lt;=_xlfn.PERCENTILE.INC(IF(N622:N1252=N622, S622:S1252), 0.33), "Low", S622&lt;=_xlfn.PERCENTILE.INC(IF(N622:N1252=N622, S622:S1252), 0.66), "Medium", S622 &gt; _xlfn.PERCENTILE.INC(IF(N622:N1252=N622, S622:S1252), 0.66), "High")</f>
        <v>Low</v>
      </c>
      <c r="P622" t="s">
        <v>1353</v>
      </c>
      <c r="Q622" s="6">
        <v>168.68</v>
      </c>
      <c r="R622" s="6">
        <v>413.34</v>
      </c>
      <c r="S622" s="6">
        <v>413.34</v>
      </c>
      <c r="T622" s="9">
        <v>0.186</v>
      </c>
      <c r="U622" s="9">
        <f>IF(T622&gt;0.3, $AO$4, T622)</f>
        <v>0.186</v>
      </c>
      <c r="V622" s="7" t="str">
        <f t="shared" si="130"/>
        <v>Less than 20%</v>
      </c>
      <c r="W622" s="11">
        <v>7</v>
      </c>
      <c r="X622" s="6">
        <f t="shared" si="140"/>
        <v>2355.2113199999999</v>
      </c>
      <c r="Y622" s="6">
        <f t="shared" si="128"/>
        <v>1180.76</v>
      </c>
      <c r="Z622" s="6">
        <f t="shared" si="131"/>
        <v>1174.4513199999999</v>
      </c>
      <c r="AA622" s="9">
        <f t="shared" si="132"/>
        <v>0.49866069767361682</v>
      </c>
      <c r="AB622" s="9">
        <f>IF(U622&gt;'What-If Analysis'!$F$16, 'What-If Analysis'!$F$16,T622)</f>
        <v>0.17</v>
      </c>
      <c r="AC622" s="42">
        <f>S622*(1-AB622)</f>
        <v>343.07219999999995</v>
      </c>
      <c r="AD622" s="42">
        <f>Q622*(1+'What-If Analysis'!F637)</f>
        <v>168.68</v>
      </c>
      <c r="AE622" s="41">
        <f>W622*(1+'What-If Analysis'!$F$18)</f>
        <v>8.19</v>
      </c>
      <c r="AF622" s="42">
        <f t="shared" si="133"/>
        <v>2809.7613179999994</v>
      </c>
      <c r="AG622" s="42">
        <f t="shared" si="134"/>
        <v>1381.4892</v>
      </c>
      <c r="AH622" s="42">
        <f t="shared" si="135"/>
        <v>1428.2721179999994</v>
      </c>
      <c r="AI622" s="44">
        <f t="shared" si="136"/>
        <v>0.50832506976665548</v>
      </c>
      <c r="AJ622" s="42">
        <f t="shared" si="137"/>
        <v>454.5499979999995</v>
      </c>
      <c r="AK622" s="42">
        <f t="shared" si="138"/>
        <v>1174.4513199999999</v>
      </c>
      <c r="AL622" s="9">
        <f t="shared" si="139"/>
        <v>9.6643720930386645E-3</v>
      </c>
      <c r="AM622" s="42"/>
    </row>
    <row r="623" spans="1:39" x14ac:dyDescent="0.25">
      <c r="A623" t="s">
        <v>636</v>
      </c>
      <c r="B623" s="20">
        <v>45501</v>
      </c>
      <c r="C623" s="4">
        <v>45527</v>
      </c>
      <c r="D623" s="4" t="s">
        <v>1443</v>
      </c>
      <c r="E623" s="4">
        <v>45527</v>
      </c>
      <c r="F623" s="11">
        <f t="shared" si="126"/>
        <v>26</v>
      </c>
      <c r="G623" s="11" t="str">
        <f t="shared" si="129"/>
        <v>Does not Meet Target</v>
      </c>
      <c r="H623" t="s">
        <v>647</v>
      </c>
      <c r="I623" t="s">
        <v>654</v>
      </c>
      <c r="J623" t="s">
        <v>696</v>
      </c>
      <c r="K623" t="s">
        <v>701</v>
      </c>
      <c r="L623" t="s">
        <v>707</v>
      </c>
      <c r="M623" t="s">
        <v>713</v>
      </c>
      <c r="N623" t="s">
        <v>729</v>
      </c>
      <c r="O623" t="str" cm="1">
        <f t="array" ref="O623">_xlfn.IFS(S623&lt;=_xlfn.PERCENTILE.INC(IF(N623:N1253=N623, S623:S1253), 0.33), "Low", S623&lt;=_xlfn.PERCENTILE.INC(IF(N623:N1253=N623, S623:S1253), 0.66), "Medium", S623 &gt; _xlfn.PERCENTILE.INC(IF(N623:N1253=N623, S623:S1253), 0.66), "High")</f>
        <v>Low</v>
      </c>
      <c r="P623" t="s">
        <v>1354</v>
      </c>
      <c r="Q623" s="6">
        <v>1339.24</v>
      </c>
      <c r="R623" s="6">
        <v>1558.89</v>
      </c>
      <c r="S623" s="6">
        <v>1558.89</v>
      </c>
      <c r="T623" s="9">
        <v>0.192</v>
      </c>
      <c r="U623" s="9">
        <f>IF(T623&gt;0.3, $AO$4, T623)</f>
        <v>0.192</v>
      </c>
      <c r="V623" s="7" t="str">
        <f t="shared" si="130"/>
        <v>Less than 20%</v>
      </c>
      <c r="W623" s="11">
        <v>24</v>
      </c>
      <c r="X623" s="6">
        <f t="shared" si="140"/>
        <v>30229.994880000002</v>
      </c>
      <c r="Y623" s="6">
        <f t="shared" si="128"/>
        <v>32141.760000000002</v>
      </c>
      <c r="Z623" s="6">
        <f t="shared" si="131"/>
        <v>-1911.76512</v>
      </c>
      <c r="AA623" s="9">
        <f t="shared" si="132"/>
        <v>-6.3240669659021781E-2</v>
      </c>
      <c r="AB623" s="9">
        <f>IF(U623&gt;'What-If Analysis'!$F$16, 'What-If Analysis'!$F$16,T623)</f>
        <v>0.17</v>
      </c>
      <c r="AC623" s="42">
        <f>S623*(1-AB623)</f>
        <v>1293.8787</v>
      </c>
      <c r="AD623" s="42">
        <f>Q623*(1+'What-If Analysis'!F638)</f>
        <v>1339.24</v>
      </c>
      <c r="AE623" s="41">
        <f>W623*(1+'What-If Analysis'!$F$18)</f>
        <v>28.08</v>
      </c>
      <c r="AF623" s="42">
        <f t="shared" si="133"/>
        <v>36332.113895999995</v>
      </c>
      <c r="AG623" s="42">
        <f t="shared" si="134"/>
        <v>37605.859199999999</v>
      </c>
      <c r="AH623" s="42">
        <f t="shared" si="135"/>
        <v>-1273.7453040000037</v>
      </c>
      <c r="AI623" s="44">
        <f t="shared" si="136"/>
        <v>-3.5058386848782763E-2</v>
      </c>
      <c r="AJ623" s="42">
        <f t="shared" si="137"/>
        <v>6102.1190159999933</v>
      </c>
      <c r="AK623" s="42">
        <f t="shared" si="138"/>
        <v>-1911.76512</v>
      </c>
      <c r="AL623" s="9">
        <f t="shared" si="139"/>
        <v>2.8182282810239018E-2</v>
      </c>
      <c r="AM623" s="42"/>
    </row>
    <row r="624" spans="1:39" x14ac:dyDescent="0.25">
      <c r="A624" t="s">
        <v>637</v>
      </c>
      <c r="B624" s="20">
        <v>45857</v>
      </c>
      <c r="C624" s="4">
        <v>45869</v>
      </c>
      <c r="D624" s="4" t="s">
        <v>1441</v>
      </c>
      <c r="E624" s="4">
        <v>45869</v>
      </c>
      <c r="F624" s="11">
        <f t="shared" si="126"/>
        <v>12</v>
      </c>
      <c r="G624" s="11" t="str">
        <f t="shared" si="129"/>
        <v>Does not Meet Target</v>
      </c>
      <c r="H624" t="s">
        <v>646</v>
      </c>
      <c r="I624" t="s">
        <v>650</v>
      </c>
      <c r="J624" t="s">
        <v>664</v>
      </c>
      <c r="K624" t="s">
        <v>705</v>
      </c>
      <c r="L624" t="s">
        <v>709</v>
      </c>
      <c r="M624" t="s">
        <v>719</v>
      </c>
      <c r="N624" t="s">
        <v>733</v>
      </c>
      <c r="O624" t="str" cm="1">
        <f t="array" ref="O624">_xlfn.IFS(S624&lt;=_xlfn.PERCENTILE.INC(IF(N624:N1254=N624, S624:S1254), 0.33), "Low", S624&lt;=_xlfn.PERCENTILE.INC(IF(N624:N1254=N624, S624:S1254), 0.66), "Medium", S624 &gt; _xlfn.PERCENTILE.INC(IF(N624:N1254=N624, S624:S1254), 0.66), "High")</f>
        <v>Low</v>
      </c>
      <c r="P624" t="s">
        <v>1355</v>
      </c>
      <c r="Q624" s="6">
        <v>619.64</v>
      </c>
      <c r="R624" s="6">
        <v>861.16</v>
      </c>
      <c r="S624" s="6">
        <v>861.16</v>
      </c>
      <c r="T624" s="9">
        <v>0.113</v>
      </c>
      <c r="U624" s="9">
        <f>IF(T624&gt;0.3, $AO$4, T624)</f>
        <v>0.113</v>
      </c>
      <c r="V624" s="7" t="str">
        <f t="shared" si="130"/>
        <v>Less than 20%</v>
      </c>
      <c r="W624" s="11">
        <v>14</v>
      </c>
      <c r="X624" s="6">
        <f t="shared" si="140"/>
        <v>10693.88488</v>
      </c>
      <c r="Y624" s="6">
        <f t="shared" si="128"/>
        <v>8674.9599999999991</v>
      </c>
      <c r="Z624" s="6">
        <f t="shared" si="131"/>
        <v>2018.9248800000005</v>
      </c>
      <c r="AA624" s="9">
        <f t="shared" si="132"/>
        <v>0.18879246435276761</v>
      </c>
      <c r="AB624" s="9">
        <f>IF(U624&gt;'What-If Analysis'!$F$16, 'What-If Analysis'!$F$16,T624)</f>
        <v>0.113</v>
      </c>
      <c r="AC624" s="42">
        <f>S624*(1-AB624)</f>
        <v>763.84892000000002</v>
      </c>
      <c r="AD624" s="42">
        <f>Q624*(1+'What-If Analysis'!F639)</f>
        <v>619.64</v>
      </c>
      <c r="AE624" s="41">
        <f>W624*(1+'What-If Analysis'!$F$18)</f>
        <v>16.38</v>
      </c>
      <c r="AF624" s="42">
        <f t="shared" si="133"/>
        <v>12511.845309599999</v>
      </c>
      <c r="AG624" s="42">
        <f t="shared" si="134"/>
        <v>10149.7032</v>
      </c>
      <c r="AH624" s="42">
        <f t="shared" si="135"/>
        <v>2362.1421095999995</v>
      </c>
      <c r="AI624" s="44">
        <f t="shared" si="136"/>
        <v>0.18879246435276753</v>
      </c>
      <c r="AJ624" s="42">
        <f t="shared" si="137"/>
        <v>1817.9604295999998</v>
      </c>
      <c r="AK624" s="42">
        <f t="shared" si="138"/>
        <v>2018.9248800000005</v>
      </c>
      <c r="AL624" s="9">
        <f t="shared" si="139"/>
        <v>0</v>
      </c>
      <c r="AM624" s="42"/>
    </row>
    <row r="625" spans="1:39" x14ac:dyDescent="0.25">
      <c r="A625" t="s">
        <v>638</v>
      </c>
      <c r="B625" s="20">
        <v>45141</v>
      </c>
      <c r="C625" s="4">
        <v>45140</v>
      </c>
      <c r="D625" s="4" t="s">
        <v>1444</v>
      </c>
      <c r="E625" s="4">
        <v>45160</v>
      </c>
      <c r="F625" s="11">
        <f t="shared" si="126"/>
        <v>19</v>
      </c>
      <c r="G625" s="11" t="str">
        <f t="shared" si="129"/>
        <v>Does not Meet Target</v>
      </c>
      <c r="H625" t="s">
        <v>647</v>
      </c>
      <c r="I625" t="s">
        <v>659</v>
      </c>
      <c r="J625" t="s">
        <v>685</v>
      </c>
      <c r="K625" t="s">
        <v>703</v>
      </c>
      <c r="L625" t="s">
        <v>711</v>
      </c>
      <c r="M625" t="s">
        <v>713</v>
      </c>
      <c r="N625" t="s">
        <v>729</v>
      </c>
      <c r="O625" t="str" cm="1">
        <f t="array" ref="O625">_xlfn.IFS(S625&lt;=_xlfn.PERCENTILE.INC(IF(N625:N1255=N625, S625:S1255), 0.33), "Low", S625&lt;=_xlfn.PERCENTILE.INC(IF(N625:N1255=N625, S625:S1255), 0.66), "Medium", S625 &gt; _xlfn.PERCENTILE.INC(IF(N625:N1255=N625, S625:S1255), 0.66), "High")</f>
        <v>Low</v>
      </c>
      <c r="P625" t="s">
        <v>1356</v>
      </c>
      <c r="Q625" s="6">
        <v>1021.97</v>
      </c>
      <c r="R625" s="6">
        <v>2296.25</v>
      </c>
      <c r="S625" s="6">
        <v>2296.25</v>
      </c>
      <c r="T625" s="9">
        <v>0.161</v>
      </c>
      <c r="U625" s="9">
        <f>IF(T625&gt;0.3, $AO$4, T625)</f>
        <v>0.161</v>
      </c>
      <c r="V625" s="7" t="str">
        <f t="shared" si="130"/>
        <v>Less than 20%</v>
      </c>
      <c r="W625" s="11">
        <v>26</v>
      </c>
      <c r="X625" s="6">
        <f t="shared" si="140"/>
        <v>50090.397499999999</v>
      </c>
      <c r="Y625" s="6">
        <f t="shared" si="128"/>
        <v>26571.22</v>
      </c>
      <c r="Z625" s="6">
        <f t="shared" si="131"/>
        <v>23519.177499999998</v>
      </c>
      <c r="AA625" s="9">
        <f t="shared" si="132"/>
        <v>0.46953465482081669</v>
      </c>
      <c r="AB625" s="9">
        <f>IF(U625&gt;'What-If Analysis'!$F$16, 'What-If Analysis'!$F$16,T625)</f>
        <v>0.161</v>
      </c>
      <c r="AC625" s="42">
        <f>S625*(1-AB625)</f>
        <v>1926.55375</v>
      </c>
      <c r="AD625" s="42">
        <f>Q625*(1+'What-If Analysis'!F640)</f>
        <v>1021.97</v>
      </c>
      <c r="AE625" s="41">
        <f>W625*(1+'What-If Analysis'!$F$18)</f>
        <v>30.419999999999998</v>
      </c>
      <c r="AF625" s="42">
        <f t="shared" si="133"/>
        <v>58605.765074999996</v>
      </c>
      <c r="AG625" s="42">
        <f t="shared" si="134"/>
        <v>31088.327399999998</v>
      </c>
      <c r="AH625" s="42">
        <f t="shared" si="135"/>
        <v>27517.437674999997</v>
      </c>
      <c r="AI625" s="44">
        <f t="shared" si="136"/>
        <v>0.46953465482081669</v>
      </c>
      <c r="AJ625" s="42">
        <f t="shared" si="137"/>
        <v>8515.3675749999966</v>
      </c>
      <c r="AK625" s="42">
        <f t="shared" si="138"/>
        <v>23519.177499999998</v>
      </c>
      <c r="AL625" s="9">
        <f t="shared" si="139"/>
        <v>0</v>
      </c>
      <c r="AM625" s="42"/>
    </row>
    <row r="626" spans="1:39" x14ac:dyDescent="0.25">
      <c r="A626" t="s">
        <v>639</v>
      </c>
      <c r="B626" s="20">
        <v>45249</v>
      </c>
      <c r="C626" s="4">
        <v>45272</v>
      </c>
      <c r="D626" s="4" t="s">
        <v>1438</v>
      </c>
      <c r="E626" s="4">
        <v>45272</v>
      </c>
      <c r="F626" s="11">
        <f t="shared" si="126"/>
        <v>23</v>
      </c>
      <c r="G626" s="11" t="str">
        <f t="shared" si="129"/>
        <v>Does not Meet Target</v>
      </c>
      <c r="H626" t="s">
        <v>647</v>
      </c>
      <c r="I626" t="s">
        <v>654</v>
      </c>
      <c r="J626" t="s">
        <v>680</v>
      </c>
      <c r="K626" t="s">
        <v>705</v>
      </c>
      <c r="L626" t="s">
        <v>711</v>
      </c>
      <c r="M626" t="s">
        <v>712</v>
      </c>
      <c r="N626" t="s">
        <v>729</v>
      </c>
      <c r="O626" t="str" cm="1">
        <f t="array" ref="O626">_xlfn.IFS(S626&lt;=_xlfn.PERCENTILE.INC(IF(N626:N1256=N626, S626:S1256), 0.33), "Low", S626&lt;=_xlfn.PERCENTILE.INC(IF(N626:N1256=N626, S626:S1256), 0.66), "Medium", S626 &gt; _xlfn.PERCENTILE.INC(IF(N626:N1256=N626, S626:S1256), 0.66), "High")</f>
        <v>Low</v>
      </c>
      <c r="P626" t="s">
        <v>1357</v>
      </c>
      <c r="Q626" s="6">
        <v>1349.04</v>
      </c>
      <c r="R626" s="6">
        <v>2636.6</v>
      </c>
      <c r="S626" s="6">
        <v>2636.6</v>
      </c>
      <c r="T626" s="9">
        <v>0.114</v>
      </c>
      <c r="U626" s="9">
        <f>IF(T626&gt;0.3, $AO$4, T626)</f>
        <v>0.114</v>
      </c>
      <c r="V626" s="7" t="str">
        <f t="shared" si="130"/>
        <v>Less than 20%</v>
      </c>
      <c r="W626" s="11">
        <v>14</v>
      </c>
      <c r="X626" s="6">
        <f t="shared" si="140"/>
        <v>32704.386400000003</v>
      </c>
      <c r="Y626" s="6">
        <f t="shared" si="128"/>
        <v>18886.559999999998</v>
      </c>
      <c r="Z626" s="6">
        <f t="shared" si="131"/>
        <v>13817.826400000005</v>
      </c>
      <c r="AA626" s="9">
        <f t="shared" si="132"/>
        <v>0.42250682312143928</v>
      </c>
      <c r="AB626" s="9">
        <f>IF(U626&gt;'What-If Analysis'!$F$16, 'What-If Analysis'!$F$16,T626)</f>
        <v>0.114</v>
      </c>
      <c r="AC626" s="42">
        <f>S626*(1-AB626)</f>
        <v>2336.0275999999999</v>
      </c>
      <c r="AD626" s="42">
        <f>Q626*(1+'What-If Analysis'!F641)</f>
        <v>1349.04</v>
      </c>
      <c r="AE626" s="41">
        <f>W626*(1+'What-If Analysis'!$F$18)</f>
        <v>16.38</v>
      </c>
      <c r="AF626" s="42">
        <f t="shared" si="133"/>
        <v>38264.132087999998</v>
      </c>
      <c r="AG626" s="42">
        <f t="shared" si="134"/>
        <v>22097.275199999996</v>
      </c>
      <c r="AH626" s="42">
        <f t="shared" si="135"/>
        <v>16166.856888000002</v>
      </c>
      <c r="AI626" s="44">
        <f t="shared" si="136"/>
        <v>0.42250682312143922</v>
      </c>
      <c r="AJ626" s="42">
        <f t="shared" si="137"/>
        <v>5559.7456879999954</v>
      </c>
      <c r="AK626" s="42">
        <f t="shared" si="138"/>
        <v>13817.826400000005</v>
      </c>
      <c r="AL626" s="9">
        <f t="shared" si="139"/>
        <v>0</v>
      </c>
      <c r="AM626" s="42"/>
    </row>
    <row r="627" spans="1:39" x14ac:dyDescent="0.25">
      <c r="A627" t="s">
        <v>640</v>
      </c>
      <c r="B627" s="20">
        <v>45282</v>
      </c>
      <c r="C627" s="4">
        <v>45307</v>
      </c>
      <c r="D627" s="4" t="s">
        <v>1438</v>
      </c>
      <c r="E627" s="4">
        <v>45307</v>
      </c>
      <c r="F627" s="11">
        <f t="shared" si="126"/>
        <v>25</v>
      </c>
      <c r="G627" s="11" t="str">
        <f t="shared" si="129"/>
        <v>Does not Meet Target</v>
      </c>
      <c r="H627" t="s">
        <v>647</v>
      </c>
      <c r="I627" t="s">
        <v>654</v>
      </c>
      <c r="J627" t="s">
        <v>696</v>
      </c>
      <c r="K627" t="s">
        <v>705</v>
      </c>
      <c r="L627" t="s">
        <v>707</v>
      </c>
      <c r="M627" t="s">
        <v>720</v>
      </c>
      <c r="N627" t="s">
        <v>727</v>
      </c>
      <c r="O627" t="str" cm="1">
        <f t="array" ref="O627">_xlfn.IFS(S627&lt;=_xlfn.PERCENTILE.INC(IF(N627:N1257=N627, S627:S1257), 0.33), "Low", S627&lt;=_xlfn.PERCENTILE.INC(IF(N627:N1257=N627, S627:S1257), 0.66), "Medium", S627 &gt; _xlfn.PERCENTILE.INC(IF(N627:N1257=N627, S627:S1257), 0.66), "High")</f>
        <v>Low</v>
      </c>
      <c r="P627" t="s">
        <v>1358</v>
      </c>
      <c r="Q627" s="6">
        <v>1346.81</v>
      </c>
      <c r="R627" s="6">
        <v>978.09</v>
      </c>
      <c r="S627" s="6">
        <v>978.09</v>
      </c>
      <c r="T627" s="9">
        <v>0.159</v>
      </c>
      <c r="U627" s="9">
        <f>IF(T627&gt;0.3, $AO$4, T627)</f>
        <v>0.159</v>
      </c>
      <c r="V627" s="7" t="str">
        <f t="shared" si="130"/>
        <v>Less than 20%</v>
      </c>
      <c r="W627" s="11">
        <v>17</v>
      </c>
      <c r="X627" s="6">
        <f t="shared" si="140"/>
        <v>13983.752729999998</v>
      </c>
      <c r="Y627" s="6">
        <f t="shared" si="128"/>
        <v>22895.77</v>
      </c>
      <c r="Z627" s="6">
        <f t="shared" si="131"/>
        <v>-8912.0172700000021</v>
      </c>
      <c r="AA627" s="9">
        <f t="shared" si="132"/>
        <v>-0.6373122753293996</v>
      </c>
      <c r="AB627" s="9">
        <f>IF(U627&gt;'What-If Analysis'!$F$16, 'What-If Analysis'!$F$16,T627)</f>
        <v>0.159</v>
      </c>
      <c r="AC627" s="42">
        <f>S627*(1-AB627)</f>
        <v>822.57368999999994</v>
      </c>
      <c r="AD627" s="42">
        <f>Q627*(1+'What-If Analysis'!F642)</f>
        <v>1346.81</v>
      </c>
      <c r="AE627" s="41">
        <f>W627*(1+'What-If Analysis'!$F$18)</f>
        <v>19.89</v>
      </c>
      <c r="AF627" s="42">
        <f t="shared" si="133"/>
        <v>16360.990694099999</v>
      </c>
      <c r="AG627" s="42">
        <f t="shared" si="134"/>
        <v>26788.050899999998</v>
      </c>
      <c r="AH627" s="42">
        <f t="shared" si="135"/>
        <v>-10427.060205899999</v>
      </c>
      <c r="AI627" s="44">
        <f t="shared" si="136"/>
        <v>-0.63731227532939938</v>
      </c>
      <c r="AJ627" s="42">
        <f t="shared" si="137"/>
        <v>2377.2379641000007</v>
      </c>
      <c r="AK627" s="42">
        <f t="shared" si="138"/>
        <v>-8912.0172700000021</v>
      </c>
      <c r="AL627" s="9">
        <f t="shared" si="139"/>
        <v>0</v>
      </c>
      <c r="AM627" s="42"/>
    </row>
    <row r="628" spans="1:39" x14ac:dyDescent="0.25">
      <c r="A628" t="s">
        <v>641</v>
      </c>
      <c r="B628" s="20">
        <v>45141</v>
      </c>
      <c r="C628" s="4">
        <v>45168</v>
      </c>
      <c r="D628" s="4" t="s">
        <v>1444</v>
      </c>
      <c r="E628" s="4">
        <v>45168</v>
      </c>
      <c r="F628" s="11">
        <f t="shared" si="126"/>
        <v>27</v>
      </c>
      <c r="G628" s="11" t="str">
        <f t="shared" si="129"/>
        <v>Does not Meet Target</v>
      </c>
      <c r="H628" t="s">
        <v>647</v>
      </c>
      <c r="I628" t="s">
        <v>659</v>
      </c>
      <c r="J628" t="s">
        <v>685</v>
      </c>
      <c r="K628" t="s">
        <v>704</v>
      </c>
      <c r="L628" t="s">
        <v>710</v>
      </c>
      <c r="M628" t="s">
        <v>725</v>
      </c>
      <c r="N628" t="s">
        <v>732</v>
      </c>
      <c r="O628" t="str" cm="1">
        <f t="array" ref="O628">_xlfn.IFS(S628&lt;=_xlfn.PERCENTILE.INC(IF(N628:N1258=N628, S628:S1258), 0.33), "Low", S628&lt;=_xlfn.PERCENTILE.INC(IF(N628:N1258=N628, S628:S1258), 0.66), "Medium", S628 &gt; _xlfn.PERCENTILE.INC(IF(N628:N1258=N628, S628:S1258), 0.66), "High")</f>
        <v>Low</v>
      </c>
      <c r="P628" t="s">
        <v>1359</v>
      </c>
      <c r="Q628" s="6">
        <v>226.04</v>
      </c>
      <c r="R628" s="6">
        <v>545.72</v>
      </c>
      <c r="S628" s="6">
        <v>545.72</v>
      </c>
      <c r="T628" s="9">
        <v>0.151</v>
      </c>
      <c r="U628" s="9">
        <f>IF(T628&gt;0.3, $AO$4, T628)</f>
        <v>0.151</v>
      </c>
      <c r="V628" s="7" t="str">
        <f t="shared" si="130"/>
        <v>Less than 20%</v>
      </c>
      <c r="W628" s="11">
        <v>11</v>
      </c>
      <c r="X628" s="6">
        <f t="shared" si="140"/>
        <v>5096.4790800000001</v>
      </c>
      <c r="Y628" s="6">
        <f t="shared" si="128"/>
        <v>2486.44</v>
      </c>
      <c r="Z628" s="6">
        <f t="shared" si="131"/>
        <v>2610.03908</v>
      </c>
      <c r="AA628" s="9">
        <f t="shared" si="132"/>
        <v>0.51212592831834014</v>
      </c>
      <c r="AB628" s="9">
        <f>IF(U628&gt;'What-If Analysis'!$F$16, 'What-If Analysis'!$F$16,T628)</f>
        <v>0.151</v>
      </c>
      <c r="AC628" s="42">
        <f>S628*(1-AB628)</f>
        <v>463.31628000000001</v>
      </c>
      <c r="AD628" s="42">
        <f>Q628*(1+'What-If Analysis'!F643)</f>
        <v>226.04</v>
      </c>
      <c r="AE628" s="41">
        <f>W628*(1+'What-If Analysis'!$F$18)</f>
        <v>12.87</v>
      </c>
      <c r="AF628" s="42">
        <f t="shared" si="133"/>
        <v>5962.8805235999998</v>
      </c>
      <c r="AG628" s="42">
        <f t="shared" si="134"/>
        <v>2909.1347999999998</v>
      </c>
      <c r="AH628" s="42">
        <f t="shared" si="135"/>
        <v>3053.7457236</v>
      </c>
      <c r="AI628" s="44">
        <f t="shared" si="136"/>
        <v>0.51212592831834014</v>
      </c>
      <c r="AJ628" s="42">
        <f t="shared" si="137"/>
        <v>866.40144359999977</v>
      </c>
      <c r="AK628" s="42">
        <f t="shared" si="138"/>
        <v>2610.03908</v>
      </c>
      <c r="AL628" s="9">
        <f t="shared" si="139"/>
        <v>0</v>
      </c>
      <c r="AM628" s="42"/>
    </row>
    <row r="629" spans="1:39" x14ac:dyDescent="0.25">
      <c r="A629" t="s">
        <v>642</v>
      </c>
      <c r="B629" s="20">
        <v>45100</v>
      </c>
      <c r="C629" s="4">
        <v>45125</v>
      </c>
      <c r="D629" s="4" t="s">
        <v>1442</v>
      </c>
      <c r="E629" s="4">
        <v>45125</v>
      </c>
      <c r="F629" s="11">
        <f t="shared" si="126"/>
        <v>25</v>
      </c>
      <c r="G629" s="11" t="str">
        <f t="shared" si="129"/>
        <v>Does not Meet Target</v>
      </c>
      <c r="H629" t="s">
        <v>648</v>
      </c>
      <c r="I629" t="s">
        <v>653</v>
      </c>
      <c r="J629" t="s">
        <v>688</v>
      </c>
      <c r="K629" t="s">
        <v>706</v>
      </c>
      <c r="L629" t="s">
        <v>708</v>
      </c>
      <c r="M629" t="s">
        <v>725</v>
      </c>
      <c r="N629" t="s">
        <v>730</v>
      </c>
      <c r="O629" t="str" cm="1">
        <f t="array" ref="O629">_xlfn.IFS(S629&lt;=_xlfn.PERCENTILE.INC(IF(N629:N1259=N629, S629:S1259), 0.33), "Low", S629&lt;=_xlfn.PERCENTILE.INC(IF(N629:N1259=N629, S629:S1259), 0.66), "Medium", S629 &gt; _xlfn.PERCENTILE.INC(IF(N629:N1259=N629, S629:S1259), 0.66), "High")</f>
        <v>Low</v>
      </c>
      <c r="P629" t="s">
        <v>1360</v>
      </c>
      <c r="Q629" s="6">
        <v>807.02</v>
      </c>
      <c r="R629" s="6">
        <v>1435.54</v>
      </c>
      <c r="S629" s="6">
        <v>1435.54</v>
      </c>
      <c r="T629" s="9">
        <v>0</v>
      </c>
      <c r="U629" s="9">
        <f>IF(T629&gt;0.3, $AO$4, T629)</f>
        <v>0</v>
      </c>
      <c r="V629" s="7" t="str">
        <f t="shared" si="130"/>
        <v>Less than 20%</v>
      </c>
      <c r="W629" s="11">
        <v>23</v>
      </c>
      <c r="X629" s="6">
        <f t="shared" si="140"/>
        <v>33017.42</v>
      </c>
      <c r="Y629" s="6">
        <f t="shared" si="128"/>
        <v>18561.46</v>
      </c>
      <c r="Z629" s="6">
        <f t="shared" si="131"/>
        <v>14455.96</v>
      </c>
      <c r="AA629" s="9">
        <f t="shared" si="132"/>
        <v>0.43782827368098415</v>
      </c>
      <c r="AB629" s="9">
        <f>IF(U629&gt;'What-If Analysis'!$F$16, 'What-If Analysis'!$F$16,T629)</f>
        <v>0</v>
      </c>
      <c r="AC629" s="42">
        <f>S629*(1-AB629)</f>
        <v>1435.54</v>
      </c>
      <c r="AD629" s="42">
        <f>Q629*(1+'What-If Analysis'!F644)</f>
        <v>807.02</v>
      </c>
      <c r="AE629" s="41">
        <f>W629*(1+'What-If Analysis'!$F$18)</f>
        <v>26.909999999999997</v>
      </c>
      <c r="AF629" s="42">
        <f t="shared" si="133"/>
        <v>38630.381399999991</v>
      </c>
      <c r="AG629" s="42">
        <f t="shared" si="134"/>
        <v>21716.908199999998</v>
      </c>
      <c r="AH629" s="42">
        <f t="shared" si="135"/>
        <v>16913.473199999993</v>
      </c>
      <c r="AI629" s="44">
        <f t="shared" si="136"/>
        <v>0.43782827368098409</v>
      </c>
      <c r="AJ629" s="42">
        <f t="shared" si="137"/>
        <v>5612.9613999999929</v>
      </c>
      <c r="AK629" s="42">
        <f t="shared" si="138"/>
        <v>14455.96</v>
      </c>
      <c r="AL629" s="9">
        <f t="shared" si="139"/>
        <v>0</v>
      </c>
      <c r="AM629" s="42"/>
    </row>
    <row r="630" spans="1:39" x14ac:dyDescent="0.25">
      <c r="A630" t="s">
        <v>643</v>
      </c>
      <c r="B630" s="20">
        <v>45267</v>
      </c>
      <c r="C630" s="4">
        <v>45293</v>
      </c>
      <c r="D630" s="4" t="s">
        <v>1438</v>
      </c>
      <c r="E630" s="4">
        <v>45293</v>
      </c>
      <c r="F630" s="11">
        <f t="shared" si="126"/>
        <v>26</v>
      </c>
      <c r="G630" s="11" t="str">
        <f t="shared" si="129"/>
        <v>Does not Meet Target</v>
      </c>
      <c r="H630" t="s">
        <v>649</v>
      </c>
      <c r="I630" t="s">
        <v>656</v>
      </c>
      <c r="J630" t="s">
        <v>698</v>
      </c>
      <c r="K630" t="s">
        <v>706</v>
      </c>
      <c r="L630" t="s">
        <v>710</v>
      </c>
      <c r="M630" t="s">
        <v>718</v>
      </c>
      <c r="N630" t="s">
        <v>727</v>
      </c>
      <c r="O630" t="str" cm="1">
        <f t="array" ref="O630">_xlfn.IFS(S630&lt;=_xlfn.PERCENTILE.INC(IF(N630:N1260=N630, S630:S1260), 0.33), "Low", S630&lt;=_xlfn.PERCENTILE.INC(IF(N630:N1260=N630, S630:S1260), 0.66), "Medium", S630 &gt; _xlfn.PERCENTILE.INC(IF(N630:N1260=N630, S630:S1260), 0.66), "High")</f>
        <v>Low</v>
      </c>
      <c r="P630" t="s">
        <v>1361</v>
      </c>
      <c r="Q630" s="6">
        <v>1071.99</v>
      </c>
      <c r="R630" s="6">
        <v>2397.3000000000002</v>
      </c>
      <c r="S630" s="6">
        <v>2397.3000000000002</v>
      </c>
      <c r="T630" s="9">
        <v>6.2E-2</v>
      </c>
      <c r="U630" s="9">
        <f>IF(T630&gt;0.3, $AO$4, T630)</f>
        <v>6.2E-2</v>
      </c>
      <c r="V630" s="7" t="str">
        <f t="shared" si="130"/>
        <v>Less than 20%</v>
      </c>
      <c r="W630" s="11">
        <v>18</v>
      </c>
      <c r="X630" s="6">
        <f t="shared" si="140"/>
        <v>40476.013200000001</v>
      </c>
      <c r="Y630" s="6">
        <f t="shared" si="128"/>
        <v>19295.82</v>
      </c>
      <c r="Z630" s="6">
        <f t="shared" si="131"/>
        <v>21180.193200000002</v>
      </c>
      <c r="AA630" s="9">
        <f t="shared" si="132"/>
        <v>0.52327765324476183</v>
      </c>
      <c r="AB630" s="9">
        <f>IF(U630&gt;'What-If Analysis'!$F$16, 'What-If Analysis'!$F$16,T630)</f>
        <v>6.2E-2</v>
      </c>
      <c r="AC630" s="42">
        <f>S630*(1-AB630)</f>
        <v>2248.6673999999998</v>
      </c>
      <c r="AD630" s="42">
        <f>Q630*(1+'What-If Analysis'!F645)</f>
        <v>1071.99</v>
      </c>
      <c r="AE630" s="41">
        <f>W630*(1+'What-If Analysis'!$F$18)</f>
        <v>21.06</v>
      </c>
      <c r="AF630" s="42">
        <f t="shared" si="133"/>
        <v>47356.935443999995</v>
      </c>
      <c r="AG630" s="42">
        <f t="shared" si="134"/>
        <v>22576.109399999998</v>
      </c>
      <c r="AH630" s="42">
        <f t="shared" si="135"/>
        <v>24780.826043999998</v>
      </c>
      <c r="AI630" s="44">
        <f t="shared" si="136"/>
        <v>0.52327765324476172</v>
      </c>
      <c r="AJ630" s="42">
        <f t="shared" si="137"/>
        <v>6880.922243999994</v>
      </c>
      <c r="AK630" s="42">
        <f t="shared" si="138"/>
        <v>21180.193200000002</v>
      </c>
      <c r="AL630" s="9">
        <f t="shared" si="139"/>
        <v>0</v>
      </c>
      <c r="AM630" s="42"/>
    </row>
    <row r="631" spans="1:39" x14ac:dyDescent="0.25">
      <c r="A631" t="s">
        <v>644</v>
      </c>
      <c r="B631" s="20">
        <v>45249</v>
      </c>
      <c r="C631" s="4">
        <v>45279</v>
      </c>
      <c r="D631" s="4" t="s">
        <v>1438</v>
      </c>
      <c r="E631" s="4">
        <v>45279</v>
      </c>
      <c r="F631" s="11">
        <f t="shared" si="126"/>
        <v>30</v>
      </c>
      <c r="G631" s="11" t="str">
        <f t="shared" si="129"/>
        <v>Does not Meet Target</v>
      </c>
      <c r="H631" t="s">
        <v>647</v>
      </c>
      <c r="I631" t="s">
        <v>652</v>
      </c>
      <c r="J631" t="s">
        <v>694</v>
      </c>
      <c r="K631" t="s">
        <v>704</v>
      </c>
      <c r="L631" t="s">
        <v>707</v>
      </c>
      <c r="M631" t="s">
        <v>1422</v>
      </c>
      <c r="N631" t="s">
        <v>730</v>
      </c>
      <c r="O631" t="str" cm="1">
        <f t="array" ref="O631">_xlfn.IFS(S631&lt;=_xlfn.PERCENTILE.INC(IF(N631:N1261=N631, S631:S1261), 0.33), "Low", S631&lt;=_xlfn.PERCENTILE.INC(IF(N631:N1261=N631, S631:S1261), 0.66), "Medium", S631 &gt; _xlfn.PERCENTILE.INC(IF(N631:N1261=N631, S631:S1261), 0.66), "High")</f>
        <v>Low</v>
      </c>
      <c r="P631" t="s">
        <v>1362</v>
      </c>
      <c r="Q631" s="6">
        <v>807.11</v>
      </c>
      <c r="R631" s="6">
        <v>1853.86</v>
      </c>
      <c r="S631" s="6">
        <v>1853.86</v>
      </c>
      <c r="T631" s="9">
        <v>0.13900000000000001</v>
      </c>
      <c r="U631" s="9">
        <f>IF(T631&gt;0.3, $AO$4, T631)</f>
        <v>0.13900000000000001</v>
      </c>
      <c r="V631" s="7" t="str">
        <f t="shared" si="130"/>
        <v>Less than 20%</v>
      </c>
      <c r="W631" s="11">
        <v>8</v>
      </c>
      <c r="X631" s="6">
        <f t="shared" si="140"/>
        <v>12769.38768</v>
      </c>
      <c r="Y631" s="6">
        <f t="shared" si="128"/>
        <v>6456.88</v>
      </c>
      <c r="Z631" s="6">
        <f t="shared" si="131"/>
        <v>6312.5076799999997</v>
      </c>
      <c r="AA631" s="9">
        <f t="shared" si="132"/>
        <v>0.49434693645388639</v>
      </c>
      <c r="AB631" s="9">
        <f>IF(U631&gt;'What-If Analysis'!$F$16, 'What-If Analysis'!$F$16,T631)</f>
        <v>0.13900000000000001</v>
      </c>
      <c r="AC631" s="42">
        <f>S631*(1-AB631)</f>
        <v>1596.17346</v>
      </c>
      <c r="AD631" s="42">
        <f>Q631*(1+'What-If Analysis'!F646)</f>
        <v>807.11</v>
      </c>
      <c r="AE631" s="41">
        <f>W631*(1+'What-If Analysis'!$F$18)</f>
        <v>9.36</v>
      </c>
      <c r="AF631" s="42">
        <f t="shared" si="133"/>
        <v>14940.1835856</v>
      </c>
      <c r="AG631" s="42">
        <f t="shared" si="134"/>
        <v>7554.5495999999994</v>
      </c>
      <c r="AH631" s="42">
        <f t="shared" si="135"/>
        <v>7385.6339856000004</v>
      </c>
      <c r="AI631" s="44">
        <f t="shared" si="136"/>
        <v>0.49434693645388644</v>
      </c>
      <c r="AJ631" s="42">
        <f t="shared" si="137"/>
        <v>2170.7959056</v>
      </c>
      <c r="AK631" s="42">
        <f t="shared" si="138"/>
        <v>6312.5076799999997</v>
      </c>
      <c r="AL631" s="9">
        <f t="shared" si="139"/>
        <v>0</v>
      </c>
      <c r="AM631" s="42"/>
    </row>
    <row r="632" spans="1:39" x14ac:dyDescent="0.25">
      <c r="A632" t="s">
        <v>645</v>
      </c>
      <c r="B632" s="20">
        <v>45716</v>
      </c>
      <c r="C632" s="4">
        <v>45726</v>
      </c>
      <c r="D632" s="4" t="s">
        <v>1437</v>
      </c>
      <c r="E632" s="4">
        <v>45726</v>
      </c>
      <c r="F632" s="11">
        <f t="shared" si="126"/>
        <v>10</v>
      </c>
      <c r="G632" s="11" t="str">
        <f t="shared" si="129"/>
        <v>Does not Meet Target</v>
      </c>
      <c r="H632" t="s">
        <v>647</v>
      </c>
      <c r="I632" t="s">
        <v>652</v>
      </c>
      <c r="J632" t="s">
        <v>666</v>
      </c>
      <c r="K632" t="s">
        <v>702</v>
      </c>
      <c r="L632" t="s">
        <v>710</v>
      </c>
      <c r="M632" t="s">
        <v>725</v>
      </c>
      <c r="N632" t="s">
        <v>731</v>
      </c>
      <c r="O632" t="str" cm="1">
        <f t="array" ref="O632">_xlfn.IFS(S632&lt;=_xlfn.PERCENTILE.INC(IF(N632:N1262=N632, S632:S1262), 0.33), "Low", S632&lt;=_xlfn.PERCENTILE.INC(IF(N632:N1262=N632, S632:S1262), 0.66), "Medium", S632 &gt; _xlfn.PERCENTILE.INC(IF(N632:N1262=N632, S632:S1262), 0.66), "High")</f>
        <v>Low</v>
      </c>
      <c r="P632" t="s">
        <v>1363</v>
      </c>
      <c r="Q632" s="6">
        <v>51.86</v>
      </c>
      <c r="R632" s="6">
        <v>45.98</v>
      </c>
      <c r="S632" s="6">
        <v>45.98</v>
      </c>
      <c r="T632" s="9">
        <v>0.17299999999999999</v>
      </c>
      <c r="U632" s="9">
        <f>IF(T632&gt;0.3, $AO$4, T632)</f>
        <v>0.17299999999999999</v>
      </c>
      <c r="V632" s="7" t="str">
        <f t="shared" si="130"/>
        <v>Less than 20%</v>
      </c>
      <c r="W632" s="11">
        <v>7</v>
      </c>
      <c r="X632" s="6">
        <f t="shared" si="140"/>
        <v>266.17821999999995</v>
      </c>
      <c r="Y632" s="6">
        <f t="shared" si="128"/>
        <v>363.02</v>
      </c>
      <c r="Z632" s="6">
        <f t="shared" si="131"/>
        <v>-96.841780000000028</v>
      </c>
      <c r="AA632" s="9">
        <f t="shared" si="132"/>
        <v>-0.3638230806412337</v>
      </c>
      <c r="AB632" s="9">
        <f>IF(U632&gt;'What-If Analysis'!$F$16, 'What-If Analysis'!$F$16,T632)</f>
        <v>0.17</v>
      </c>
      <c r="AC632" s="42">
        <f>S632*(1-AB632)</f>
        <v>38.163399999999996</v>
      </c>
      <c r="AD632" s="42">
        <f>Q632*(1+'What-If Analysis'!F647)</f>
        <v>51.86</v>
      </c>
      <c r="AE632" s="41">
        <f>W632*(1+'What-If Analysis'!$F$18)</f>
        <v>8.19</v>
      </c>
      <c r="AF632" s="42">
        <f t="shared" si="133"/>
        <v>312.55824599999994</v>
      </c>
      <c r="AG632" s="42">
        <f t="shared" si="134"/>
        <v>424.73339999999996</v>
      </c>
      <c r="AH632" s="42">
        <f t="shared" si="135"/>
        <v>-112.17515400000002</v>
      </c>
      <c r="AI632" s="44">
        <f t="shared" si="136"/>
        <v>-0.35889359962686779</v>
      </c>
      <c r="AJ632" s="42">
        <f t="shared" si="137"/>
        <v>46.380025999999987</v>
      </c>
      <c r="AK632" s="42">
        <f t="shared" si="138"/>
        <v>-96.841780000000028</v>
      </c>
      <c r="AL632" s="9">
        <f t="shared" si="139"/>
        <v>4.9294810143659107E-3</v>
      </c>
      <c r="AM632" s="42"/>
    </row>
    <row r="634" spans="1:39" x14ac:dyDescent="0.25">
      <c r="Q634" s="6">
        <f>AVERAGE(Q2:Q632)</f>
        <v>776.00141045958776</v>
      </c>
      <c r="R634" s="6">
        <f>AVERAGE(R2:R632)</f>
        <v>1306.9784310618063</v>
      </c>
      <c r="S634" s="6">
        <f>AVERAGE(S2:S632)</f>
        <v>1312.728621236133</v>
      </c>
      <c r="X634" s="6">
        <f>SUM(X2:X632)</f>
        <v>11061333.880199999</v>
      </c>
      <c r="Y634" s="6">
        <f>SUM(Y2:Y632)</f>
        <v>7496195.2100000018</v>
      </c>
      <c r="Z634" s="6">
        <f t="shared" ref="Z634:AL634" si="141">SUM(Z2:Z632)</f>
        <v>3565138.6702000024</v>
      </c>
      <c r="AB634" s="6">
        <f t="shared" si="141"/>
        <v>69.973000000000155</v>
      </c>
      <c r="AC634" s="6">
        <f t="shared" si="141"/>
        <v>736566.76188999962</v>
      </c>
      <c r="AD634" s="6">
        <f t="shared" si="141"/>
        <v>489852.4058999999</v>
      </c>
      <c r="AE634" s="6">
        <f t="shared" si="141"/>
        <v>11229.660000000009</v>
      </c>
      <c r="AF634" s="6">
        <f t="shared" si="141"/>
        <v>13031741.603637904</v>
      </c>
      <c r="AG634" s="6">
        <f t="shared" si="141"/>
        <v>8777352.2518889923</v>
      </c>
      <c r="AH634" s="6">
        <f t="shared" si="141"/>
        <v>4254389.3517488986</v>
      </c>
      <c r="AI634" s="6"/>
      <c r="AJ634" s="6">
        <f t="shared" si="141"/>
        <v>1970407.7234378997</v>
      </c>
      <c r="AK634" s="6">
        <f t="shared" si="141"/>
        <v>3565138.6702000024</v>
      </c>
      <c r="AL634" s="6"/>
    </row>
    <row r="635" spans="1:39" x14ac:dyDescent="0.25">
      <c r="X635" s="6">
        <f>AVERAGE(X2:X632)</f>
        <v>17529.847670681454</v>
      </c>
      <c r="AA635" s="6">
        <f>Z634/X634</f>
        <v>0.32230639711379377</v>
      </c>
      <c r="AI635" s="9">
        <f>AH634/AF634</f>
        <v>0.32646360564433347</v>
      </c>
      <c r="AL635" s="9">
        <f>AI635-AA635</f>
        <v>4.1572085305396911E-3</v>
      </c>
    </row>
  </sheetData>
  <autoFilter ref="A1:AL632" xr:uid="{4E6175CE-DC5F-4B42-AE55-C9F076DA8C20}"/>
  <conditionalFormatting sqref="A1:A1048576">
    <cfRule type="duplicateValues" dxfId="1030" priority="4"/>
    <cfRule type="duplicateValues" dxfId="1029" priority="5"/>
  </conditionalFormatting>
  <conditionalFormatting sqref="R1:S633 R635:S1048576">
    <cfRule type="cellIs" dxfId="1028" priority="3" operator="lessThan">
      <formula>0</formula>
    </cfRule>
  </conditionalFormatting>
  <conditionalFormatting sqref="T2:U632 T633:V1048576">
    <cfRule type="cellIs" dxfId="1027" priority="1" operator="greaterThan">
      <formula>0.3</formula>
    </cfRule>
    <cfRule type="cellIs" dxfId="1026" priority="2"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A5D98-284C-4561-A3E7-4C85C62730B6}">
  <dimension ref="A2:M22"/>
  <sheetViews>
    <sheetView topLeftCell="A2" workbookViewId="0">
      <selection activeCell="L21" sqref="L21"/>
    </sheetView>
  </sheetViews>
  <sheetFormatPr defaultRowHeight="15" x14ac:dyDescent="0.25"/>
  <cols>
    <col min="1" max="1" width="19" bestFit="1" customWidth="1"/>
    <col min="13" max="13" width="30.5703125" customWidth="1"/>
  </cols>
  <sheetData>
    <row r="2" spans="1:13" ht="17.25" customHeight="1" x14ac:dyDescent="0.25">
      <c r="M2" s="34"/>
    </row>
    <row r="3" spans="1:13" x14ac:dyDescent="0.25">
      <c r="A3" s="21" t="s">
        <v>1445</v>
      </c>
    </row>
    <row r="4" spans="1:13" x14ac:dyDescent="0.25">
      <c r="A4" s="22" t="s">
        <v>646</v>
      </c>
    </row>
    <row r="5" spans="1:13" x14ac:dyDescent="0.25">
      <c r="A5" s="23" t="s">
        <v>650</v>
      </c>
    </row>
    <row r="6" spans="1:13" x14ac:dyDescent="0.25">
      <c r="A6" s="24" t="s">
        <v>662</v>
      </c>
    </row>
    <row r="7" spans="1:13" x14ac:dyDescent="0.25">
      <c r="A7" s="24" t="s">
        <v>675</v>
      </c>
    </row>
    <row r="8" spans="1:13" x14ac:dyDescent="0.25">
      <c r="A8" s="24" t="s">
        <v>664</v>
      </c>
    </row>
    <row r="9" spans="1:13" x14ac:dyDescent="0.25">
      <c r="A9" s="24" t="s">
        <v>678</v>
      </c>
    </row>
    <row r="10" spans="1:13" x14ac:dyDescent="0.25">
      <c r="A10" s="23" t="s">
        <v>651</v>
      </c>
    </row>
    <row r="11" spans="1:13" x14ac:dyDescent="0.25">
      <c r="A11" s="24" t="s">
        <v>669</v>
      </c>
    </row>
    <row r="12" spans="1:13" x14ac:dyDescent="0.25">
      <c r="A12" s="24" t="s">
        <v>665</v>
      </c>
    </row>
    <row r="13" spans="1:13" x14ac:dyDescent="0.25">
      <c r="A13" s="24" t="s">
        <v>663</v>
      </c>
    </row>
    <row r="14" spans="1:13" x14ac:dyDescent="0.25">
      <c r="A14" s="24" t="s">
        <v>1422</v>
      </c>
    </row>
    <row r="15" spans="1:13" x14ac:dyDescent="0.25">
      <c r="A15" s="23" t="s">
        <v>661</v>
      </c>
    </row>
    <row r="16" spans="1:13" x14ac:dyDescent="0.25">
      <c r="A16" s="24" t="s">
        <v>695</v>
      </c>
    </row>
    <row r="17" spans="1:1" x14ac:dyDescent="0.25">
      <c r="A17" s="24" t="s">
        <v>687</v>
      </c>
    </row>
    <row r="18" spans="1:1" x14ac:dyDescent="0.25">
      <c r="A18" s="24" t="s">
        <v>682</v>
      </c>
    </row>
    <row r="19" spans="1:1" x14ac:dyDescent="0.25">
      <c r="A19" s="22" t="s">
        <v>648</v>
      </c>
    </row>
    <row r="20" spans="1:1" x14ac:dyDescent="0.25">
      <c r="A20" s="22" t="s">
        <v>647</v>
      </c>
    </row>
    <row r="21" spans="1:1" x14ac:dyDescent="0.25">
      <c r="A21" s="22" t="s">
        <v>649</v>
      </c>
    </row>
    <row r="22" spans="1:1" x14ac:dyDescent="0.25">
      <c r="A22" s="22" t="s">
        <v>1446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00D0-6B9E-400D-B046-437D8CE36668}">
  <dimension ref="A3:B122"/>
  <sheetViews>
    <sheetView workbookViewId="0">
      <selection activeCell="B7" sqref="B7"/>
    </sheetView>
  </sheetViews>
  <sheetFormatPr defaultRowHeight="15" x14ac:dyDescent="0.25"/>
  <cols>
    <col min="1" max="1" width="17.42578125" bestFit="1" customWidth="1"/>
    <col min="2" max="2" width="20.7109375" bestFit="1" customWidth="1"/>
    <col min="3" max="11" width="12" bestFit="1" customWidth="1"/>
    <col min="12" max="12" width="15.5703125" bestFit="1" customWidth="1"/>
    <col min="13" max="14" width="12" bestFit="1" customWidth="1"/>
  </cols>
  <sheetData>
    <row r="3" spans="1:2" x14ac:dyDescent="0.25">
      <c r="A3" s="21" t="s">
        <v>1445</v>
      </c>
      <c r="B3" t="s">
        <v>1448</v>
      </c>
    </row>
    <row r="4" spans="1:2" x14ac:dyDescent="0.25">
      <c r="A4" s="22" t="s">
        <v>655</v>
      </c>
      <c r="B4" s="26">
        <v>1039585.2408200002</v>
      </c>
    </row>
    <row r="5" spans="1:2" x14ac:dyDescent="0.25">
      <c r="A5" s="22" t="s">
        <v>653</v>
      </c>
      <c r="B5" s="26">
        <v>882622.97854000016</v>
      </c>
    </row>
    <row r="6" spans="1:2" x14ac:dyDescent="0.25">
      <c r="A6" s="22" t="s">
        <v>659</v>
      </c>
      <c r="B6" s="26">
        <v>912518.53512000002</v>
      </c>
    </row>
    <row r="7" spans="1:2" x14ac:dyDescent="0.25">
      <c r="A7" s="22" t="s">
        <v>657</v>
      </c>
      <c r="B7" s="26">
        <v>819456.19888999965</v>
      </c>
    </row>
    <row r="8" spans="1:2" x14ac:dyDescent="0.25">
      <c r="A8" s="22" t="s">
        <v>656</v>
      </c>
      <c r="B8" s="26">
        <v>929424.8882200002</v>
      </c>
    </row>
    <row r="9" spans="1:2" x14ac:dyDescent="0.25">
      <c r="A9" s="22" t="s">
        <v>654</v>
      </c>
      <c r="B9" s="26">
        <v>1070726.8961500002</v>
      </c>
    </row>
    <row r="10" spans="1:2" x14ac:dyDescent="0.25">
      <c r="A10" s="22" t="s">
        <v>652</v>
      </c>
      <c r="B10" s="26">
        <v>858508.90167999989</v>
      </c>
    </row>
    <row r="11" spans="1:2" x14ac:dyDescent="0.25">
      <c r="A11" s="23" t="s">
        <v>1449</v>
      </c>
      <c r="B11" s="26">
        <v>196462.92158999998</v>
      </c>
    </row>
    <row r="12" spans="1:2" x14ac:dyDescent="0.25">
      <c r="A12" s="24" t="s">
        <v>1513</v>
      </c>
      <c r="B12" s="26">
        <v>31024.83872</v>
      </c>
    </row>
    <row r="13" spans="1:2" x14ac:dyDescent="0.25">
      <c r="A13" s="49" t="s">
        <v>1454</v>
      </c>
      <c r="B13" s="26">
        <v>31024.83872</v>
      </c>
    </row>
    <row r="14" spans="1:2" x14ac:dyDescent="0.25">
      <c r="A14" s="24" t="s">
        <v>1514</v>
      </c>
      <c r="B14" s="26">
        <v>34862.34261</v>
      </c>
    </row>
    <row r="15" spans="1:2" x14ac:dyDescent="0.25">
      <c r="A15" s="49" t="s">
        <v>1455</v>
      </c>
      <c r="B15" s="26">
        <v>21196.913249999998</v>
      </c>
    </row>
    <row r="16" spans="1:2" x14ac:dyDescent="0.25">
      <c r="A16" s="49" t="s">
        <v>1456</v>
      </c>
      <c r="B16" s="26">
        <v>9062.34692</v>
      </c>
    </row>
    <row r="17" spans="1:2" x14ac:dyDescent="0.25">
      <c r="A17" s="49" t="s">
        <v>1457</v>
      </c>
      <c r="B17" s="26">
        <v>4603.0824400000001</v>
      </c>
    </row>
    <row r="18" spans="1:2" x14ac:dyDescent="0.25">
      <c r="A18" s="24" t="s">
        <v>1515</v>
      </c>
      <c r="B18" s="26">
        <v>63272.855360000001</v>
      </c>
    </row>
    <row r="19" spans="1:2" x14ac:dyDescent="0.25">
      <c r="A19" s="49" t="s">
        <v>1458</v>
      </c>
      <c r="B19" s="26">
        <v>32142.113530000002</v>
      </c>
    </row>
    <row r="20" spans="1:2" x14ac:dyDescent="0.25">
      <c r="A20" s="49" t="s">
        <v>1460</v>
      </c>
      <c r="B20" s="26">
        <v>31130.741829999995</v>
      </c>
    </row>
    <row r="21" spans="1:2" x14ac:dyDescent="0.25">
      <c r="A21" s="24" t="s">
        <v>1516</v>
      </c>
      <c r="B21" s="26">
        <v>67302.88489999999</v>
      </c>
    </row>
    <row r="22" spans="1:2" x14ac:dyDescent="0.25">
      <c r="A22" s="49" t="s">
        <v>1461</v>
      </c>
      <c r="B22" s="26">
        <v>14527.748400000002</v>
      </c>
    </row>
    <row r="23" spans="1:2" x14ac:dyDescent="0.25">
      <c r="A23" s="49" t="s">
        <v>1462</v>
      </c>
      <c r="B23" s="26">
        <v>14268.607679999999</v>
      </c>
    </row>
    <row r="24" spans="1:2" x14ac:dyDescent="0.25">
      <c r="A24" s="49" t="s">
        <v>1463</v>
      </c>
      <c r="B24" s="26">
        <v>38506.528819999992</v>
      </c>
    </row>
    <row r="25" spans="1:2" x14ac:dyDescent="0.25">
      <c r="A25" s="23" t="s">
        <v>1450</v>
      </c>
      <c r="B25" s="26">
        <v>370401.94354999997</v>
      </c>
    </row>
    <row r="26" spans="1:2" x14ac:dyDescent="0.25">
      <c r="A26" s="23" t="s">
        <v>1451</v>
      </c>
      <c r="B26" s="26">
        <v>291644.03654</v>
      </c>
    </row>
    <row r="27" spans="1:2" x14ac:dyDescent="0.25">
      <c r="A27" s="22" t="s">
        <v>650</v>
      </c>
      <c r="B27" s="26">
        <v>974553.39821000001</v>
      </c>
    </row>
    <row r="28" spans="1:2" x14ac:dyDescent="0.25">
      <c r="A28" s="23" t="s">
        <v>1449</v>
      </c>
      <c r="B28" s="26">
        <v>269616.97904999997</v>
      </c>
    </row>
    <row r="29" spans="1:2" x14ac:dyDescent="0.25">
      <c r="A29" s="24" t="s">
        <v>1513</v>
      </c>
      <c r="B29" s="26">
        <v>133731.60308999999</v>
      </c>
    </row>
    <row r="30" spans="1:2" x14ac:dyDescent="0.25">
      <c r="A30" s="49" t="s">
        <v>1452</v>
      </c>
      <c r="B30" s="26">
        <v>47962.717579999997</v>
      </c>
    </row>
    <row r="31" spans="1:2" x14ac:dyDescent="0.25">
      <c r="A31" s="50">
        <v>44946</v>
      </c>
      <c r="B31" s="26">
        <v>47962.717579999997</v>
      </c>
    </row>
    <row r="32" spans="1:2" x14ac:dyDescent="0.25">
      <c r="A32" s="49" t="s">
        <v>1453</v>
      </c>
      <c r="B32" s="26">
        <v>15165.957719999999</v>
      </c>
    </row>
    <row r="33" spans="1:2" x14ac:dyDescent="0.25">
      <c r="A33" s="49" t="s">
        <v>1454</v>
      </c>
      <c r="B33" s="26">
        <v>70602.927789999987</v>
      </c>
    </row>
    <row r="34" spans="1:2" x14ac:dyDescent="0.25">
      <c r="A34" s="24" t="s">
        <v>1514</v>
      </c>
      <c r="B34" s="26">
        <v>25750.282080000001</v>
      </c>
    </row>
    <row r="35" spans="1:2" x14ac:dyDescent="0.25">
      <c r="A35" s="49" t="s">
        <v>1455</v>
      </c>
      <c r="B35" s="26">
        <v>11003.7672</v>
      </c>
    </row>
    <row r="36" spans="1:2" x14ac:dyDescent="0.25">
      <c r="A36" s="49" t="s">
        <v>1456</v>
      </c>
      <c r="B36" s="26">
        <v>10946.711730000001</v>
      </c>
    </row>
    <row r="37" spans="1:2" x14ac:dyDescent="0.25">
      <c r="A37" s="49" t="s">
        <v>1457</v>
      </c>
      <c r="B37" s="26">
        <v>3799.8031499999997</v>
      </c>
    </row>
    <row r="38" spans="1:2" x14ac:dyDescent="0.25">
      <c r="A38" s="24" t="s">
        <v>1515</v>
      </c>
      <c r="B38" s="26">
        <v>55808.610599999993</v>
      </c>
    </row>
    <row r="39" spans="1:2" x14ac:dyDescent="0.25">
      <c r="A39" s="49" t="s">
        <v>1458</v>
      </c>
      <c r="B39" s="26">
        <v>54110.113199999993</v>
      </c>
    </row>
    <row r="40" spans="1:2" x14ac:dyDescent="0.25">
      <c r="A40" s="49" t="s">
        <v>1459</v>
      </c>
      <c r="B40" s="26">
        <v>667.74</v>
      </c>
    </row>
    <row r="41" spans="1:2" x14ac:dyDescent="0.25">
      <c r="A41" s="49" t="s">
        <v>1460</v>
      </c>
      <c r="B41" s="26">
        <v>1030.7574</v>
      </c>
    </row>
    <row r="42" spans="1:2" x14ac:dyDescent="0.25">
      <c r="A42" s="24" t="s">
        <v>1516</v>
      </c>
      <c r="B42" s="26">
        <v>54326.48328</v>
      </c>
    </row>
    <row r="43" spans="1:2" x14ac:dyDescent="0.25">
      <c r="A43" s="49" t="s">
        <v>1461</v>
      </c>
      <c r="B43" s="26">
        <v>38264.510399999999</v>
      </c>
    </row>
    <row r="44" spans="1:2" x14ac:dyDescent="0.25">
      <c r="A44" s="49" t="s">
        <v>1463</v>
      </c>
      <c r="B44" s="26">
        <v>16061.972879999999</v>
      </c>
    </row>
    <row r="45" spans="1:2" x14ac:dyDescent="0.25">
      <c r="A45" s="23" t="s">
        <v>1450</v>
      </c>
      <c r="B45" s="26">
        <v>558403.13728000002</v>
      </c>
    </row>
    <row r="46" spans="1:2" x14ac:dyDescent="0.25">
      <c r="A46" s="23" t="s">
        <v>1451</v>
      </c>
      <c r="B46" s="26">
        <v>146533.28188000002</v>
      </c>
    </row>
    <row r="47" spans="1:2" x14ac:dyDescent="0.25">
      <c r="A47" s="22" t="s">
        <v>651</v>
      </c>
      <c r="B47" s="26">
        <v>881838.67691000015</v>
      </c>
    </row>
    <row r="48" spans="1:2" x14ac:dyDescent="0.25">
      <c r="A48" s="23" t="s">
        <v>1449</v>
      </c>
      <c r="B48" s="26">
        <v>263244.54462</v>
      </c>
    </row>
    <row r="49" spans="1:2" x14ac:dyDescent="0.25">
      <c r="A49" s="24" t="s">
        <v>1513</v>
      </c>
      <c r="B49" s="26">
        <v>5422.2875999999997</v>
      </c>
    </row>
    <row r="50" spans="1:2" x14ac:dyDescent="0.25">
      <c r="A50" s="49" t="s">
        <v>1452</v>
      </c>
      <c r="B50" s="26">
        <v>685.06776000000002</v>
      </c>
    </row>
    <row r="51" spans="1:2" x14ac:dyDescent="0.25">
      <c r="A51" s="50">
        <v>44941</v>
      </c>
      <c r="B51" s="26">
        <v>685.06776000000002</v>
      </c>
    </row>
    <row r="52" spans="1:2" x14ac:dyDescent="0.25">
      <c r="A52" s="49" t="s">
        <v>1453</v>
      </c>
      <c r="B52" s="26">
        <v>4737.2198399999997</v>
      </c>
    </row>
    <row r="53" spans="1:2" x14ac:dyDescent="0.25">
      <c r="A53" s="24" t="s">
        <v>1514</v>
      </c>
      <c r="B53" s="26">
        <v>82955.127880000015</v>
      </c>
    </row>
    <row r="54" spans="1:2" x14ac:dyDescent="0.25">
      <c r="A54" s="49" t="s">
        <v>1455</v>
      </c>
      <c r="B54" s="26">
        <v>32280.32474</v>
      </c>
    </row>
    <row r="55" spans="1:2" x14ac:dyDescent="0.25">
      <c r="A55" s="49" t="s">
        <v>1456</v>
      </c>
      <c r="B55" s="26">
        <v>43539.233140000004</v>
      </c>
    </row>
    <row r="56" spans="1:2" x14ac:dyDescent="0.25">
      <c r="A56" s="49" t="s">
        <v>1457</v>
      </c>
      <c r="B56" s="26">
        <v>7135.57</v>
      </c>
    </row>
    <row r="57" spans="1:2" x14ac:dyDescent="0.25">
      <c r="A57" s="24" t="s">
        <v>1515</v>
      </c>
      <c r="B57" s="26">
        <v>136921.91362000001</v>
      </c>
    </row>
    <row r="58" spans="1:2" x14ac:dyDescent="0.25">
      <c r="A58" s="49" t="s">
        <v>1458</v>
      </c>
      <c r="B58" s="26">
        <v>112088.8161</v>
      </c>
    </row>
    <row r="59" spans="1:2" x14ac:dyDescent="0.25">
      <c r="A59" s="49" t="s">
        <v>1459</v>
      </c>
      <c r="B59" s="26">
        <v>24833.097520000003</v>
      </c>
    </row>
    <row r="60" spans="1:2" x14ac:dyDescent="0.25">
      <c r="A60" s="24" t="s">
        <v>1516</v>
      </c>
      <c r="B60" s="26">
        <v>37945.215519999998</v>
      </c>
    </row>
    <row r="61" spans="1:2" x14ac:dyDescent="0.25">
      <c r="A61" s="49" t="s">
        <v>1461</v>
      </c>
      <c r="B61" s="26">
        <v>10786.32144</v>
      </c>
    </row>
    <row r="62" spans="1:2" x14ac:dyDescent="0.25">
      <c r="A62" s="49" t="s">
        <v>1463</v>
      </c>
      <c r="B62" s="26">
        <v>27158.894079999998</v>
      </c>
    </row>
    <row r="63" spans="1:2" x14ac:dyDescent="0.25">
      <c r="A63" s="23" t="s">
        <v>1450</v>
      </c>
      <c r="B63" s="26">
        <v>276445.19975999999</v>
      </c>
    </row>
    <row r="64" spans="1:2" x14ac:dyDescent="0.25">
      <c r="A64" s="23" t="s">
        <v>1451</v>
      </c>
      <c r="B64" s="26">
        <v>342148.93253000005</v>
      </c>
    </row>
    <row r="65" spans="1:2" x14ac:dyDescent="0.25">
      <c r="A65" s="22" t="s">
        <v>661</v>
      </c>
      <c r="B65" s="26">
        <v>781140.47277999984</v>
      </c>
    </row>
    <row r="66" spans="1:2" x14ac:dyDescent="0.25">
      <c r="A66" s="23" t="s">
        <v>1449</v>
      </c>
      <c r="B66" s="26">
        <v>365904.27263999992</v>
      </c>
    </row>
    <row r="67" spans="1:2" x14ac:dyDescent="0.25">
      <c r="A67" s="24" t="s">
        <v>1513</v>
      </c>
      <c r="B67" s="26">
        <v>119331.8425</v>
      </c>
    </row>
    <row r="68" spans="1:2" x14ac:dyDescent="0.25">
      <c r="A68" s="49" t="s">
        <v>1452</v>
      </c>
      <c r="B68" s="26">
        <v>3116.21</v>
      </c>
    </row>
    <row r="69" spans="1:2" x14ac:dyDescent="0.25">
      <c r="A69" s="50">
        <v>44933</v>
      </c>
      <c r="B69" s="26">
        <v>3116.21</v>
      </c>
    </row>
    <row r="70" spans="1:2" x14ac:dyDescent="0.25">
      <c r="A70" s="49" t="s">
        <v>1453</v>
      </c>
      <c r="B70" s="26">
        <v>86597.081299999991</v>
      </c>
    </row>
    <row r="71" spans="1:2" x14ac:dyDescent="0.25">
      <c r="A71" s="49" t="s">
        <v>1454</v>
      </c>
      <c r="B71" s="26">
        <v>29618.551199999998</v>
      </c>
    </row>
    <row r="72" spans="1:2" x14ac:dyDescent="0.25">
      <c r="A72" s="24" t="s">
        <v>1514</v>
      </c>
      <c r="B72" s="26">
        <v>16690.072059999999</v>
      </c>
    </row>
    <row r="73" spans="1:2" x14ac:dyDescent="0.25">
      <c r="A73" s="49" t="s">
        <v>1456</v>
      </c>
      <c r="B73" s="26">
        <v>16690.072059999999</v>
      </c>
    </row>
    <row r="74" spans="1:2" x14ac:dyDescent="0.25">
      <c r="A74" s="24" t="s">
        <v>1515</v>
      </c>
      <c r="B74" s="26">
        <v>137086.76258000001</v>
      </c>
    </row>
    <row r="75" spans="1:2" x14ac:dyDescent="0.25">
      <c r="A75" s="49" t="s">
        <v>1458</v>
      </c>
      <c r="B75" s="26">
        <v>78566.392940000005</v>
      </c>
    </row>
    <row r="76" spans="1:2" x14ac:dyDescent="0.25">
      <c r="A76" s="49" t="s">
        <v>1459</v>
      </c>
      <c r="B76" s="26">
        <v>58520.369640000004</v>
      </c>
    </row>
    <row r="77" spans="1:2" x14ac:dyDescent="0.25">
      <c r="A77" s="24" t="s">
        <v>1516</v>
      </c>
      <c r="B77" s="26">
        <v>92795.595499999981</v>
      </c>
    </row>
    <row r="78" spans="1:2" x14ac:dyDescent="0.25">
      <c r="A78" s="49" t="s">
        <v>1461</v>
      </c>
      <c r="B78" s="26">
        <v>434.45248000000004</v>
      </c>
    </row>
    <row r="79" spans="1:2" x14ac:dyDescent="0.25">
      <c r="A79" s="49" t="s">
        <v>1462</v>
      </c>
      <c r="B79" s="26">
        <v>12954.358080000002</v>
      </c>
    </row>
    <row r="80" spans="1:2" x14ac:dyDescent="0.25">
      <c r="A80" s="49" t="s">
        <v>1463</v>
      </c>
      <c r="B80" s="26">
        <v>79406.784939999983</v>
      </c>
    </row>
    <row r="81" spans="1:2" x14ac:dyDescent="0.25">
      <c r="A81" s="23" t="s">
        <v>1450</v>
      </c>
      <c r="B81" s="26">
        <v>191518.50866999998</v>
      </c>
    </row>
    <row r="82" spans="1:2" x14ac:dyDescent="0.25">
      <c r="A82" s="23" t="s">
        <v>1451</v>
      </c>
      <c r="B82" s="26">
        <v>223717.69146999999</v>
      </c>
    </row>
    <row r="83" spans="1:2" x14ac:dyDescent="0.25">
      <c r="A83" s="22" t="s">
        <v>658</v>
      </c>
      <c r="B83" s="26">
        <v>1142263.1053000002</v>
      </c>
    </row>
    <row r="84" spans="1:2" x14ac:dyDescent="0.25">
      <c r="A84" s="23" t="s">
        <v>1449</v>
      </c>
      <c r="B84" s="26">
        <v>276400.40976000001</v>
      </c>
    </row>
    <row r="85" spans="1:2" x14ac:dyDescent="0.25">
      <c r="A85" s="24" t="s">
        <v>1513</v>
      </c>
      <c r="B85" s="26">
        <v>48111.080719999998</v>
      </c>
    </row>
    <row r="86" spans="1:2" x14ac:dyDescent="0.25">
      <c r="A86" s="49" t="s">
        <v>1452</v>
      </c>
      <c r="B86" s="26">
        <v>27965.366600000001</v>
      </c>
    </row>
    <row r="87" spans="1:2" x14ac:dyDescent="0.25">
      <c r="A87" s="50">
        <v>44945</v>
      </c>
      <c r="B87" s="26">
        <v>19628.476999999999</v>
      </c>
    </row>
    <row r="88" spans="1:2" x14ac:dyDescent="0.25">
      <c r="A88" s="50">
        <v>44953</v>
      </c>
      <c r="B88" s="26">
        <v>8336.8896000000004</v>
      </c>
    </row>
    <row r="89" spans="1:2" x14ac:dyDescent="0.25">
      <c r="A89" s="49" t="s">
        <v>1453</v>
      </c>
      <c r="B89" s="26">
        <v>4132.0325200000007</v>
      </c>
    </row>
    <row r="90" spans="1:2" x14ac:dyDescent="0.25">
      <c r="A90" s="49" t="s">
        <v>1454</v>
      </c>
      <c r="B90" s="26">
        <v>16013.681599999998</v>
      </c>
    </row>
    <row r="91" spans="1:2" x14ac:dyDescent="0.25">
      <c r="A91" s="24" t="s">
        <v>1514</v>
      </c>
      <c r="B91" s="26">
        <v>116257.55197999999</v>
      </c>
    </row>
    <row r="92" spans="1:2" x14ac:dyDescent="0.25">
      <c r="A92" s="49" t="s">
        <v>1455</v>
      </c>
      <c r="B92" s="26">
        <v>66551.125379999983</v>
      </c>
    </row>
    <row r="93" spans="1:2" x14ac:dyDescent="0.25">
      <c r="A93" s="49" t="s">
        <v>1456</v>
      </c>
      <c r="B93" s="26">
        <v>19800.88896</v>
      </c>
    </row>
    <row r="94" spans="1:2" x14ac:dyDescent="0.25">
      <c r="A94" s="49" t="s">
        <v>1457</v>
      </c>
      <c r="B94" s="26">
        <v>29905.537640000002</v>
      </c>
    </row>
    <row r="95" spans="1:2" x14ac:dyDescent="0.25">
      <c r="A95" s="24" t="s">
        <v>1515</v>
      </c>
      <c r="B95" s="26">
        <v>80418.4666</v>
      </c>
    </row>
    <row r="96" spans="1:2" x14ac:dyDescent="0.25">
      <c r="A96" s="49" t="s">
        <v>1458</v>
      </c>
      <c r="B96" s="26">
        <v>48616.566040000005</v>
      </c>
    </row>
    <row r="97" spans="1:2" x14ac:dyDescent="0.25">
      <c r="A97" s="49" t="s">
        <v>1459</v>
      </c>
      <c r="B97" s="26">
        <v>31801.900559999998</v>
      </c>
    </row>
    <row r="98" spans="1:2" x14ac:dyDescent="0.25">
      <c r="A98" s="24" t="s">
        <v>1516</v>
      </c>
      <c r="B98" s="26">
        <v>31613.310460000001</v>
      </c>
    </row>
    <row r="99" spans="1:2" x14ac:dyDescent="0.25">
      <c r="A99" s="49" t="s">
        <v>1461</v>
      </c>
      <c r="B99" s="26">
        <v>26003.218060000003</v>
      </c>
    </row>
    <row r="100" spans="1:2" x14ac:dyDescent="0.25">
      <c r="A100" s="49" t="s">
        <v>1462</v>
      </c>
      <c r="B100" s="26">
        <v>5610.0923999999995</v>
      </c>
    </row>
    <row r="101" spans="1:2" x14ac:dyDescent="0.25">
      <c r="A101" s="23" t="s">
        <v>1450</v>
      </c>
      <c r="B101" s="26">
        <v>536882.39144000004</v>
      </c>
    </row>
    <row r="102" spans="1:2" x14ac:dyDescent="0.25">
      <c r="A102" s="23" t="s">
        <v>1451</v>
      </c>
      <c r="B102" s="26">
        <v>328980.30410000001</v>
      </c>
    </row>
    <row r="103" spans="1:2" x14ac:dyDescent="0.25">
      <c r="A103" s="22" t="s">
        <v>660</v>
      </c>
      <c r="B103" s="26">
        <v>768694.58757999993</v>
      </c>
    </row>
    <row r="104" spans="1:2" x14ac:dyDescent="0.25">
      <c r="A104" s="23" t="s">
        <v>1449</v>
      </c>
      <c r="B104" s="26">
        <v>288079.88712999999</v>
      </c>
    </row>
    <row r="105" spans="1:2" x14ac:dyDescent="0.25">
      <c r="A105" s="24" t="s">
        <v>1513</v>
      </c>
      <c r="B105" s="26">
        <v>99773.865179999993</v>
      </c>
    </row>
    <row r="106" spans="1:2" x14ac:dyDescent="0.25">
      <c r="A106" s="49" t="s">
        <v>1452</v>
      </c>
      <c r="B106" s="26">
        <v>31035.217859999997</v>
      </c>
    </row>
    <row r="107" spans="1:2" x14ac:dyDescent="0.25">
      <c r="A107" s="50">
        <v>44939</v>
      </c>
      <c r="B107" s="26">
        <v>14963.769179999999</v>
      </c>
    </row>
    <row r="108" spans="1:2" x14ac:dyDescent="0.25">
      <c r="A108" s="50">
        <v>44948</v>
      </c>
      <c r="B108" s="26">
        <v>16071.44868</v>
      </c>
    </row>
    <row r="109" spans="1:2" x14ac:dyDescent="0.25">
      <c r="A109" s="49" t="s">
        <v>1453</v>
      </c>
      <c r="B109" s="26">
        <v>68738.647320000004</v>
      </c>
    </row>
    <row r="110" spans="1:2" x14ac:dyDescent="0.25">
      <c r="A110" s="24" t="s">
        <v>1514</v>
      </c>
      <c r="B110" s="26">
        <v>110694.36008999999</v>
      </c>
    </row>
    <row r="111" spans="1:2" x14ac:dyDescent="0.25">
      <c r="A111" s="49" t="s">
        <v>1455</v>
      </c>
      <c r="B111" s="26">
        <v>11375.257759999999</v>
      </c>
    </row>
    <row r="112" spans="1:2" x14ac:dyDescent="0.25">
      <c r="A112" s="49" t="s">
        <v>1456</v>
      </c>
      <c r="B112" s="26">
        <v>27431.638109999996</v>
      </c>
    </row>
    <row r="113" spans="1:2" x14ac:dyDescent="0.25">
      <c r="A113" s="49" t="s">
        <v>1457</v>
      </c>
      <c r="B113" s="26">
        <v>71887.464219999994</v>
      </c>
    </row>
    <row r="114" spans="1:2" x14ac:dyDescent="0.25">
      <c r="A114" s="24" t="s">
        <v>1515</v>
      </c>
      <c r="B114" s="26">
        <v>72078.038860000001</v>
      </c>
    </row>
    <row r="115" spans="1:2" x14ac:dyDescent="0.25">
      <c r="A115" s="49" t="s">
        <v>1458</v>
      </c>
      <c r="B115" s="26">
        <v>32086.37586</v>
      </c>
    </row>
    <row r="116" spans="1:2" x14ac:dyDescent="0.25">
      <c r="A116" s="49" t="s">
        <v>1459</v>
      </c>
      <c r="B116" s="26">
        <v>25299.040000000001</v>
      </c>
    </row>
    <row r="117" spans="1:2" x14ac:dyDescent="0.25">
      <c r="A117" s="49" t="s">
        <v>1460</v>
      </c>
      <c r="B117" s="26">
        <v>14692.623000000001</v>
      </c>
    </row>
    <row r="118" spans="1:2" x14ac:dyDescent="0.25">
      <c r="A118" s="24" t="s">
        <v>1516</v>
      </c>
      <c r="B118" s="26">
        <v>5533.6230000000005</v>
      </c>
    </row>
    <row r="119" spans="1:2" x14ac:dyDescent="0.25">
      <c r="A119" s="49" t="s">
        <v>1461</v>
      </c>
      <c r="B119" s="26">
        <v>5533.6230000000005</v>
      </c>
    </row>
    <row r="120" spans="1:2" x14ac:dyDescent="0.25">
      <c r="A120" s="23" t="s">
        <v>1450</v>
      </c>
      <c r="B120" s="26">
        <v>396688.46359</v>
      </c>
    </row>
    <row r="121" spans="1:2" x14ac:dyDescent="0.25">
      <c r="A121" s="23" t="s">
        <v>1451</v>
      </c>
      <c r="B121" s="26">
        <v>83926.23685999999</v>
      </c>
    </row>
    <row r="122" spans="1:2" x14ac:dyDescent="0.25">
      <c r="A122" s="22" t="s">
        <v>1446</v>
      </c>
      <c r="B122" s="26">
        <v>11061333.880200002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23D3-D380-4609-A713-646CDD09A110}">
  <dimension ref="A3:F37"/>
  <sheetViews>
    <sheetView workbookViewId="0">
      <selection activeCell="A3" sqref="A3"/>
    </sheetView>
  </sheetViews>
  <sheetFormatPr defaultRowHeight="15" x14ac:dyDescent="0.25"/>
  <cols>
    <col min="1" max="1" width="14.140625" bestFit="1" customWidth="1"/>
    <col min="2" max="2" width="20.7109375" bestFit="1" customWidth="1"/>
    <col min="4" max="4" width="18.42578125" bestFit="1" customWidth="1"/>
    <col min="5" max="5" width="10.5703125" style="11" bestFit="1" customWidth="1"/>
  </cols>
  <sheetData>
    <row r="3" spans="1:6" x14ac:dyDescent="0.25">
      <c r="A3" s="21" t="s">
        <v>1445</v>
      </c>
      <c r="B3" t="s">
        <v>1448</v>
      </c>
    </row>
    <row r="4" spans="1:6" x14ac:dyDescent="0.25">
      <c r="A4" s="22" t="s">
        <v>729</v>
      </c>
      <c r="B4" s="27">
        <v>0.16824829897345434</v>
      </c>
      <c r="D4" t="s">
        <v>1472</v>
      </c>
      <c r="E4" s="11">
        <v>86</v>
      </c>
    </row>
    <row r="5" spans="1:6" x14ac:dyDescent="0.25">
      <c r="A5" s="23" t="s">
        <v>781</v>
      </c>
      <c r="B5" s="48">
        <v>2.849335238298269E-2</v>
      </c>
      <c r="D5" t="s">
        <v>1465</v>
      </c>
      <c r="E5" s="28">
        <f>E4*0.8</f>
        <v>68.8</v>
      </c>
      <c r="F5" t="s">
        <v>1468</v>
      </c>
    </row>
    <row r="6" spans="1:6" x14ac:dyDescent="0.25">
      <c r="A6" s="23" t="s">
        <v>1345</v>
      </c>
      <c r="B6" s="48">
        <v>2.1424354107609761E-2</v>
      </c>
      <c r="D6" t="s">
        <v>1466</v>
      </c>
      <c r="E6" s="29">
        <f>E4*0.15</f>
        <v>12.9</v>
      </c>
      <c r="F6" t="s">
        <v>1469</v>
      </c>
    </row>
    <row r="7" spans="1:6" x14ac:dyDescent="0.25">
      <c r="A7" s="23" t="s">
        <v>1010</v>
      </c>
      <c r="B7" s="48">
        <v>2.0748148514663584E-2</v>
      </c>
      <c r="D7" t="s">
        <v>1467</v>
      </c>
      <c r="E7" s="30">
        <f>E4*0.05</f>
        <v>4.3</v>
      </c>
      <c r="F7" t="s">
        <v>1470</v>
      </c>
    </row>
    <row r="8" spans="1:6" x14ac:dyDescent="0.25">
      <c r="A8" s="23" t="s">
        <v>957</v>
      </c>
      <c r="B8" s="48">
        <v>1.7472215073638844E-2</v>
      </c>
    </row>
    <row r="9" spans="1:6" x14ac:dyDescent="0.25">
      <c r="A9" s="23" t="s">
        <v>814</v>
      </c>
      <c r="B9" s="48">
        <v>1.5725752879530833E-2</v>
      </c>
      <c r="D9" t="s">
        <v>1471</v>
      </c>
      <c r="E9" s="11">
        <v>81</v>
      </c>
    </row>
    <row r="10" spans="1:6" x14ac:dyDescent="0.25">
      <c r="A10" s="23" t="s">
        <v>1324</v>
      </c>
      <c r="B10" s="48">
        <v>1.3502334679002175E-2</v>
      </c>
      <c r="D10" t="s">
        <v>1465</v>
      </c>
      <c r="E10" s="11">
        <f>E9*0.8</f>
        <v>64.8</v>
      </c>
    </row>
    <row r="11" spans="1:6" x14ac:dyDescent="0.25">
      <c r="A11" s="23" t="s">
        <v>1356</v>
      </c>
      <c r="B11" s="48">
        <v>1.306472984302273E-2</v>
      </c>
      <c r="D11" t="s">
        <v>1466</v>
      </c>
      <c r="E11" s="11">
        <f>E9*0.15</f>
        <v>12.15</v>
      </c>
    </row>
    <row r="12" spans="1:6" x14ac:dyDescent="0.25">
      <c r="A12" s="23" t="s">
        <v>1091</v>
      </c>
      <c r="B12" s="48">
        <v>1.286809897721836E-2</v>
      </c>
      <c r="D12" t="s">
        <v>1467</v>
      </c>
      <c r="E12" s="11">
        <f>E9*0.05</f>
        <v>4.05</v>
      </c>
    </row>
    <row r="13" spans="1:6" x14ac:dyDescent="0.25">
      <c r="A13" s="23" t="s">
        <v>937</v>
      </c>
      <c r="B13" s="48">
        <v>1.2509781894222279E-2</v>
      </c>
    </row>
    <row r="14" spans="1:6" x14ac:dyDescent="0.25">
      <c r="A14" s="23" t="s">
        <v>1116</v>
      </c>
      <c r="B14" s="48">
        <v>1.2439530621563036E-2</v>
      </c>
      <c r="D14" t="s">
        <v>1473</v>
      </c>
      <c r="E14" s="11">
        <v>103</v>
      </c>
    </row>
    <row r="15" spans="1:6" x14ac:dyDescent="0.25">
      <c r="A15" s="22" t="s">
        <v>731</v>
      </c>
      <c r="B15" s="27">
        <v>0.16278552210105104</v>
      </c>
      <c r="D15" t="s">
        <v>1465</v>
      </c>
      <c r="E15" s="11">
        <f>E14*0.8</f>
        <v>82.4</v>
      </c>
    </row>
    <row r="16" spans="1:6" x14ac:dyDescent="0.25">
      <c r="A16" s="22" t="s">
        <v>727</v>
      </c>
      <c r="B16" s="27">
        <v>0.16026738967955023</v>
      </c>
      <c r="D16" t="s">
        <v>1466</v>
      </c>
      <c r="E16" s="11">
        <v>16</v>
      </c>
    </row>
    <row r="17" spans="1:5" x14ac:dyDescent="0.25">
      <c r="A17" s="22" t="s">
        <v>732</v>
      </c>
      <c r="B17" s="27">
        <v>0.15309939345475562</v>
      </c>
      <c r="D17" t="s">
        <v>1467</v>
      </c>
      <c r="E17" s="11">
        <f>E14*0.05</f>
        <v>5.15</v>
      </c>
    </row>
    <row r="18" spans="1:5" x14ac:dyDescent="0.25">
      <c r="A18" s="22" t="s">
        <v>728</v>
      </c>
      <c r="B18" s="27">
        <v>0.12416369571701873</v>
      </c>
    </row>
    <row r="19" spans="1:5" x14ac:dyDescent="0.25">
      <c r="A19" s="22" t="s">
        <v>733</v>
      </c>
      <c r="B19" s="27">
        <v>0.12009020047387459</v>
      </c>
      <c r="D19" t="s">
        <v>1474</v>
      </c>
      <c r="E19" s="11">
        <v>94</v>
      </c>
    </row>
    <row r="20" spans="1:5" x14ac:dyDescent="0.25">
      <c r="A20" s="22" t="s">
        <v>730</v>
      </c>
      <c r="B20" s="27">
        <v>0.11134549960029558</v>
      </c>
      <c r="D20" t="s">
        <v>1465</v>
      </c>
      <c r="E20" s="11">
        <f>E19*0.8</f>
        <v>75.2</v>
      </c>
    </row>
    <row r="21" spans="1:5" x14ac:dyDescent="0.25">
      <c r="A21" s="22" t="s">
        <v>1446</v>
      </c>
      <c r="B21" s="27">
        <v>1</v>
      </c>
      <c r="D21" t="s">
        <v>1466</v>
      </c>
      <c r="E21" s="11">
        <f>E19*0.15</f>
        <v>14.1</v>
      </c>
    </row>
    <row r="22" spans="1:5" x14ac:dyDescent="0.25">
      <c r="D22" t="s">
        <v>1467</v>
      </c>
      <c r="E22" s="11">
        <f>E19*0.05</f>
        <v>4.7</v>
      </c>
    </row>
    <row r="24" spans="1:5" x14ac:dyDescent="0.25">
      <c r="D24" t="s">
        <v>1475</v>
      </c>
      <c r="E24" s="11">
        <v>90</v>
      </c>
    </row>
    <row r="25" spans="1:5" x14ac:dyDescent="0.25">
      <c r="D25" t="s">
        <v>1465</v>
      </c>
      <c r="E25" s="11">
        <f>E24*0.8</f>
        <v>72</v>
      </c>
    </row>
    <row r="26" spans="1:5" x14ac:dyDescent="0.25">
      <c r="D26" t="s">
        <v>1466</v>
      </c>
      <c r="E26" s="11">
        <f>E24*0.15</f>
        <v>13.5</v>
      </c>
    </row>
    <row r="27" spans="1:5" x14ac:dyDescent="0.25">
      <c r="D27" t="s">
        <v>1467</v>
      </c>
      <c r="E27" s="11">
        <f>E24*0.05</f>
        <v>4.5</v>
      </c>
    </row>
    <row r="29" spans="1:5" x14ac:dyDescent="0.25">
      <c r="D29" t="s">
        <v>1476</v>
      </c>
      <c r="E29" s="11">
        <v>88</v>
      </c>
    </row>
    <row r="30" spans="1:5" x14ac:dyDescent="0.25">
      <c r="D30" t="s">
        <v>1465</v>
      </c>
      <c r="E30" s="11">
        <f>E29*0.8</f>
        <v>70.400000000000006</v>
      </c>
    </row>
    <row r="31" spans="1:5" x14ac:dyDescent="0.25">
      <c r="D31" t="s">
        <v>1466</v>
      </c>
      <c r="E31" s="11">
        <f>E29*0.15</f>
        <v>13.2</v>
      </c>
    </row>
    <row r="32" spans="1:5" x14ac:dyDescent="0.25">
      <c r="D32" t="s">
        <v>1467</v>
      </c>
      <c r="E32" s="11">
        <f>E29*0.05</f>
        <v>4.4000000000000004</v>
      </c>
    </row>
    <row r="34" spans="4:5" x14ac:dyDescent="0.25">
      <c r="D34" t="s">
        <v>1477</v>
      </c>
      <c r="E34" s="11">
        <v>87</v>
      </c>
    </row>
    <row r="35" spans="4:5" x14ac:dyDescent="0.25">
      <c r="D35" t="s">
        <v>1465</v>
      </c>
      <c r="E35" s="11">
        <f>E34*0.8</f>
        <v>69.600000000000009</v>
      </c>
    </row>
    <row r="36" spans="4:5" x14ac:dyDescent="0.25">
      <c r="D36" t="s">
        <v>1466</v>
      </c>
      <c r="E36" s="11">
        <f>E34*0.15</f>
        <v>13.049999999999999</v>
      </c>
    </row>
    <row r="37" spans="4:5" x14ac:dyDescent="0.25">
      <c r="D37" t="s">
        <v>1467</v>
      </c>
      <c r="E37" s="11">
        <f>E34*0.05</f>
        <v>4.3500000000000005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4B8B-EE16-4AA9-8151-50A62FF79A12}">
  <dimension ref="A1:G1266"/>
  <sheetViews>
    <sheetView workbookViewId="0">
      <selection activeCell="C5" sqref="C5"/>
    </sheetView>
  </sheetViews>
  <sheetFormatPr defaultRowHeight="15" x14ac:dyDescent="0.25"/>
  <cols>
    <col min="1" max="1" width="22.140625" bestFit="1" customWidth="1"/>
    <col min="2" max="2" width="20.7109375" style="6" bestFit="1" customWidth="1"/>
    <col min="3" max="4" width="17.85546875" bestFit="1" customWidth="1"/>
    <col min="5" max="5" width="22.140625" bestFit="1" customWidth="1"/>
    <col min="6" max="6" width="20.7109375" bestFit="1" customWidth="1"/>
    <col min="7" max="7" width="17.85546875" bestFit="1" customWidth="1"/>
  </cols>
  <sheetData>
    <row r="1" spans="1:7" x14ac:dyDescent="0.25">
      <c r="A1" s="39" t="s">
        <v>1479</v>
      </c>
      <c r="B1" s="39"/>
      <c r="C1" s="39"/>
      <c r="E1" s="39" t="s">
        <v>1480</v>
      </c>
      <c r="F1" s="39"/>
      <c r="G1" s="39"/>
    </row>
    <row r="3" spans="1:7" x14ac:dyDescent="0.25">
      <c r="A3" s="21" t="s">
        <v>1445</v>
      </c>
      <c r="B3" t="s">
        <v>1448</v>
      </c>
      <c r="C3" t="s">
        <v>1478</v>
      </c>
      <c r="E3" s="21" t="s">
        <v>1445</v>
      </c>
      <c r="F3" t="s">
        <v>1448</v>
      </c>
      <c r="G3" t="s">
        <v>1478</v>
      </c>
    </row>
    <row r="4" spans="1:7" x14ac:dyDescent="0.25">
      <c r="A4" s="22" t="s">
        <v>1456</v>
      </c>
      <c r="C4" s="6"/>
      <c r="E4" s="22" t="s">
        <v>1462</v>
      </c>
      <c r="F4" s="26"/>
      <c r="G4" s="26"/>
    </row>
    <row r="5" spans="1:7" x14ac:dyDescent="0.25">
      <c r="A5" s="31" t="s">
        <v>717</v>
      </c>
      <c r="B5" s="32">
        <v>139810.28808</v>
      </c>
      <c r="C5" s="32">
        <v>75353.218079999991</v>
      </c>
      <c r="E5" s="23" t="s">
        <v>712</v>
      </c>
      <c r="F5" s="26">
        <v>116840.50600000001</v>
      </c>
      <c r="G5" s="26">
        <v>44523.546000000009</v>
      </c>
    </row>
    <row r="6" spans="1:7" x14ac:dyDescent="0.25">
      <c r="A6" s="33" t="s">
        <v>62</v>
      </c>
      <c r="B6" s="32">
        <v>109244</v>
      </c>
      <c r="C6" s="32">
        <v>65188.659999999996</v>
      </c>
      <c r="E6" s="24" t="s">
        <v>479</v>
      </c>
      <c r="F6" s="26">
        <v>84136.119600000005</v>
      </c>
      <c r="G6" s="26">
        <v>30705.719600000004</v>
      </c>
    </row>
    <row r="7" spans="1:7" x14ac:dyDescent="0.25">
      <c r="A7" s="33" t="s">
        <v>297</v>
      </c>
      <c r="B7" s="32">
        <v>11696.156879999999</v>
      </c>
      <c r="C7" s="32">
        <v>4215.3568799999994</v>
      </c>
      <c r="E7" s="24" t="s">
        <v>639</v>
      </c>
      <c r="F7" s="26">
        <v>32704.386400000003</v>
      </c>
      <c r="G7" s="26">
        <v>13817.826400000005</v>
      </c>
    </row>
    <row r="8" spans="1:7" x14ac:dyDescent="0.25">
      <c r="A8" s="33" t="s">
        <v>532</v>
      </c>
      <c r="B8" s="32">
        <v>9807.7842799999999</v>
      </c>
      <c r="C8" s="32">
        <v>3292.8142799999996</v>
      </c>
      <c r="E8" s="23" t="s">
        <v>719</v>
      </c>
      <c r="F8" s="26">
        <v>114691.38998000001</v>
      </c>
      <c r="G8" s="26">
        <v>22860.849980000006</v>
      </c>
    </row>
    <row r="9" spans="1:7" x14ac:dyDescent="0.25">
      <c r="A9" s="33" t="s">
        <v>330</v>
      </c>
      <c r="B9" s="32">
        <v>9062.34692</v>
      </c>
      <c r="C9" s="32">
        <v>2656.3869199999999</v>
      </c>
      <c r="E9" s="24" t="s">
        <v>582</v>
      </c>
      <c r="F9" s="26">
        <v>25079.480689999997</v>
      </c>
      <c r="G9" s="26">
        <v>12487.920689999997</v>
      </c>
    </row>
    <row r="10" spans="1:7" x14ac:dyDescent="0.25">
      <c r="A10" s="31" t="s">
        <v>724</v>
      </c>
      <c r="B10" s="32">
        <v>163403.33616000001</v>
      </c>
      <c r="C10" s="32">
        <v>74677.226159999991</v>
      </c>
      <c r="E10" s="24" t="s">
        <v>78</v>
      </c>
      <c r="F10" s="26">
        <v>72665.817450000002</v>
      </c>
      <c r="G10" s="26">
        <v>9753.2374500000078</v>
      </c>
    </row>
    <row r="11" spans="1:7" x14ac:dyDescent="0.25">
      <c r="A11" s="33" t="s">
        <v>535</v>
      </c>
      <c r="B11" s="32">
        <v>64192.976999999999</v>
      </c>
      <c r="C11" s="32">
        <v>34611.296999999999</v>
      </c>
      <c r="E11" s="24" t="s">
        <v>416</v>
      </c>
      <c r="F11" s="26">
        <v>16946.091840000001</v>
      </c>
      <c r="G11" s="26">
        <v>619.69184000000132</v>
      </c>
    </row>
    <row r="12" spans="1:7" x14ac:dyDescent="0.25">
      <c r="A12" s="33" t="s">
        <v>34</v>
      </c>
      <c r="B12" s="32">
        <v>39263.702919999996</v>
      </c>
      <c r="C12" s="32">
        <v>19975.662919999995</v>
      </c>
      <c r="E12" s="23" t="s">
        <v>724</v>
      </c>
      <c r="F12" s="26">
        <v>43917.35</v>
      </c>
      <c r="G12" s="26">
        <v>18005.870000000003</v>
      </c>
    </row>
    <row r="13" spans="1:7" x14ac:dyDescent="0.25">
      <c r="A13" s="33" t="s">
        <v>489</v>
      </c>
      <c r="B13" s="32">
        <v>27194.152039999997</v>
      </c>
      <c r="C13" s="32">
        <v>12003.372039999997</v>
      </c>
      <c r="E13" s="24" t="s">
        <v>327</v>
      </c>
      <c r="F13" s="26">
        <v>40325.31</v>
      </c>
      <c r="G13" s="26">
        <v>17626.95</v>
      </c>
    </row>
    <row r="14" spans="1:7" x14ac:dyDescent="0.25">
      <c r="A14" s="33" t="s">
        <v>454</v>
      </c>
      <c r="B14" s="32">
        <v>20672.289000000001</v>
      </c>
      <c r="C14" s="32">
        <v>9896.7990000000009</v>
      </c>
      <c r="E14" s="24" t="s">
        <v>262</v>
      </c>
      <c r="F14" s="26">
        <v>3592.04</v>
      </c>
      <c r="G14" s="26">
        <v>378.92000000000007</v>
      </c>
    </row>
    <row r="15" spans="1:7" x14ac:dyDescent="0.25">
      <c r="A15" s="33" t="s">
        <v>120</v>
      </c>
      <c r="B15" s="32">
        <v>12080.215199999999</v>
      </c>
      <c r="C15" s="32">
        <v>-1809.9048000000003</v>
      </c>
      <c r="E15" s="23" t="s">
        <v>722</v>
      </c>
      <c r="F15" s="26">
        <v>36890.866629999997</v>
      </c>
      <c r="G15" s="26">
        <v>14772.086629999998</v>
      </c>
    </row>
    <row r="16" spans="1:7" x14ac:dyDescent="0.25">
      <c r="A16" s="31" t="s">
        <v>721</v>
      </c>
      <c r="B16" s="32">
        <v>111258.32129999998</v>
      </c>
      <c r="C16" s="32">
        <v>48405.051299999992</v>
      </c>
      <c r="E16" s="24" t="s">
        <v>136</v>
      </c>
      <c r="F16" s="26">
        <v>22983.34563</v>
      </c>
      <c r="G16" s="26">
        <v>11306.565629999999</v>
      </c>
    </row>
    <row r="17" spans="1:7" x14ac:dyDescent="0.25">
      <c r="A17" s="33" t="s">
        <v>571</v>
      </c>
      <c r="B17" s="32">
        <v>50545.319219999998</v>
      </c>
      <c r="C17" s="32">
        <v>26690.819219999998</v>
      </c>
      <c r="E17" s="24" t="s">
        <v>523</v>
      </c>
      <c r="F17" s="26">
        <v>8297.4286000000011</v>
      </c>
      <c r="G17" s="26">
        <v>3780.3786000000009</v>
      </c>
    </row>
    <row r="18" spans="1:7" x14ac:dyDescent="0.25">
      <c r="A18" s="33" t="s">
        <v>112</v>
      </c>
      <c r="B18" s="32">
        <v>34139.159999999996</v>
      </c>
      <c r="C18" s="32">
        <v>12051.719999999998</v>
      </c>
      <c r="E18" s="24" t="s">
        <v>347</v>
      </c>
      <c r="F18" s="26">
        <v>5610.0923999999995</v>
      </c>
      <c r="G18" s="26">
        <v>-314.85760000000028</v>
      </c>
    </row>
    <row r="19" spans="1:7" x14ac:dyDescent="0.25">
      <c r="A19" s="33" t="s">
        <v>484</v>
      </c>
      <c r="B19" s="32">
        <v>10428.057360000001</v>
      </c>
      <c r="C19" s="32">
        <v>5243.9373600000008</v>
      </c>
      <c r="E19" s="23" t="s">
        <v>720</v>
      </c>
      <c r="F19" s="26">
        <v>32928.275000000001</v>
      </c>
      <c r="G19" s="26">
        <v>13956.375000000004</v>
      </c>
    </row>
    <row r="20" spans="1:7" x14ac:dyDescent="0.25">
      <c r="A20" s="33" t="s">
        <v>255</v>
      </c>
      <c r="B20" s="32">
        <v>9684.8756000000012</v>
      </c>
      <c r="C20" s="32">
        <v>2339.9156000000012</v>
      </c>
      <c r="E20" s="24" t="s">
        <v>501</v>
      </c>
      <c r="F20" s="26">
        <v>28856.475000000002</v>
      </c>
      <c r="G20" s="26">
        <v>13734.075000000003</v>
      </c>
    </row>
    <row r="21" spans="1:7" x14ac:dyDescent="0.25">
      <c r="A21" s="33" t="s">
        <v>143</v>
      </c>
      <c r="B21" s="32">
        <v>2642.1686999999997</v>
      </c>
      <c r="C21" s="32">
        <v>1222.1486999999997</v>
      </c>
      <c r="E21" s="24" t="s">
        <v>372</v>
      </c>
      <c r="F21" s="26">
        <v>4071.8</v>
      </c>
      <c r="G21" s="26">
        <v>222.30000000000018</v>
      </c>
    </row>
    <row r="22" spans="1:7" x14ac:dyDescent="0.25">
      <c r="A22" s="33" t="s">
        <v>189</v>
      </c>
      <c r="B22" s="32">
        <v>1952.6356799999999</v>
      </c>
      <c r="C22" s="32">
        <v>505.51567999999997</v>
      </c>
      <c r="E22" s="23" t="s">
        <v>716</v>
      </c>
      <c r="F22" s="26">
        <v>49109.391360000001</v>
      </c>
      <c r="G22" s="26">
        <v>12604.911360000002</v>
      </c>
    </row>
    <row r="23" spans="1:7" x14ac:dyDescent="0.25">
      <c r="A23" s="33" t="s">
        <v>531</v>
      </c>
      <c r="B23" s="32">
        <v>1010.3759200000001</v>
      </c>
      <c r="C23" s="32">
        <v>479.17592000000002</v>
      </c>
      <c r="E23" s="24" t="s">
        <v>576</v>
      </c>
      <c r="F23" s="26">
        <v>33071.3145</v>
      </c>
      <c r="G23" s="26">
        <v>10347.694500000001</v>
      </c>
    </row>
    <row r="24" spans="1:7" x14ac:dyDescent="0.25">
      <c r="A24" s="33" t="s">
        <v>533</v>
      </c>
      <c r="B24" s="32">
        <v>855.72881999999993</v>
      </c>
      <c r="C24" s="32">
        <v>-128.18118000000015</v>
      </c>
      <c r="E24" s="24" t="s">
        <v>228</v>
      </c>
      <c r="F24" s="26">
        <v>7854.6693599999999</v>
      </c>
      <c r="G24" s="26">
        <v>3192.54936</v>
      </c>
    </row>
    <row r="25" spans="1:7" x14ac:dyDescent="0.25">
      <c r="A25" s="23" t="s">
        <v>720</v>
      </c>
      <c r="B25" s="6">
        <v>124011.02946000001</v>
      </c>
      <c r="C25" s="6">
        <v>42010.559459999989</v>
      </c>
      <c r="E25" s="24" t="s">
        <v>252</v>
      </c>
      <c r="F25" s="26">
        <v>6684.1875</v>
      </c>
      <c r="G25" s="26">
        <v>-309.11250000000018</v>
      </c>
    </row>
    <row r="26" spans="1:7" x14ac:dyDescent="0.25">
      <c r="A26" s="24" t="s">
        <v>24</v>
      </c>
      <c r="B26" s="6">
        <v>60928.502359999999</v>
      </c>
      <c r="C26" s="6">
        <v>19655.722359999992</v>
      </c>
      <c r="E26" s="24" t="s">
        <v>129</v>
      </c>
      <c r="F26" s="26">
        <v>1499.22</v>
      </c>
      <c r="G26" s="26">
        <v>-626.22</v>
      </c>
    </row>
    <row r="27" spans="1:7" x14ac:dyDescent="0.25">
      <c r="A27" s="24" t="s">
        <v>473</v>
      </c>
      <c r="B27" s="6">
        <v>24321.57</v>
      </c>
      <c r="C27" s="6">
        <v>7889.0499999999993</v>
      </c>
      <c r="E27" s="23" t="s">
        <v>715</v>
      </c>
      <c r="F27" s="26">
        <v>35567.737920000007</v>
      </c>
      <c r="G27" s="26">
        <v>9088.9779200000085</v>
      </c>
    </row>
    <row r="28" spans="1:7" x14ac:dyDescent="0.25">
      <c r="A28" s="24" t="s">
        <v>281</v>
      </c>
      <c r="B28" s="6">
        <v>17594.028880000002</v>
      </c>
      <c r="C28" s="6">
        <v>7436.8288800000009</v>
      </c>
      <c r="E28" s="24" t="s">
        <v>153</v>
      </c>
      <c r="F28" s="26">
        <v>35567.737920000007</v>
      </c>
      <c r="G28" s="26">
        <v>9088.9779200000085</v>
      </c>
    </row>
    <row r="29" spans="1:7" x14ac:dyDescent="0.25">
      <c r="A29" s="24" t="s">
        <v>58</v>
      </c>
      <c r="B29" s="6">
        <v>10666.229420000001</v>
      </c>
      <c r="C29" s="6">
        <v>5348.0594200000014</v>
      </c>
      <c r="E29" s="23" t="s">
        <v>718</v>
      </c>
      <c r="F29" s="26">
        <v>17235.036720000004</v>
      </c>
      <c r="G29" s="26">
        <v>8593.7367200000008</v>
      </c>
    </row>
    <row r="30" spans="1:7" x14ac:dyDescent="0.25">
      <c r="A30" s="24" t="s">
        <v>89</v>
      </c>
      <c r="B30" s="6">
        <v>5930.848</v>
      </c>
      <c r="C30" s="6">
        <v>1341.4480000000003</v>
      </c>
      <c r="E30" s="24" t="s">
        <v>160</v>
      </c>
      <c r="F30" s="26">
        <v>12954.358080000002</v>
      </c>
      <c r="G30" s="26">
        <v>6616.4780800000017</v>
      </c>
    </row>
    <row r="31" spans="1:7" x14ac:dyDescent="0.25">
      <c r="A31" s="24" t="s">
        <v>74</v>
      </c>
      <c r="B31" s="6">
        <v>4569.8508000000002</v>
      </c>
      <c r="C31" s="6">
        <v>339.45080000000053</v>
      </c>
      <c r="E31" s="24" t="s">
        <v>593</v>
      </c>
      <c r="F31" s="26">
        <v>4280.6786400000001</v>
      </c>
      <c r="G31" s="26">
        <v>1977.25864</v>
      </c>
    </row>
    <row r="32" spans="1:7" x14ac:dyDescent="0.25">
      <c r="A32" s="23" t="s">
        <v>723</v>
      </c>
      <c r="B32" s="6">
        <v>145253.06365999999</v>
      </c>
      <c r="C32" s="6">
        <v>41301.123659999997</v>
      </c>
      <c r="E32" s="23" t="s">
        <v>717</v>
      </c>
      <c r="F32" s="26">
        <v>15692.094929999997</v>
      </c>
      <c r="G32" s="26">
        <v>7087.2349299999969</v>
      </c>
    </row>
    <row r="33" spans="1:7" x14ac:dyDescent="0.25">
      <c r="A33" s="24" t="s">
        <v>155</v>
      </c>
      <c r="B33" s="6">
        <v>87404.929919999995</v>
      </c>
      <c r="C33" s="6">
        <v>22992.449919999992</v>
      </c>
      <c r="E33" s="24" t="s">
        <v>444</v>
      </c>
      <c r="F33" s="26">
        <v>12955.824749999998</v>
      </c>
      <c r="G33" s="26">
        <v>6357.5847499999973</v>
      </c>
    </row>
    <row r="34" spans="1:7" x14ac:dyDescent="0.25">
      <c r="A34" s="24" t="s">
        <v>408</v>
      </c>
      <c r="B34" s="6">
        <v>19800.88896</v>
      </c>
      <c r="C34" s="6">
        <v>9437.7689599999994</v>
      </c>
      <c r="E34" s="24" t="s">
        <v>622</v>
      </c>
      <c r="F34" s="26">
        <v>2736.27018</v>
      </c>
      <c r="G34" s="26">
        <v>729.65017999999986</v>
      </c>
    </row>
    <row r="35" spans="1:7" x14ac:dyDescent="0.25">
      <c r="A35" s="24" t="s">
        <v>59</v>
      </c>
      <c r="B35" s="6">
        <v>17930.494560000003</v>
      </c>
      <c r="C35" s="6">
        <v>3071.0345600000037</v>
      </c>
      <c r="E35" s="23" t="s">
        <v>1422</v>
      </c>
      <c r="F35" s="26">
        <v>12769.38768</v>
      </c>
      <c r="G35" s="26">
        <v>6312.5076799999997</v>
      </c>
    </row>
    <row r="36" spans="1:7" x14ac:dyDescent="0.25">
      <c r="A36" s="24" t="s">
        <v>97</v>
      </c>
      <c r="B36" s="6">
        <v>5331.6696000000002</v>
      </c>
      <c r="C36" s="6">
        <v>2775.8196000000003</v>
      </c>
      <c r="E36" s="24" t="s">
        <v>644</v>
      </c>
      <c r="F36" s="26">
        <v>12769.38768</v>
      </c>
      <c r="G36" s="26">
        <v>6312.5076799999997</v>
      </c>
    </row>
    <row r="37" spans="1:7" x14ac:dyDescent="0.25">
      <c r="A37" s="24" t="s">
        <v>339</v>
      </c>
      <c r="B37" s="6">
        <v>9829.0483199999999</v>
      </c>
      <c r="C37" s="6">
        <v>1982.7283200000002</v>
      </c>
      <c r="E37" s="23" t="s">
        <v>726</v>
      </c>
      <c r="F37" s="26">
        <v>14894.903999999999</v>
      </c>
      <c r="G37" s="26">
        <v>3262.0239999999994</v>
      </c>
    </row>
    <row r="38" spans="1:7" x14ac:dyDescent="0.25">
      <c r="A38" s="24" t="s">
        <v>502</v>
      </c>
      <c r="B38" s="6">
        <v>4025.8565599999993</v>
      </c>
      <c r="C38" s="6">
        <v>806.27655999999934</v>
      </c>
      <c r="E38" s="24" t="s">
        <v>65</v>
      </c>
      <c r="F38" s="26">
        <v>14894.903999999999</v>
      </c>
      <c r="G38" s="26">
        <v>3262.0239999999994</v>
      </c>
    </row>
    <row r="39" spans="1:7" x14ac:dyDescent="0.25">
      <c r="A39" s="24" t="s">
        <v>475</v>
      </c>
      <c r="B39" s="6">
        <v>930.17574000000002</v>
      </c>
      <c r="C39" s="6">
        <v>235.04574000000002</v>
      </c>
      <c r="E39" s="23" t="s">
        <v>721</v>
      </c>
      <c r="F39" s="26">
        <v>20293.588200000002</v>
      </c>
      <c r="G39" s="26">
        <v>1823.808199999999</v>
      </c>
    </row>
    <row r="40" spans="1:7" x14ac:dyDescent="0.25">
      <c r="A40" s="23" t="s">
        <v>713</v>
      </c>
      <c r="B40" s="6">
        <v>95457.117249999996</v>
      </c>
      <c r="C40" s="6">
        <v>40304.007249999995</v>
      </c>
      <c r="E40" s="24" t="s">
        <v>472</v>
      </c>
      <c r="F40" s="26">
        <v>7643.2649999999994</v>
      </c>
      <c r="G40" s="26">
        <v>3973.7249999999995</v>
      </c>
    </row>
    <row r="41" spans="1:7" x14ac:dyDescent="0.25">
      <c r="A41" s="24" t="s">
        <v>617</v>
      </c>
      <c r="B41" s="6">
        <v>39810.328000000001</v>
      </c>
      <c r="C41" s="6">
        <v>20355.867999999999</v>
      </c>
      <c r="E41" s="24" t="s">
        <v>41</v>
      </c>
      <c r="F41" s="26">
        <v>1756.6999999999998</v>
      </c>
      <c r="G41" s="26">
        <v>580.29999999999973</v>
      </c>
    </row>
    <row r="42" spans="1:7" x14ac:dyDescent="0.25">
      <c r="A42" s="24" t="s">
        <v>443</v>
      </c>
      <c r="B42" s="6">
        <v>41138.261999999995</v>
      </c>
      <c r="C42" s="6">
        <v>18674.741999999995</v>
      </c>
      <c r="E42" s="24" t="s">
        <v>430</v>
      </c>
      <c r="F42" s="26">
        <v>10893.6232</v>
      </c>
      <c r="G42" s="26">
        <v>-2730.2168000000001</v>
      </c>
    </row>
    <row r="43" spans="1:7" x14ac:dyDescent="0.25">
      <c r="A43" s="24" t="s">
        <v>361</v>
      </c>
      <c r="B43" s="6">
        <v>2206.8000000000002</v>
      </c>
      <c r="C43" s="6">
        <v>1040.7000000000003</v>
      </c>
      <c r="E43" s="23" t="s">
        <v>714</v>
      </c>
      <c r="F43" s="26">
        <v>15694.479579999999</v>
      </c>
      <c r="G43" s="26">
        <v>1418.3595800000003</v>
      </c>
    </row>
    <row r="44" spans="1:7" x14ac:dyDescent="0.25">
      <c r="A44" s="24" t="s">
        <v>208</v>
      </c>
      <c r="B44" s="6">
        <v>3928.3797600000003</v>
      </c>
      <c r="C44" s="6">
        <v>931.85976000000028</v>
      </c>
      <c r="E44" s="24" t="s">
        <v>94</v>
      </c>
      <c r="F44" s="26">
        <v>4877.1379800000004</v>
      </c>
      <c r="G44" s="26">
        <v>1509.0979800000005</v>
      </c>
    </row>
    <row r="45" spans="1:7" x14ac:dyDescent="0.25">
      <c r="A45" s="24" t="s">
        <v>121</v>
      </c>
      <c r="B45" s="6">
        <v>518.65436999999997</v>
      </c>
      <c r="C45" s="6">
        <v>17.504369999999994</v>
      </c>
      <c r="E45" s="24" t="s">
        <v>138</v>
      </c>
      <c r="F45" s="26">
        <v>10817.3416</v>
      </c>
      <c r="G45" s="26">
        <v>-90.738400000000183</v>
      </c>
    </row>
    <row r="46" spans="1:7" x14ac:dyDescent="0.25">
      <c r="A46" s="24" t="s">
        <v>471</v>
      </c>
      <c r="B46" s="6">
        <v>7854.6931199999999</v>
      </c>
      <c r="C46" s="6">
        <v>-716.66688000000067</v>
      </c>
      <c r="E46" s="23" t="s">
        <v>723</v>
      </c>
      <c r="F46" s="26">
        <v>16306.59375</v>
      </c>
      <c r="G46" s="26">
        <v>1037.7937500000007</v>
      </c>
    </row>
    <row r="47" spans="1:7" x14ac:dyDescent="0.25">
      <c r="A47" s="23" t="s">
        <v>718</v>
      </c>
      <c r="B47" s="6">
        <v>74424.323960000009</v>
      </c>
      <c r="C47" s="6">
        <v>32060.363960000006</v>
      </c>
      <c r="E47" s="24" t="s">
        <v>331</v>
      </c>
      <c r="F47" s="26">
        <v>16306.59375</v>
      </c>
      <c r="G47" s="26">
        <v>1037.7937500000007</v>
      </c>
    </row>
    <row r="48" spans="1:7" x14ac:dyDescent="0.25">
      <c r="A48" s="24" t="s">
        <v>334</v>
      </c>
      <c r="B48" s="6">
        <v>22380.204000000002</v>
      </c>
      <c r="C48" s="6">
        <v>12511.704000000002</v>
      </c>
      <c r="E48" s="23" t="s">
        <v>713</v>
      </c>
      <c r="F48" s="26">
        <v>1122.0896000000002</v>
      </c>
      <c r="G48" s="26">
        <v>568.58960000000025</v>
      </c>
    </row>
    <row r="49" spans="1:7" x14ac:dyDescent="0.25">
      <c r="A49" s="24" t="s">
        <v>274</v>
      </c>
      <c r="B49" s="6">
        <v>22882.675440000003</v>
      </c>
      <c r="C49" s="6">
        <v>9441.9554400000034</v>
      </c>
      <c r="E49" s="24" t="s">
        <v>368</v>
      </c>
      <c r="F49" s="26">
        <v>1122.0896000000002</v>
      </c>
      <c r="G49" s="26">
        <v>568.58960000000025</v>
      </c>
    </row>
    <row r="50" spans="1:7" x14ac:dyDescent="0.25">
      <c r="A50" s="24" t="s">
        <v>36</v>
      </c>
      <c r="B50" s="6">
        <v>19903.585040000002</v>
      </c>
      <c r="C50" s="6">
        <v>9254.0650400000013</v>
      </c>
      <c r="E50" s="22" t="s">
        <v>1460</v>
      </c>
      <c r="F50" s="26"/>
      <c r="G50" s="26"/>
    </row>
    <row r="51" spans="1:7" x14ac:dyDescent="0.25">
      <c r="A51" s="24" t="s">
        <v>203</v>
      </c>
      <c r="B51" s="6">
        <v>8590.7094000000016</v>
      </c>
      <c r="C51" s="6">
        <v>1059.4094000000005</v>
      </c>
      <c r="E51" s="23" t="s">
        <v>717</v>
      </c>
      <c r="F51" s="26">
        <v>80365.452389999991</v>
      </c>
      <c r="G51" s="26">
        <v>31621.42239</v>
      </c>
    </row>
    <row r="52" spans="1:7" x14ac:dyDescent="0.25">
      <c r="A52" s="24" t="s">
        <v>244</v>
      </c>
      <c r="B52" s="6">
        <v>667.15008</v>
      </c>
      <c r="C52" s="6">
        <v>-206.76991999999996</v>
      </c>
      <c r="E52" s="24" t="s">
        <v>456</v>
      </c>
      <c r="F52" s="26">
        <v>31513.085009999999</v>
      </c>
      <c r="G52" s="26">
        <v>16530.425009999999</v>
      </c>
    </row>
    <row r="53" spans="1:7" x14ac:dyDescent="0.25">
      <c r="A53" s="23" t="s">
        <v>716</v>
      </c>
      <c r="B53" s="6">
        <v>72553.931359999988</v>
      </c>
      <c r="C53" s="6">
        <v>30954.451359999995</v>
      </c>
      <c r="E53" s="24" t="s">
        <v>301</v>
      </c>
      <c r="F53" s="26">
        <v>20028.787380000002</v>
      </c>
      <c r="G53" s="26">
        <v>10428.937380000001</v>
      </c>
    </row>
    <row r="54" spans="1:7" x14ac:dyDescent="0.25">
      <c r="A54" s="24" t="s">
        <v>466</v>
      </c>
      <c r="B54" s="6">
        <v>23694.405119999999</v>
      </c>
      <c r="C54" s="6">
        <v>12880.125119999999</v>
      </c>
      <c r="E54" s="24" t="s">
        <v>163</v>
      </c>
      <c r="F54" s="26">
        <v>14877.464000000002</v>
      </c>
      <c r="G54" s="26">
        <v>5456.7140000000018</v>
      </c>
    </row>
    <row r="55" spans="1:7" x14ac:dyDescent="0.25">
      <c r="A55" s="24" t="s">
        <v>514</v>
      </c>
      <c r="B55" s="6">
        <v>20332.775539999999</v>
      </c>
      <c r="C55" s="6">
        <v>9874.6355399999993</v>
      </c>
      <c r="E55" s="24" t="s">
        <v>90</v>
      </c>
      <c r="F55" s="26">
        <v>6874.4828600000001</v>
      </c>
      <c r="G55" s="26">
        <v>1095.0028600000005</v>
      </c>
    </row>
    <row r="56" spans="1:7" x14ac:dyDescent="0.25">
      <c r="A56" s="24" t="s">
        <v>342</v>
      </c>
      <c r="B56" s="6">
        <v>8382.5279999999984</v>
      </c>
      <c r="C56" s="6">
        <v>4544.8279999999986</v>
      </c>
      <c r="E56" s="24" t="s">
        <v>619</v>
      </c>
      <c r="F56" s="26">
        <v>7071.6331400000008</v>
      </c>
      <c r="G56" s="26">
        <v>-1889.6568600000001</v>
      </c>
    </row>
    <row r="57" spans="1:7" x14ac:dyDescent="0.25">
      <c r="A57" s="24" t="s">
        <v>401</v>
      </c>
      <c r="B57" s="6">
        <v>19773.362699999998</v>
      </c>
      <c r="C57" s="6">
        <v>3477.5026999999973</v>
      </c>
      <c r="E57" s="23" t="s">
        <v>725</v>
      </c>
      <c r="F57" s="26">
        <v>55998.738100000002</v>
      </c>
      <c r="G57" s="26">
        <v>24748.138099999996</v>
      </c>
    </row>
    <row r="58" spans="1:7" x14ac:dyDescent="0.25">
      <c r="A58" s="24" t="s">
        <v>600</v>
      </c>
      <c r="B58" s="6">
        <v>370.86</v>
      </c>
      <c r="C58" s="6">
        <v>177.36</v>
      </c>
      <c r="E58" s="24" t="s">
        <v>164</v>
      </c>
      <c r="F58" s="26">
        <v>42495.805439999996</v>
      </c>
      <c r="G58" s="26">
        <v>19149.805439999996</v>
      </c>
    </row>
    <row r="59" spans="1:7" x14ac:dyDescent="0.25">
      <c r="A59" s="23" t="s">
        <v>712</v>
      </c>
      <c r="B59" s="6">
        <v>80102.70117</v>
      </c>
      <c r="C59" s="6">
        <v>28420.191169999998</v>
      </c>
      <c r="E59" s="24" t="s">
        <v>345</v>
      </c>
      <c r="F59" s="26">
        <v>8764.4065599999994</v>
      </c>
      <c r="G59" s="26">
        <v>3237.4565599999996</v>
      </c>
    </row>
    <row r="60" spans="1:7" x14ac:dyDescent="0.25">
      <c r="A60" s="24" t="s">
        <v>388</v>
      </c>
      <c r="B60" s="6">
        <v>31005.24768</v>
      </c>
      <c r="C60" s="6">
        <v>13194.487679999998</v>
      </c>
      <c r="E60" s="24" t="s">
        <v>495</v>
      </c>
      <c r="F60" s="26">
        <v>4738.5261</v>
      </c>
      <c r="G60" s="26">
        <v>2360.8761000000004</v>
      </c>
    </row>
    <row r="61" spans="1:7" x14ac:dyDescent="0.25">
      <c r="A61" s="24" t="s">
        <v>314</v>
      </c>
      <c r="B61" s="6">
        <v>25577.274079999999</v>
      </c>
      <c r="C61" s="6">
        <v>9182.3640799999994</v>
      </c>
      <c r="E61" s="23" t="s">
        <v>712</v>
      </c>
      <c r="F61" s="26">
        <v>51941.755780000007</v>
      </c>
      <c r="G61" s="26">
        <v>23742.495780000005</v>
      </c>
    </row>
    <row r="62" spans="1:7" x14ac:dyDescent="0.25">
      <c r="A62" s="24" t="s">
        <v>82</v>
      </c>
      <c r="B62" s="6">
        <v>14287.896349999999</v>
      </c>
      <c r="C62" s="6">
        <v>5527.4563499999986</v>
      </c>
      <c r="E62" s="24" t="s">
        <v>32</v>
      </c>
      <c r="F62" s="26">
        <v>35367.211040000002</v>
      </c>
      <c r="G62" s="26">
        <v>15758.091040000003</v>
      </c>
    </row>
    <row r="63" spans="1:7" x14ac:dyDescent="0.25">
      <c r="A63" s="24" t="s">
        <v>524</v>
      </c>
      <c r="B63" s="6">
        <v>9232.2830599999998</v>
      </c>
      <c r="C63" s="6">
        <v>515.88306000000011</v>
      </c>
      <c r="E63" s="24" t="s">
        <v>513</v>
      </c>
      <c r="F63" s="26">
        <v>16574.544740000001</v>
      </c>
      <c r="G63" s="26">
        <v>7984.4047400000018</v>
      </c>
    </row>
    <row r="64" spans="1:7" x14ac:dyDescent="0.25">
      <c r="A64" s="23" t="s">
        <v>719</v>
      </c>
      <c r="B64" s="6">
        <v>64234.720739999997</v>
      </c>
      <c r="C64" s="6">
        <v>27204.02074</v>
      </c>
      <c r="E64" s="23" t="s">
        <v>726</v>
      </c>
      <c r="F64" s="26">
        <v>62569.144809999998</v>
      </c>
      <c r="G64" s="26">
        <v>20566.814809999996</v>
      </c>
    </row>
    <row r="65" spans="1:7" x14ac:dyDescent="0.25">
      <c r="A65" s="24" t="s">
        <v>188</v>
      </c>
      <c r="B65" s="6">
        <v>31556.187599999997</v>
      </c>
      <c r="C65" s="6">
        <v>12598.587599999999</v>
      </c>
      <c r="E65" s="24" t="s">
        <v>412</v>
      </c>
      <c r="F65" s="26">
        <v>13185.543</v>
      </c>
      <c r="G65" s="26">
        <v>6634.0429999999997</v>
      </c>
    </row>
    <row r="66" spans="1:7" x14ac:dyDescent="0.25">
      <c r="A66" s="24" t="s">
        <v>275</v>
      </c>
      <c r="B66" s="6">
        <v>17964.4038</v>
      </c>
      <c r="C66" s="6">
        <v>7663.3438000000006</v>
      </c>
      <c r="E66" s="24" t="s">
        <v>186</v>
      </c>
      <c r="F66" s="26">
        <v>8928.9795999999988</v>
      </c>
      <c r="G66" s="26">
        <v>4700.8295999999991</v>
      </c>
    </row>
    <row r="67" spans="1:7" x14ac:dyDescent="0.25">
      <c r="A67" s="24" t="s">
        <v>23</v>
      </c>
      <c r="B67" s="6">
        <v>14714.12934</v>
      </c>
      <c r="C67" s="6">
        <v>6942.0893400000004</v>
      </c>
      <c r="E67" s="24" t="s">
        <v>530</v>
      </c>
      <c r="F67" s="26">
        <v>22201.762229999997</v>
      </c>
      <c r="G67" s="26">
        <v>4675.2522299999982</v>
      </c>
    </row>
    <row r="68" spans="1:7" x14ac:dyDescent="0.25">
      <c r="A68" s="23" t="s">
        <v>726</v>
      </c>
      <c r="B68" s="6">
        <v>53350.140460000002</v>
      </c>
      <c r="C68" s="6">
        <v>20070.840460000003</v>
      </c>
      <c r="E68" s="24" t="s">
        <v>413</v>
      </c>
      <c r="F68" s="26">
        <v>12972.00222</v>
      </c>
      <c r="G68" s="26">
        <v>2404.4722199999997</v>
      </c>
    </row>
    <row r="69" spans="1:7" x14ac:dyDescent="0.25">
      <c r="A69" s="24" t="s">
        <v>570</v>
      </c>
      <c r="B69" s="6">
        <v>46450.26</v>
      </c>
      <c r="C69" s="6">
        <v>20471.22</v>
      </c>
      <c r="E69" s="24" t="s">
        <v>247</v>
      </c>
      <c r="F69" s="26">
        <v>5280.8577599999999</v>
      </c>
      <c r="G69" s="26">
        <v>2152.21776</v>
      </c>
    </row>
    <row r="70" spans="1:7" x14ac:dyDescent="0.25">
      <c r="A70" s="24" t="s">
        <v>425</v>
      </c>
      <c r="B70" s="6">
        <v>6899.8804600000003</v>
      </c>
      <c r="C70" s="6">
        <v>-400.379539999999</v>
      </c>
      <c r="E70" s="23" t="s">
        <v>713</v>
      </c>
      <c r="F70" s="26">
        <v>61907.735390000002</v>
      </c>
      <c r="G70" s="26">
        <v>18635.865389999999</v>
      </c>
    </row>
    <row r="71" spans="1:7" x14ac:dyDescent="0.25">
      <c r="A71" s="23" t="s">
        <v>715</v>
      </c>
      <c r="B71" s="6">
        <v>33728.501009999993</v>
      </c>
      <c r="C71" s="6">
        <v>14702.991009999994</v>
      </c>
      <c r="E71" s="24" t="s">
        <v>338</v>
      </c>
      <c r="F71" s="26">
        <v>26015.449459999996</v>
      </c>
      <c r="G71" s="26">
        <v>14901.819459999995</v>
      </c>
    </row>
    <row r="72" spans="1:7" x14ac:dyDescent="0.25">
      <c r="A72" s="24" t="s">
        <v>468</v>
      </c>
      <c r="B72" s="6">
        <v>23132.398349999996</v>
      </c>
      <c r="C72" s="6">
        <v>10922.848349999995</v>
      </c>
      <c r="E72" s="24" t="s">
        <v>382</v>
      </c>
      <c r="F72" s="26">
        <v>13784.586000000001</v>
      </c>
      <c r="G72" s="26">
        <v>7386.7860000000019</v>
      </c>
    </row>
    <row r="73" spans="1:7" x14ac:dyDescent="0.25">
      <c r="A73" s="24" t="s">
        <v>400</v>
      </c>
      <c r="B73" s="6">
        <v>9586.8057599999993</v>
      </c>
      <c r="C73" s="6">
        <v>3824.6457599999994</v>
      </c>
      <c r="E73" s="24" t="s">
        <v>254</v>
      </c>
      <c r="F73" s="26">
        <v>4436.6291200000005</v>
      </c>
      <c r="G73" s="26">
        <v>1354.0691200000006</v>
      </c>
    </row>
    <row r="74" spans="1:7" x14ac:dyDescent="0.25">
      <c r="A74" s="24" t="s">
        <v>490</v>
      </c>
      <c r="B74" s="6">
        <v>1009.2969000000002</v>
      </c>
      <c r="C74" s="6">
        <v>-44.50309999999979</v>
      </c>
      <c r="E74" s="24" t="s">
        <v>161</v>
      </c>
      <c r="F74" s="26">
        <v>3562.9028999999996</v>
      </c>
      <c r="G74" s="26">
        <v>-1785.8571000000006</v>
      </c>
    </row>
    <row r="75" spans="1:7" x14ac:dyDescent="0.25">
      <c r="A75" s="23" t="s">
        <v>722</v>
      </c>
      <c r="B75" s="6">
        <v>94949.116160000005</v>
      </c>
      <c r="C75" s="6">
        <v>10854.95616</v>
      </c>
      <c r="E75" s="24" t="s">
        <v>402</v>
      </c>
      <c r="F75" s="26">
        <v>14108.16791</v>
      </c>
      <c r="G75" s="26">
        <v>-3220.9520899999989</v>
      </c>
    </row>
    <row r="76" spans="1:7" x14ac:dyDescent="0.25">
      <c r="A76" s="24" t="s">
        <v>38</v>
      </c>
      <c r="B76" s="6">
        <v>20225.2248</v>
      </c>
      <c r="C76" s="6">
        <v>10028.504800000001</v>
      </c>
      <c r="E76" s="23" t="s">
        <v>723</v>
      </c>
      <c r="F76" s="26">
        <v>69862.391999999993</v>
      </c>
      <c r="G76" s="26">
        <v>16456.452000000005</v>
      </c>
    </row>
    <row r="77" spans="1:7" x14ac:dyDescent="0.25">
      <c r="A77" s="24" t="s">
        <v>573</v>
      </c>
      <c r="B77" s="6">
        <v>13108.78584</v>
      </c>
      <c r="C77" s="6">
        <v>5392.0058400000007</v>
      </c>
      <c r="E77" s="24" t="s">
        <v>233</v>
      </c>
      <c r="F77" s="26">
        <v>28211.92124</v>
      </c>
      <c r="G77" s="26">
        <v>12346.561240000001</v>
      </c>
    </row>
    <row r="78" spans="1:7" x14ac:dyDescent="0.25">
      <c r="A78" s="24" t="s">
        <v>503</v>
      </c>
      <c r="B78" s="6">
        <v>9614.4403999999995</v>
      </c>
      <c r="C78" s="6">
        <v>3748.4403999999995</v>
      </c>
      <c r="E78" s="24" t="s">
        <v>209</v>
      </c>
      <c r="F78" s="26">
        <v>31191.64716</v>
      </c>
      <c r="G78" s="26">
        <v>4994.4471599999997</v>
      </c>
    </row>
    <row r="79" spans="1:7" x14ac:dyDescent="0.25">
      <c r="A79" s="24" t="s">
        <v>508</v>
      </c>
      <c r="B79" s="6">
        <v>11859.695119999998</v>
      </c>
      <c r="C79" s="6">
        <v>3024.3151199999993</v>
      </c>
      <c r="E79" s="24" t="s">
        <v>246</v>
      </c>
      <c r="F79" s="26">
        <v>2879.9836</v>
      </c>
      <c r="G79" s="26">
        <v>903.68360000000007</v>
      </c>
    </row>
    <row r="80" spans="1:7" x14ac:dyDescent="0.25">
      <c r="A80" s="24" t="s">
        <v>409</v>
      </c>
      <c r="B80" s="6">
        <v>14431.738420000001</v>
      </c>
      <c r="C80" s="6">
        <v>2013.3384200000019</v>
      </c>
      <c r="E80" s="24" t="s">
        <v>29</v>
      </c>
      <c r="F80" s="26">
        <v>7578.84</v>
      </c>
      <c r="G80" s="26">
        <v>-1788.2399999999998</v>
      </c>
    </row>
    <row r="81" spans="1:7" x14ac:dyDescent="0.25">
      <c r="A81" s="24" t="s">
        <v>321</v>
      </c>
      <c r="B81" s="6">
        <v>3644.3212800000006</v>
      </c>
      <c r="C81" s="6">
        <v>580.64128000000073</v>
      </c>
      <c r="E81" s="23" t="s">
        <v>722</v>
      </c>
      <c r="F81" s="26">
        <v>24522.023450000001</v>
      </c>
      <c r="G81" s="26">
        <v>11013.063450000001</v>
      </c>
    </row>
    <row r="82" spans="1:7" x14ac:dyDescent="0.25">
      <c r="A82" s="24" t="s">
        <v>399</v>
      </c>
      <c r="B82" s="6">
        <v>22064.910300000003</v>
      </c>
      <c r="C82" s="6">
        <v>-13932.289700000001</v>
      </c>
      <c r="E82" s="24" t="s">
        <v>264</v>
      </c>
      <c r="F82" s="26">
        <v>12186.368600000002</v>
      </c>
      <c r="G82" s="26">
        <v>5705.2086000000018</v>
      </c>
    </row>
    <row r="83" spans="1:7" x14ac:dyDescent="0.25">
      <c r="A83" s="23" t="s">
        <v>714</v>
      </c>
      <c r="B83" s="6">
        <v>879.05840000000001</v>
      </c>
      <c r="C83" s="6">
        <v>60.978399999999965</v>
      </c>
      <c r="E83" s="24" t="s">
        <v>119</v>
      </c>
      <c r="F83" s="26">
        <v>12335.654849999999</v>
      </c>
      <c r="G83" s="26">
        <v>5307.8548499999997</v>
      </c>
    </row>
    <row r="84" spans="1:7" x14ac:dyDescent="0.25">
      <c r="A84" s="24" t="s">
        <v>325</v>
      </c>
      <c r="B84" s="6">
        <v>879.05840000000001</v>
      </c>
      <c r="C84" s="6">
        <v>60.978399999999965</v>
      </c>
      <c r="E84" s="23" t="s">
        <v>720</v>
      </c>
      <c r="F84" s="26">
        <v>85721.571989999997</v>
      </c>
      <c r="G84" s="26">
        <v>10863.921989999988</v>
      </c>
    </row>
    <row r="85" spans="1:7" x14ac:dyDescent="0.25">
      <c r="A85" s="23" t="s">
        <v>725</v>
      </c>
      <c r="B85" s="6">
        <v>12413.98458</v>
      </c>
      <c r="C85" s="6">
        <v>-921.67541999999958</v>
      </c>
      <c r="E85" s="24" t="s">
        <v>597</v>
      </c>
      <c r="F85" s="26">
        <v>40563.321749999996</v>
      </c>
      <c r="G85" s="26">
        <v>11831.751749999996</v>
      </c>
    </row>
    <row r="86" spans="1:7" x14ac:dyDescent="0.25">
      <c r="A86" s="24" t="s">
        <v>182</v>
      </c>
      <c r="B86" s="6">
        <v>12413.98458</v>
      </c>
      <c r="C86" s="6">
        <v>-921.67541999999958</v>
      </c>
      <c r="E86" s="24" t="s">
        <v>561</v>
      </c>
      <c r="F86" s="26">
        <v>15530.929919999999</v>
      </c>
      <c r="G86" s="26">
        <v>5138.6899199999989</v>
      </c>
    </row>
    <row r="87" spans="1:7" x14ac:dyDescent="0.25">
      <c r="A87" s="22" t="s">
        <v>1458</v>
      </c>
      <c r="C87" s="6"/>
      <c r="E87" s="24" t="s">
        <v>437</v>
      </c>
      <c r="F87" s="26">
        <v>29627.320319999999</v>
      </c>
      <c r="G87" s="26">
        <v>-6106.5196800000049</v>
      </c>
    </row>
    <row r="88" spans="1:7" x14ac:dyDescent="0.25">
      <c r="A88" s="23" t="s">
        <v>713</v>
      </c>
      <c r="B88" s="6">
        <v>184216.55757</v>
      </c>
      <c r="C88" s="6">
        <v>69885.537570000015</v>
      </c>
      <c r="E88" s="23" t="s">
        <v>718</v>
      </c>
      <c r="F88" s="26">
        <v>21664.440000000002</v>
      </c>
      <c r="G88" s="26">
        <v>9942.4500000000007</v>
      </c>
    </row>
    <row r="89" spans="1:7" x14ac:dyDescent="0.25">
      <c r="A89" s="24" t="s">
        <v>360</v>
      </c>
      <c r="B89" s="6">
        <v>79082.507010000001</v>
      </c>
      <c r="C89" s="6">
        <v>36649.677010000007</v>
      </c>
      <c r="E89" s="24" t="s">
        <v>458</v>
      </c>
      <c r="F89" s="26">
        <v>21664.440000000002</v>
      </c>
      <c r="G89" s="26">
        <v>9942.4500000000007</v>
      </c>
    </row>
    <row r="90" spans="1:7" x14ac:dyDescent="0.25">
      <c r="A90" s="24" t="s">
        <v>492</v>
      </c>
      <c r="B90" s="6">
        <v>41914.215840000004</v>
      </c>
      <c r="C90" s="6">
        <v>20094.585840000003</v>
      </c>
      <c r="E90" s="23" t="s">
        <v>719</v>
      </c>
      <c r="F90" s="26">
        <v>29651.573520000002</v>
      </c>
      <c r="G90" s="26">
        <v>9647.153519999998</v>
      </c>
    </row>
    <row r="91" spans="1:7" x14ac:dyDescent="0.25">
      <c r="A91" s="24" t="s">
        <v>35</v>
      </c>
      <c r="B91" s="6">
        <v>23782.310720000001</v>
      </c>
      <c r="C91" s="6">
        <v>13321.51072</v>
      </c>
      <c r="E91" s="24" t="s">
        <v>76</v>
      </c>
      <c r="F91" s="26">
        <v>27701.570400000001</v>
      </c>
      <c r="G91" s="26">
        <v>10059.770399999998</v>
      </c>
    </row>
    <row r="92" spans="1:7" x14ac:dyDescent="0.25">
      <c r="A92" s="24" t="s">
        <v>534</v>
      </c>
      <c r="B92" s="6">
        <v>7399.4832000000006</v>
      </c>
      <c r="C92" s="6">
        <v>1025.2031999999999</v>
      </c>
      <c r="E92" s="24" t="s">
        <v>448</v>
      </c>
      <c r="F92" s="26">
        <v>1950.0031200000001</v>
      </c>
      <c r="G92" s="26">
        <v>-412.61687999999981</v>
      </c>
    </row>
    <row r="93" spans="1:7" x14ac:dyDescent="0.25">
      <c r="A93" s="24" t="s">
        <v>478</v>
      </c>
      <c r="B93" s="6">
        <v>1808.04592</v>
      </c>
      <c r="C93" s="6">
        <v>706.32592</v>
      </c>
      <c r="E93" s="23" t="s">
        <v>716</v>
      </c>
      <c r="F93" s="26">
        <v>28316.486249999998</v>
      </c>
      <c r="G93" s="26">
        <v>1508.2362499999958</v>
      </c>
    </row>
    <row r="94" spans="1:7" x14ac:dyDescent="0.25">
      <c r="A94" s="24" t="s">
        <v>636</v>
      </c>
      <c r="B94" s="6">
        <v>30229.994880000002</v>
      </c>
      <c r="C94" s="6">
        <v>-1911.76512</v>
      </c>
      <c r="E94" s="24" t="s">
        <v>222</v>
      </c>
      <c r="F94" s="26">
        <v>15825.399369999997</v>
      </c>
      <c r="G94" s="26">
        <v>2093.1093699999965</v>
      </c>
    </row>
    <row r="95" spans="1:7" x14ac:dyDescent="0.25">
      <c r="A95" s="23" t="s">
        <v>717</v>
      </c>
      <c r="B95" s="6">
        <v>161745.93388999999</v>
      </c>
      <c r="C95" s="6">
        <v>63954.353889999984</v>
      </c>
      <c r="E95" s="24" t="s">
        <v>195</v>
      </c>
      <c r="F95" s="26">
        <v>18.659839999999999</v>
      </c>
      <c r="G95" s="26">
        <v>-3.3401600000000009</v>
      </c>
    </row>
    <row r="96" spans="1:7" x14ac:dyDescent="0.25">
      <c r="A96" s="24" t="s">
        <v>237</v>
      </c>
      <c r="B96" s="6">
        <v>66988.771199999988</v>
      </c>
      <c r="C96" s="6">
        <v>38215.171199999982</v>
      </c>
      <c r="E96" s="24" t="s">
        <v>226</v>
      </c>
      <c r="F96" s="26">
        <v>6984.8246399999998</v>
      </c>
      <c r="G96" s="26">
        <v>-12.25536000000011</v>
      </c>
    </row>
    <row r="97" spans="1:7" x14ac:dyDescent="0.25">
      <c r="A97" s="24" t="s">
        <v>552</v>
      </c>
      <c r="B97" s="6">
        <v>20430.771599999996</v>
      </c>
      <c r="C97" s="6">
        <v>11241.921599999996</v>
      </c>
      <c r="E97" s="24" t="s">
        <v>109</v>
      </c>
      <c r="F97" s="26">
        <v>5487.6023999999998</v>
      </c>
      <c r="G97" s="26">
        <v>-569.27760000000035</v>
      </c>
    </row>
    <row r="98" spans="1:7" x14ac:dyDescent="0.25">
      <c r="A98" s="24" t="s">
        <v>159</v>
      </c>
      <c r="B98" s="6">
        <v>25672.127039999999</v>
      </c>
      <c r="C98" s="6">
        <v>9464.3270399999983</v>
      </c>
      <c r="E98" s="23" t="s">
        <v>714</v>
      </c>
      <c r="F98" s="26">
        <v>1938.7944</v>
      </c>
      <c r="G98" s="26">
        <v>457.80439999999987</v>
      </c>
    </row>
    <row r="99" spans="1:7" x14ac:dyDescent="0.25">
      <c r="A99" s="24" t="s">
        <v>64</v>
      </c>
      <c r="B99" s="6">
        <v>34444.462359999998</v>
      </c>
      <c r="C99" s="6">
        <v>5766.142359999998</v>
      </c>
      <c r="E99" s="24" t="s">
        <v>634</v>
      </c>
      <c r="F99" s="26">
        <v>1030.7574</v>
      </c>
      <c r="G99" s="26">
        <v>277.66739999999993</v>
      </c>
    </row>
    <row r="100" spans="1:7" x14ac:dyDescent="0.25">
      <c r="A100" s="24" t="s">
        <v>220</v>
      </c>
      <c r="B100" s="6">
        <v>6702.3501999999999</v>
      </c>
      <c r="C100" s="6">
        <v>1616.3301999999994</v>
      </c>
      <c r="E100" s="24" t="s">
        <v>235</v>
      </c>
      <c r="F100" s="26">
        <v>908.03700000000003</v>
      </c>
      <c r="G100" s="26">
        <v>180.13699999999994</v>
      </c>
    </row>
    <row r="101" spans="1:7" x14ac:dyDescent="0.25">
      <c r="A101" s="24" t="s">
        <v>506</v>
      </c>
      <c r="B101" s="6">
        <v>7507.4514899999995</v>
      </c>
      <c r="C101" s="6">
        <v>-2349.5385100000003</v>
      </c>
      <c r="E101" s="23" t="s">
        <v>724</v>
      </c>
      <c r="F101" s="26">
        <v>49636.103999999999</v>
      </c>
      <c r="G101" s="26">
        <v>-3029.3660000000036</v>
      </c>
    </row>
    <row r="102" spans="1:7" x14ac:dyDescent="0.25">
      <c r="A102" s="23" t="s">
        <v>722</v>
      </c>
      <c r="B102" s="6">
        <v>146303.06142000001</v>
      </c>
      <c r="C102" s="6">
        <v>59182.771420000005</v>
      </c>
      <c r="E102" s="24" t="s">
        <v>250</v>
      </c>
      <c r="F102" s="26">
        <v>37038.581760000001</v>
      </c>
      <c r="G102" s="26">
        <v>4902.8217599999989</v>
      </c>
    </row>
    <row r="103" spans="1:7" x14ac:dyDescent="0.25">
      <c r="A103" s="24" t="s">
        <v>251</v>
      </c>
      <c r="B103" s="6">
        <v>139277.83032000001</v>
      </c>
      <c r="C103" s="6">
        <v>56019.54032</v>
      </c>
      <c r="E103" s="24" t="s">
        <v>279</v>
      </c>
      <c r="F103" s="26">
        <v>12597.52224</v>
      </c>
      <c r="G103" s="26">
        <v>-7932.1877600000025</v>
      </c>
    </row>
    <row r="104" spans="1:7" x14ac:dyDescent="0.25">
      <c r="A104" s="24" t="s">
        <v>417</v>
      </c>
      <c r="B104" s="6">
        <v>5250.4239000000007</v>
      </c>
      <c r="C104" s="6">
        <v>2742.9239000000007</v>
      </c>
      <c r="E104" s="23" t="s">
        <v>721</v>
      </c>
      <c r="F104" s="26">
        <v>37063.217380000002</v>
      </c>
      <c r="G104" s="26">
        <v>-3233.8626199999962</v>
      </c>
    </row>
    <row r="105" spans="1:7" x14ac:dyDescent="0.25">
      <c r="A105" s="24" t="s">
        <v>225</v>
      </c>
      <c r="B105" s="6">
        <v>1774.8072</v>
      </c>
      <c r="C105" s="6">
        <v>420.30719999999997</v>
      </c>
      <c r="E105" s="24" t="s">
        <v>263</v>
      </c>
      <c r="F105" s="26">
        <v>11813.604160000001</v>
      </c>
      <c r="G105" s="26">
        <v>2109.6841600000007</v>
      </c>
    </row>
    <row r="106" spans="1:7" x14ac:dyDescent="0.25">
      <c r="A106" s="23" t="s">
        <v>1422</v>
      </c>
      <c r="B106" s="6">
        <v>128229.556</v>
      </c>
      <c r="C106" s="6">
        <v>55690.235999999997</v>
      </c>
      <c r="E106" s="24" t="s">
        <v>511</v>
      </c>
      <c r="F106" s="26">
        <v>25249.613219999999</v>
      </c>
      <c r="G106" s="26">
        <v>-5343.5467799999969</v>
      </c>
    </row>
    <row r="107" spans="1:7" x14ac:dyDescent="0.25">
      <c r="A107" s="24" t="s">
        <v>436</v>
      </c>
      <c r="B107" s="6">
        <v>102122.94203999999</v>
      </c>
      <c r="C107" s="6">
        <v>46964.342039999996</v>
      </c>
      <c r="E107" s="22" t="s">
        <v>1454</v>
      </c>
      <c r="F107" s="26"/>
      <c r="G107" s="26"/>
    </row>
    <row r="108" spans="1:7" x14ac:dyDescent="0.25">
      <c r="A108" s="24" t="s">
        <v>353</v>
      </c>
      <c r="B108" s="6">
        <v>26106.613960000002</v>
      </c>
      <c r="C108" s="6">
        <v>8725.8939600000012</v>
      </c>
      <c r="E108" s="23" t="s">
        <v>715</v>
      </c>
      <c r="F108" s="26">
        <v>136384.37761000003</v>
      </c>
      <c r="G108" s="26">
        <v>32110.187610000012</v>
      </c>
    </row>
    <row r="109" spans="1:7" x14ac:dyDescent="0.25">
      <c r="A109" s="23" t="s">
        <v>720</v>
      </c>
      <c r="B109" s="6">
        <v>116974.83799</v>
      </c>
      <c r="C109" s="6">
        <v>55039.457989999995</v>
      </c>
      <c r="E109" s="24" t="s">
        <v>130</v>
      </c>
      <c r="F109" s="26">
        <v>24523.006720000001</v>
      </c>
      <c r="G109" s="26">
        <v>12734.366720000002</v>
      </c>
    </row>
    <row r="110" spans="1:7" x14ac:dyDescent="0.25">
      <c r="A110" s="24" t="s">
        <v>376</v>
      </c>
      <c r="B110" s="6">
        <v>82514.711519999997</v>
      </c>
      <c r="C110" s="6">
        <v>43304.491519999996</v>
      </c>
      <c r="E110" s="24" t="s">
        <v>320</v>
      </c>
      <c r="F110" s="26">
        <v>43084.872000000003</v>
      </c>
      <c r="G110" s="26">
        <v>8274.5520000000033</v>
      </c>
    </row>
    <row r="111" spans="1:7" x14ac:dyDescent="0.25">
      <c r="A111" s="24" t="s">
        <v>240</v>
      </c>
      <c r="B111" s="6">
        <v>30479.418970000002</v>
      </c>
      <c r="C111" s="6">
        <v>12897.698970000001</v>
      </c>
      <c r="E111" s="24" t="s">
        <v>389</v>
      </c>
      <c r="F111" s="26">
        <v>38422.022320000004</v>
      </c>
      <c r="G111" s="26">
        <v>4801.8023200000025</v>
      </c>
    </row>
    <row r="112" spans="1:7" x14ac:dyDescent="0.25">
      <c r="A112" s="24" t="s">
        <v>42</v>
      </c>
      <c r="B112" s="6">
        <v>3980.7075</v>
      </c>
      <c r="C112" s="6">
        <v>-1162.7325000000005</v>
      </c>
      <c r="E112" s="24" t="s">
        <v>517</v>
      </c>
      <c r="F112" s="26">
        <v>8637.1874499999994</v>
      </c>
      <c r="G112" s="26">
        <v>2972.0374499999998</v>
      </c>
    </row>
    <row r="113" spans="1:7" x14ac:dyDescent="0.25">
      <c r="A113" s="23" t="s">
        <v>715</v>
      </c>
      <c r="B113" s="6">
        <v>99393.653259999992</v>
      </c>
      <c r="C113" s="6">
        <v>41750.473259999999</v>
      </c>
      <c r="E113" s="24" t="s">
        <v>455</v>
      </c>
      <c r="F113" s="26">
        <v>12668.50728</v>
      </c>
      <c r="G113" s="26">
        <v>2731.0472800000007</v>
      </c>
    </row>
    <row r="114" spans="1:7" x14ac:dyDescent="0.25">
      <c r="A114" s="24" t="s">
        <v>33</v>
      </c>
      <c r="B114" s="6">
        <v>38096.18406</v>
      </c>
      <c r="C114" s="6">
        <v>18869.124059999998</v>
      </c>
      <c r="E114" s="24" t="s">
        <v>253</v>
      </c>
      <c r="F114" s="26">
        <v>3823.5108</v>
      </c>
      <c r="G114" s="26">
        <v>1089.5708</v>
      </c>
    </row>
    <row r="115" spans="1:7" x14ac:dyDescent="0.25">
      <c r="A115" s="24" t="s">
        <v>350</v>
      </c>
      <c r="B115" s="6">
        <v>28247.74656</v>
      </c>
      <c r="C115" s="6">
        <v>14008.02656</v>
      </c>
      <c r="E115" s="24" t="s">
        <v>18</v>
      </c>
      <c r="F115" s="26">
        <v>5225.2710400000005</v>
      </c>
      <c r="G115" s="26">
        <v>-493.1889599999995</v>
      </c>
    </row>
    <row r="116" spans="1:7" x14ac:dyDescent="0.25">
      <c r="A116" s="24" t="s">
        <v>628</v>
      </c>
      <c r="B116" s="6">
        <v>18500.693520000001</v>
      </c>
      <c r="C116" s="6">
        <v>7152.6135200000008</v>
      </c>
      <c r="E116" s="23" t="s">
        <v>712</v>
      </c>
      <c r="F116" s="26">
        <v>107898.41622999999</v>
      </c>
      <c r="G116" s="26">
        <v>32086.816229999982</v>
      </c>
    </row>
    <row r="117" spans="1:7" x14ac:dyDescent="0.25">
      <c r="A117" s="24" t="s">
        <v>185</v>
      </c>
      <c r="B117" s="6">
        <v>14549.029120000001</v>
      </c>
      <c r="C117" s="6">
        <v>1720.7091200000013</v>
      </c>
      <c r="E117" s="24" t="s">
        <v>381</v>
      </c>
      <c r="F117" s="26">
        <v>18554.370299999999</v>
      </c>
      <c r="G117" s="26">
        <v>10131.900299999998</v>
      </c>
    </row>
    <row r="118" spans="1:7" x14ac:dyDescent="0.25">
      <c r="A118" s="23" t="s">
        <v>724</v>
      </c>
      <c r="B118" s="6">
        <v>116103.09850000001</v>
      </c>
      <c r="C118" s="6">
        <v>35298.198499999991</v>
      </c>
      <c r="E118" s="24" t="s">
        <v>117</v>
      </c>
      <c r="F118" s="26">
        <v>13669.81</v>
      </c>
      <c r="G118" s="26">
        <v>7635.2499999999991</v>
      </c>
    </row>
    <row r="119" spans="1:7" x14ac:dyDescent="0.25">
      <c r="A119" s="24" t="s">
        <v>354</v>
      </c>
      <c r="B119" s="6">
        <v>34528.243199999997</v>
      </c>
      <c r="C119" s="6">
        <v>18653.443199999994</v>
      </c>
      <c r="E119" s="24" t="s">
        <v>333</v>
      </c>
      <c r="F119" s="26">
        <v>53034.364139999991</v>
      </c>
      <c r="G119" s="26">
        <v>6640.2841399999888</v>
      </c>
    </row>
    <row r="120" spans="1:7" x14ac:dyDescent="0.25">
      <c r="A120" s="24" t="s">
        <v>486</v>
      </c>
      <c r="B120" s="6">
        <v>15374.563199999999</v>
      </c>
      <c r="C120" s="6">
        <v>7606.243199999999</v>
      </c>
      <c r="E120" s="24" t="s">
        <v>419</v>
      </c>
      <c r="F120" s="26">
        <v>13437.300239999999</v>
      </c>
      <c r="G120" s="26">
        <v>5553.2702399999989</v>
      </c>
    </row>
    <row r="121" spans="1:7" x14ac:dyDescent="0.25">
      <c r="A121" s="24" t="s">
        <v>223</v>
      </c>
      <c r="B121" s="6">
        <v>17847.907199999998</v>
      </c>
      <c r="C121" s="6">
        <v>5798.4071999999978</v>
      </c>
      <c r="E121" s="24" t="s">
        <v>15</v>
      </c>
      <c r="F121" s="26">
        <v>4866.3287999999993</v>
      </c>
      <c r="G121" s="26">
        <v>2353.1687999999995</v>
      </c>
    </row>
    <row r="122" spans="1:7" x14ac:dyDescent="0.25">
      <c r="A122" s="24" t="s">
        <v>157</v>
      </c>
      <c r="B122" s="6">
        <v>32086.37586</v>
      </c>
      <c r="C122" s="6">
        <v>3072.3358599999992</v>
      </c>
      <c r="E122" s="24" t="s">
        <v>152</v>
      </c>
      <c r="F122" s="26">
        <v>4336.2427499999994</v>
      </c>
      <c r="G122" s="26">
        <v>-227.05725000000075</v>
      </c>
    </row>
    <row r="123" spans="1:7" x14ac:dyDescent="0.25">
      <c r="A123" s="24" t="s">
        <v>563</v>
      </c>
      <c r="B123" s="6">
        <v>10937.519999999999</v>
      </c>
      <c r="C123" s="6">
        <v>2501.7599999999984</v>
      </c>
      <c r="E123" s="23" t="s">
        <v>719</v>
      </c>
      <c r="F123" s="26">
        <v>85849.642649999994</v>
      </c>
      <c r="G123" s="26">
        <v>28200.642649999994</v>
      </c>
    </row>
    <row r="124" spans="1:7" x14ac:dyDescent="0.25">
      <c r="A124" s="24" t="s">
        <v>113</v>
      </c>
      <c r="B124" s="6">
        <v>5328.4890400000004</v>
      </c>
      <c r="C124" s="6">
        <v>-2333.9909600000001</v>
      </c>
      <c r="E124" s="24" t="s">
        <v>290</v>
      </c>
      <c r="F124" s="26">
        <v>79548.755999999994</v>
      </c>
      <c r="G124" s="26">
        <v>26014.755999999994</v>
      </c>
    </row>
    <row r="125" spans="1:7" x14ac:dyDescent="0.25">
      <c r="A125" s="23" t="s">
        <v>714</v>
      </c>
      <c r="B125" s="6">
        <v>93213.22795</v>
      </c>
      <c r="C125" s="6">
        <v>25313.617949999996</v>
      </c>
      <c r="E125" s="24" t="s">
        <v>310</v>
      </c>
      <c r="F125" s="26">
        <v>4241.88105</v>
      </c>
      <c r="G125" s="26">
        <v>1511.2410499999996</v>
      </c>
    </row>
    <row r="126" spans="1:7" x14ac:dyDescent="0.25">
      <c r="A126" s="24" t="s">
        <v>267</v>
      </c>
      <c r="B126" s="6">
        <v>25483.91488</v>
      </c>
      <c r="C126" s="6">
        <v>12700.39488</v>
      </c>
      <c r="E126" s="24" t="s">
        <v>426</v>
      </c>
      <c r="F126" s="26">
        <v>2059.0056</v>
      </c>
      <c r="G126" s="26">
        <v>674.64560000000006</v>
      </c>
    </row>
    <row r="127" spans="1:7" x14ac:dyDescent="0.25">
      <c r="A127" s="24" t="s">
        <v>366</v>
      </c>
      <c r="B127" s="6">
        <v>26552.60298</v>
      </c>
      <c r="C127" s="6">
        <v>8381.3829799999985</v>
      </c>
      <c r="E127" s="23" t="s">
        <v>714</v>
      </c>
      <c r="F127" s="26">
        <v>78259.541340000011</v>
      </c>
      <c r="G127" s="26">
        <v>24432.001340000006</v>
      </c>
    </row>
    <row r="128" spans="1:7" x14ac:dyDescent="0.25">
      <c r="A128" s="24" t="s">
        <v>396</v>
      </c>
      <c r="B128" s="6">
        <v>37562.28</v>
      </c>
      <c r="C128" s="6">
        <v>5584.5999999999985</v>
      </c>
      <c r="E128" s="24" t="s">
        <v>75</v>
      </c>
      <c r="F128" s="26">
        <v>33687.501800000005</v>
      </c>
      <c r="G128" s="26">
        <v>10156.301800000008</v>
      </c>
    </row>
    <row r="129" spans="1:7" x14ac:dyDescent="0.25">
      <c r="A129" s="24" t="s">
        <v>134</v>
      </c>
      <c r="B129" s="6">
        <v>592.92849000000001</v>
      </c>
      <c r="C129" s="6">
        <v>187.20848999999998</v>
      </c>
      <c r="E129" s="24" t="s">
        <v>265</v>
      </c>
      <c r="F129" s="26">
        <v>17453.3436</v>
      </c>
      <c r="G129" s="26">
        <v>5892.3036000000011</v>
      </c>
    </row>
    <row r="130" spans="1:7" x14ac:dyDescent="0.25">
      <c r="A130" s="24" t="s">
        <v>352</v>
      </c>
      <c r="B130" s="6">
        <v>3021.5016000000001</v>
      </c>
      <c r="C130" s="6">
        <v>-1539.9684000000002</v>
      </c>
      <c r="E130" s="24" t="s">
        <v>178</v>
      </c>
      <c r="F130" s="26">
        <v>12194.714</v>
      </c>
      <c r="G130" s="26">
        <v>5844.0739999999996</v>
      </c>
    </row>
    <row r="131" spans="1:7" x14ac:dyDescent="0.25">
      <c r="A131" s="23" t="s">
        <v>726</v>
      </c>
      <c r="B131" s="6">
        <v>51755.915280000001</v>
      </c>
      <c r="C131" s="6">
        <v>19876.305279999997</v>
      </c>
      <c r="E131" s="24" t="s">
        <v>259</v>
      </c>
      <c r="F131" s="26">
        <v>2909.8689199999999</v>
      </c>
      <c r="G131" s="26">
        <v>1400.1489199999999</v>
      </c>
    </row>
    <row r="132" spans="1:7" x14ac:dyDescent="0.25">
      <c r="A132" s="24" t="s">
        <v>555</v>
      </c>
      <c r="B132" s="6">
        <v>19581.87</v>
      </c>
      <c r="C132" s="6">
        <v>10770.829999999998</v>
      </c>
      <c r="E132" s="24" t="s">
        <v>407</v>
      </c>
      <c r="F132" s="26">
        <v>11285.764020000001</v>
      </c>
      <c r="G132" s="26">
        <v>1049.07402</v>
      </c>
    </row>
    <row r="133" spans="1:7" x14ac:dyDescent="0.25">
      <c r="A133" s="24" t="s">
        <v>536</v>
      </c>
      <c r="B133" s="6">
        <v>22526.66</v>
      </c>
      <c r="C133" s="6">
        <v>5313.6899999999987</v>
      </c>
      <c r="E133" s="24" t="s">
        <v>507</v>
      </c>
      <c r="F133" s="26">
        <v>110.14919999999999</v>
      </c>
      <c r="G133" s="26">
        <v>56.749199999999995</v>
      </c>
    </row>
    <row r="134" spans="1:7" x14ac:dyDescent="0.25">
      <c r="A134" s="24" t="s">
        <v>47</v>
      </c>
      <c r="B134" s="6">
        <v>9647.3852800000004</v>
      </c>
      <c r="C134" s="6">
        <v>3791.7852800000001</v>
      </c>
      <c r="E134" s="24" t="s">
        <v>545</v>
      </c>
      <c r="F134" s="26">
        <v>618.19979999999987</v>
      </c>
      <c r="G134" s="26">
        <v>33.349799999999846</v>
      </c>
    </row>
    <row r="135" spans="1:7" x14ac:dyDescent="0.25">
      <c r="A135" s="23" t="s">
        <v>712</v>
      </c>
      <c r="B135" s="6">
        <v>64782.240439999994</v>
      </c>
      <c r="C135" s="6">
        <v>17820.870439999995</v>
      </c>
      <c r="E135" s="23" t="s">
        <v>718</v>
      </c>
      <c r="F135" s="26">
        <v>71775.056259999998</v>
      </c>
      <c r="G135" s="26">
        <v>22772.036260000001</v>
      </c>
    </row>
    <row r="136" spans="1:7" x14ac:dyDescent="0.25">
      <c r="A136" s="24" t="s">
        <v>202</v>
      </c>
      <c r="B136" s="6">
        <v>28072.190160000002</v>
      </c>
      <c r="C136" s="6">
        <v>9387.2301599999992</v>
      </c>
      <c r="E136" s="24" t="s">
        <v>614</v>
      </c>
      <c r="F136" s="26">
        <v>33938.142760000002</v>
      </c>
      <c r="G136" s="26">
        <v>15214.592760000003</v>
      </c>
    </row>
    <row r="137" spans="1:7" x14ac:dyDescent="0.25">
      <c r="A137" s="24" t="s">
        <v>287</v>
      </c>
      <c r="B137" s="6">
        <v>29536.716</v>
      </c>
      <c r="C137" s="6">
        <v>7889.1159999999982</v>
      </c>
      <c r="E137" s="24" t="s">
        <v>483</v>
      </c>
      <c r="F137" s="26">
        <v>16252.219979999998</v>
      </c>
      <c r="G137" s="26">
        <v>4970.8499799999972</v>
      </c>
    </row>
    <row r="138" spans="1:7" x14ac:dyDescent="0.25">
      <c r="A138" s="24" t="s">
        <v>594</v>
      </c>
      <c r="B138" s="6">
        <v>7173.3342799999991</v>
      </c>
      <c r="C138" s="6">
        <v>544.52427999999873</v>
      </c>
      <c r="E138" s="24" t="s">
        <v>379</v>
      </c>
      <c r="F138" s="26">
        <v>21584.693520000001</v>
      </c>
      <c r="G138" s="26">
        <v>2586.5935199999985</v>
      </c>
    </row>
    <row r="139" spans="1:7" x14ac:dyDescent="0.25">
      <c r="A139" s="23" t="s">
        <v>721</v>
      </c>
      <c r="B139" s="6">
        <v>93240.777799999996</v>
      </c>
      <c r="C139" s="6">
        <v>15883.677800000003</v>
      </c>
      <c r="E139" s="23" t="s">
        <v>722</v>
      </c>
      <c r="F139" s="26">
        <v>81318.048300000009</v>
      </c>
      <c r="G139" s="26">
        <v>17129.248299999999</v>
      </c>
    </row>
    <row r="140" spans="1:7" x14ac:dyDescent="0.25">
      <c r="A140" s="24" t="s">
        <v>316</v>
      </c>
      <c r="B140" s="6">
        <v>39686.4182</v>
      </c>
      <c r="C140" s="6">
        <v>11756.318200000002</v>
      </c>
      <c r="E140" s="24" t="s">
        <v>295</v>
      </c>
      <c r="F140" s="26">
        <v>16795.979200000002</v>
      </c>
      <c r="G140" s="26">
        <v>9047.2592000000004</v>
      </c>
    </row>
    <row r="141" spans="1:7" x14ac:dyDescent="0.25">
      <c r="A141" s="24" t="s">
        <v>166</v>
      </c>
      <c r="B141" s="6">
        <v>21572.590500000002</v>
      </c>
      <c r="C141" s="6">
        <v>3537.3105000000032</v>
      </c>
      <c r="E141" s="24" t="s">
        <v>286</v>
      </c>
      <c r="F141" s="26">
        <v>34632.106319999999</v>
      </c>
      <c r="G141" s="26">
        <v>5917.8263200000001</v>
      </c>
    </row>
    <row r="142" spans="1:7" x14ac:dyDescent="0.25">
      <c r="A142" s="24" t="s">
        <v>358</v>
      </c>
      <c r="B142" s="6">
        <v>3175.1547799999998</v>
      </c>
      <c r="C142" s="6">
        <v>1703.3347799999999</v>
      </c>
      <c r="E142" s="24" t="s">
        <v>99</v>
      </c>
      <c r="F142" s="26">
        <v>21062.61248</v>
      </c>
      <c r="G142" s="26">
        <v>2587.1424799999986</v>
      </c>
    </row>
    <row r="143" spans="1:7" x14ac:dyDescent="0.25">
      <c r="A143" s="24" t="s">
        <v>550</v>
      </c>
      <c r="B143" s="6">
        <v>7823.4472399999995</v>
      </c>
      <c r="C143" s="6">
        <v>1110.4472399999995</v>
      </c>
      <c r="E143" s="24" t="s">
        <v>612</v>
      </c>
      <c r="F143" s="26">
        <v>4409.5168800000001</v>
      </c>
      <c r="G143" s="26">
        <v>1274.63688</v>
      </c>
    </row>
    <row r="144" spans="1:7" x14ac:dyDescent="0.25">
      <c r="A144" s="24" t="s">
        <v>607</v>
      </c>
      <c r="B144" s="6">
        <v>5725.6496000000006</v>
      </c>
      <c r="C144" s="6">
        <v>-536.95039999999972</v>
      </c>
      <c r="E144" s="24" t="s">
        <v>146</v>
      </c>
      <c r="F144" s="26">
        <v>4417.8334199999999</v>
      </c>
      <c r="G144" s="26">
        <v>-1697.6165800000008</v>
      </c>
    </row>
    <row r="145" spans="1:7" x14ac:dyDescent="0.25">
      <c r="A145" s="24" t="s">
        <v>398</v>
      </c>
      <c r="B145" s="6">
        <v>15257.51748</v>
      </c>
      <c r="C145" s="6">
        <v>-1686.7825199999988</v>
      </c>
      <c r="E145" s="23" t="s">
        <v>724</v>
      </c>
      <c r="F145" s="26">
        <v>30049.560869999998</v>
      </c>
      <c r="G145" s="26">
        <v>9117.7908700000007</v>
      </c>
    </row>
    <row r="146" spans="1:7" x14ac:dyDescent="0.25">
      <c r="A146" s="23" t="s">
        <v>725</v>
      </c>
      <c r="B146" s="6">
        <v>15776.763060000001</v>
      </c>
      <c r="C146" s="6">
        <v>8062.4830600000023</v>
      </c>
      <c r="E146" s="24" t="s">
        <v>572</v>
      </c>
      <c r="F146" s="26">
        <v>10519.776450000001</v>
      </c>
      <c r="G146" s="26">
        <v>4120.9564500000015</v>
      </c>
    </row>
    <row r="147" spans="1:7" x14ac:dyDescent="0.25">
      <c r="A147" s="24" t="s">
        <v>558</v>
      </c>
      <c r="B147" s="6">
        <v>14114.068500000001</v>
      </c>
      <c r="C147" s="6">
        <v>7671.1285000000016</v>
      </c>
      <c r="E147" s="24" t="s">
        <v>85</v>
      </c>
      <c r="F147" s="26">
        <v>10647.727199999999</v>
      </c>
      <c r="G147" s="26">
        <v>2452.0571999999993</v>
      </c>
    </row>
    <row r="148" spans="1:7" x14ac:dyDescent="0.25">
      <c r="A148" s="24" t="s">
        <v>474</v>
      </c>
      <c r="B148" s="6">
        <v>1662.6945600000001</v>
      </c>
      <c r="C148" s="6">
        <v>391.35456000000022</v>
      </c>
      <c r="E148" s="24" t="s">
        <v>560</v>
      </c>
      <c r="F148" s="26">
        <v>4826.5396199999996</v>
      </c>
      <c r="G148" s="26">
        <v>2180.0596199999995</v>
      </c>
    </row>
    <row r="149" spans="1:7" x14ac:dyDescent="0.25">
      <c r="A149" s="23" t="s">
        <v>718</v>
      </c>
      <c r="B149" s="6">
        <v>12462.65055</v>
      </c>
      <c r="C149" s="6">
        <v>5833.72055</v>
      </c>
      <c r="E149" s="24" t="s">
        <v>476</v>
      </c>
      <c r="F149" s="26">
        <v>4055.5175999999997</v>
      </c>
      <c r="G149" s="26">
        <v>364.71759999999995</v>
      </c>
    </row>
    <row r="150" spans="1:7" x14ac:dyDescent="0.25">
      <c r="A150" s="24" t="s">
        <v>464</v>
      </c>
      <c r="B150" s="6">
        <v>12462.65055</v>
      </c>
      <c r="C150" s="6">
        <v>5833.72055</v>
      </c>
      <c r="E150" s="23" t="s">
        <v>716</v>
      </c>
      <c r="F150" s="26">
        <v>42243.784679999997</v>
      </c>
      <c r="G150" s="26">
        <v>4416.7646799999966</v>
      </c>
    </row>
    <row r="151" spans="1:7" x14ac:dyDescent="0.25">
      <c r="A151" s="23" t="s">
        <v>719</v>
      </c>
      <c r="B151" s="6">
        <v>10693.88488</v>
      </c>
      <c r="C151" s="6">
        <v>2018.9248800000005</v>
      </c>
      <c r="E151" s="24" t="s">
        <v>601</v>
      </c>
      <c r="F151" s="26">
        <v>25131.155999999999</v>
      </c>
      <c r="G151" s="26">
        <v>5406.6759999999995</v>
      </c>
    </row>
    <row r="152" spans="1:7" x14ac:dyDescent="0.25">
      <c r="A152" s="24" t="s">
        <v>637</v>
      </c>
      <c r="B152" s="6">
        <v>10693.88488</v>
      </c>
      <c r="C152" s="6">
        <v>2018.9248800000005</v>
      </c>
      <c r="E152" s="24" t="s">
        <v>305</v>
      </c>
      <c r="F152" s="26">
        <v>1098.9470800000001</v>
      </c>
      <c r="G152" s="26">
        <v>311.12708000000009</v>
      </c>
    </row>
    <row r="153" spans="1:7" x14ac:dyDescent="0.25">
      <c r="A153" s="23" t="s">
        <v>723</v>
      </c>
      <c r="B153" s="6">
        <v>25174.028880000002</v>
      </c>
      <c r="C153" s="6">
        <v>993.24888000000283</v>
      </c>
      <c r="E153" s="24" t="s">
        <v>81</v>
      </c>
      <c r="F153" s="26">
        <v>16013.681599999998</v>
      </c>
      <c r="G153" s="26">
        <v>-1301.0384000000031</v>
      </c>
    </row>
    <row r="154" spans="1:7" x14ac:dyDescent="0.25">
      <c r="A154" s="24" t="s">
        <v>632</v>
      </c>
      <c r="B154" s="6">
        <v>25174.028880000002</v>
      </c>
      <c r="C154" s="6">
        <v>993.24888000000283</v>
      </c>
      <c r="E154" s="23" t="s">
        <v>723</v>
      </c>
      <c r="F154" s="26">
        <v>37694.945220000001</v>
      </c>
      <c r="G154" s="26">
        <v>4058.1452199999976</v>
      </c>
    </row>
    <row r="155" spans="1:7" x14ac:dyDescent="0.25">
      <c r="A155" s="23" t="s">
        <v>716</v>
      </c>
      <c r="B155" s="6">
        <v>10456.416880000001</v>
      </c>
      <c r="C155" s="6">
        <v>-6073.8631199999982</v>
      </c>
      <c r="E155" s="24" t="s">
        <v>288</v>
      </c>
      <c r="F155" s="26">
        <v>11417.429099999999</v>
      </c>
      <c r="G155" s="26">
        <v>5377.619099999999</v>
      </c>
    </row>
    <row r="156" spans="1:7" x14ac:dyDescent="0.25">
      <c r="A156" s="24" t="s">
        <v>303</v>
      </c>
      <c r="B156" s="6">
        <v>10456.416880000001</v>
      </c>
      <c r="C156" s="6">
        <v>-6073.8631199999982</v>
      </c>
      <c r="E156" s="24" t="s">
        <v>248</v>
      </c>
      <c r="F156" s="26">
        <v>14269.848599999999</v>
      </c>
      <c r="G156" s="26">
        <v>1172.1485999999986</v>
      </c>
    </row>
    <row r="157" spans="1:7" x14ac:dyDescent="0.25">
      <c r="A157" s="22" t="s">
        <v>1457</v>
      </c>
      <c r="C157" s="6"/>
      <c r="E157" s="24" t="s">
        <v>422</v>
      </c>
      <c r="F157" s="26">
        <v>4679.7141600000004</v>
      </c>
      <c r="G157" s="26">
        <v>-552.54583999999977</v>
      </c>
    </row>
    <row r="158" spans="1:7" x14ac:dyDescent="0.25">
      <c r="A158" s="23" t="s">
        <v>724</v>
      </c>
      <c r="B158" s="6">
        <v>247124.54875999998</v>
      </c>
      <c r="C158" s="6">
        <v>105497.26876000001</v>
      </c>
      <c r="E158" s="24" t="s">
        <v>377</v>
      </c>
      <c r="F158" s="26">
        <v>7327.9533600000004</v>
      </c>
      <c r="G158" s="26">
        <v>-1939.0766400000002</v>
      </c>
    </row>
    <row r="159" spans="1:7" x14ac:dyDescent="0.25">
      <c r="A159" s="24" t="s">
        <v>627</v>
      </c>
      <c r="B159" s="6">
        <v>82141.339799999987</v>
      </c>
      <c r="C159" s="6">
        <v>47729.039799999991</v>
      </c>
      <c r="E159" s="23" t="s">
        <v>726</v>
      </c>
      <c r="F159" s="26">
        <v>27018.083979999999</v>
      </c>
      <c r="G159" s="26">
        <v>3410.6739799999996</v>
      </c>
    </row>
    <row r="160" spans="1:7" x14ac:dyDescent="0.25">
      <c r="A160" s="24" t="s">
        <v>141</v>
      </c>
      <c r="B160" s="6">
        <v>65111.38614000001</v>
      </c>
      <c r="C160" s="6">
        <v>24667.226140000013</v>
      </c>
      <c r="E160" s="24" t="s">
        <v>566</v>
      </c>
      <c r="F160" s="26">
        <v>18830.12472</v>
      </c>
      <c r="G160" s="26">
        <v>5947.254719999999</v>
      </c>
    </row>
    <row r="161" spans="1:7" x14ac:dyDescent="0.25">
      <c r="A161" s="24" t="s">
        <v>126</v>
      </c>
      <c r="B161" s="6">
        <v>30151.675319999998</v>
      </c>
      <c r="C161" s="6">
        <v>9970.4653199999957</v>
      </c>
      <c r="E161" s="24" t="s">
        <v>432</v>
      </c>
      <c r="F161" s="26">
        <v>741.43835999999999</v>
      </c>
      <c r="G161" s="26">
        <v>257.89835999999997</v>
      </c>
    </row>
    <row r="162" spans="1:7" x14ac:dyDescent="0.25">
      <c r="A162" s="24" t="s">
        <v>482</v>
      </c>
      <c r="B162" s="6">
        <v>25269.09</v>
      </c>
      <c r="C162" s="6">
        <v>7697.7899999999972</v>
      </c>
      <c r="E162" s="24" t="s">
        <v>243</v>
      </c>
      <c r="F162" s="26">
        <v>7446.5209000000004</v>
      </c>
      <c r="G162" s="26">
        <v>-2794.4790999999996</v>
      </c>
    </row>
    <row r="163" spans="1:7" x14ac:dyDescent="0.25">
      <c r="A163" s="24" t="s">
        <v>106</v>
      </c>
      <c r="B163" s="6">
        <v>19510.808000000001</v>
      </c>
      <c r="C163" s="6">
        <v>6327.5579999999991</v>
      </c>
      <c r="E163" s="23" t="s">
        <v>713</v>
      </c>
      <c r="F163" s="26">
        <v>18073.401680000003</v>
      </c>
      <c r="G163" s="26">
        <v>2732.4416800000013</v>
      </c>
    </row>
    <row r="164" spans="1:7" x14ac:dyDescent="0.25">
      <c r="A164" s="24" t="s">
        <v>326</v>
      </c>
      <c r="B164" s="6">
        <v>11283.400799999999</v>
      </c>
      <c r="C164" s="6">
        <v>4212.1007999999993</v>
      </c>
      <c r="E164" s="24" t="s">
        <v>27</v>
      </c>
      <c r="F164" s="26">
        <v>4968.5039999999999</v>
      </c>
      <c r="G164" s="26">
        <v>1652.8040000000001</v>
      </c>
    </row>
    <row r="165" spans="1:7" x14ac:dyDescent="0.25">
      <c r="A165" s="24" t="s">
        <v>37</v>
      </c>
      <c r="B165" s="6">
        <v>10936.992</v>
      </c>
      <c r="C165" s="6">
        <v>3627.0920000000006</v>
      </c>
      <c r="E165" s="24" t="s">
        <v>461</v>
      </c>
      <c r="F165" s="26">
        <v>5565.3272500000003</v>
      </c>
      <c r="G165" s="26">
        <v>700.32725000000028</v>
      </c>
    </row>
    <row r="166" spans="1:7" x14ac:dyDescent="0.25">
      <c r="A166" s="24" t="s">
        <v>480</v>
      </c>
      <c r="B166" s="6">
        <v>2719.8567000000003</v>
      </c>
      <c r="C166" s="6">
        <v>1265.9967000000001</v>
      </c>
      <c r="E166" s="24" t="s">
        <v>586</v>
      </c>
      <c r="F166" s="26">
        <v>841.00536</v>
      </c>
      <c r="G166" s="26">
        <v>388.23536000000001</v>
      </c>
    </row>
    <row r="167" spans="1:7" x14ac:dyDescent="0.25">
      <c r="A167" s="23" t="s">
        <v>721</v>
      </c>
      <c r="B167" s="6">
        <v>113090.50041000001</v>
      </c>
      <c r="C167" s="6">
        <v>52756.840410000012</v>
      </c>
      <c r="E167" s="24" t="s">
        <v>50</v>
      </c>
      <c r="F167" s="26">
        <v>6631.6443100000006</v>
      </c>
      <c r="G167" s="26">
        <v>26.034310000000914</v>
      </c>
    </row>
    <row r="168" spans="1:7" x14ac:dyDescent="0.25">
      <c r="A168" s="24" t="s">
        <v>602</v>
      </c>
      <c r="B168" s="6">
        <v>68665.574250000005</v>
      </c>
      <c r="C168" s="6">
        <v>34487.324250000005</v>
      </c>
      <c r="E168" s="24" t="s">
        <v>312</v>
      </c>
      <c r="F168" s="26">
        <v>66.920760000000001</v>
      </c>
      <c r="G168" s="26">
        <v>-34.959239999999994</v>
      </c>
    </row>
    <row r="169" spans="1:7" x14ac:dyDescent="0.25">
      <c r="A169" s="24" t="s">
        <v>292</v>
      </c>
      <c r="B169" s="6">
        <v>34840.344000000005</v>
      </c>
      <c r="C169" s="6">
        <v>14885.234000000004</v>
      </c>
      <c r="E169" s="23" t="s">
        <v>721</v>
      </c>
      <c r="F169" s="26">
        <v>31405.06266</v>
      </c>
      <c r="G169" s="26">
        <v>1572.4526600000022</v>
      </c>
    </row>
    <row r="170" spans="1:7" x14ac:dyDescent="0.25">
      <c r="A170" s="24" t="s">
        <v>133</v>
      </c>
      <c r="B170" s="6">
        <v>5769.2758000000003</v>
      </c>
      <c r="C170" s="6">
        <v>2373.1758</v>
      </c>
      <c r="E170" s="24" t="s">
        <v>518</v>
      </c>
      <c r="F170" s="26">
        <v>10189.8891</v>
      </c>
      <c r="G170" s="26">
        <v>1219.3191000000006</v>
      </c>
    </row>
    <row r="171" spans="1:7" x14ac:dyDescent="0.25">
      <c r="A171" s="24" t="s">
        <v>311</v>
      </c>
      <c r="B171" s="6">
        <v>3190.8713200000002</v>
      </c>
      <c r="C171" s="6">
        <v>831.8713200000002</v>
      </c>
      <c r="E171" s="24" t="s">
        <v>525</v>
      </c>
      <c r="F171" s="26">
        <v>3525.5505600000001</v>
      </c>
      <c r="G171" s="26">
        <v>825.43056000000024</v>
      </c>
    </row>
    <row r="172" spans="1:7" x14ac:dyDescent="0.25">
      <c r="A172" s="24" t="s">
        <v>104</v>
      </c>
      <c r="B172" s="6">
        <v>624.43503999999996</v>
      </c>
      <c r="C172" s="6">
        <v>179.23503999999997</v>
      </c>
      <c r="E172" s="24" t="s">
        <v>266</v>
      </c>
      <c r="F172" s="26">
        <v>17689.623</v>
      </c>
      <c r="G172" s="26">
        <v>-472.29699999999866</v>
      </c>
    </row>
    <row r="173" spans="1:7" x14ac:dyDescent="0.25">
      <c r="A173" s="23" t="s">
        <v>716</v>
      </c>
      <c r="B173" s="6">
        <v>133989.76909000002</v>
      </c>
      <c r="C173" s="6">
        <v>51972.499090000005</v>
      </c>
      <c r="E173" s="23" t="s">
        <v>720</v>
      </c>
      <c r="F173" s="26">
        <v>19561.0772</v>
      </c>
      <c r="G173" s="26">
        <v>697.75719999999728</v>
      </c>
    </row>
    <row r="174" spans="1:7" x14ac:dyDescent="0.25">
      <c r="A174" s="24" t="s">
        <v>390</v>
      </c>
      <c r="B174" s="6">
        <v>43553.493060000001</v>
      </c>
      <c r="C174" s="6">
        <v>16544.093059999999</v>
      </c>
      <c r="E174" s="24" t="s">
        <v>391</v>
      </c>
      <c r="F174" s="26">
        <v>15348.702599999999</v>
      </c>
      <c r="G174" s="26">
        <v>3098.002599999998</v>
      </c>
    </row>
    <row r="175" spans="1:7" x14ac:dyDescent="0.25">
      <c r="A175" s="24" t="s">
        <v>92</v>
      </c>
      <c r="B175" s="6">
        <v>33062.236480000007</v>
      </c>
      <c r="C175" s="6">
        <v>14141.576480000007</v>
      </c>
      <c r="E175" s="24" t="s">
        <v>491</v>
      </c>
      <c r="F175" s="26">
        <v>4212.3745999999992</v>
      </c>
      <c r="G175" s="26">
        <v>-2400.2454000000007</v>
      </c>
    </row>
    <row r="176" spans="1:7" x14ac:dyDescent="0.25">
      <c r="A176" s="24" t="s">
        <v>374</v>
      </c>
      <c r="B176" s="6">
        <v>35167.7448</v>
      </c>
      <c r="C176" s="6">
        <v>12333.184799999999</v>
      </c>
      <c r="E176" s="23" t="s">
        <v>717</v>
      </c>
      <c r="F176" s="26">
        <v>35207.31525</v>
      </c>
      <c r="G176" s="26">
        <v>56.25525000000107</v>
      </c>
    </row>
    <row r="177" spans="1:7" x14ac:dyDescent="0.25">
      <c r="A177" s="24" t="s">
        <v>363</v>
      </c>
      <c r="B177" s="6">
        <v>12236.874600000001</v>
      </c>
      <c r="C177" s="6">
        <v>6339.2946000000011</v>
      </c>
      <c r="E177" s="24" t="s">
        <v>629</v>
      </c>
      <c r="F177" s="26">
        <v>10464.138360000001</v>
      </c>
      <c r="G177" s="26">
        <v>2558.6583600000013</v>
      </c>
    </row>
    <row r="178" spans="1:7" x14ac:dyDescent="0.25">
      <c r="A178" s="24" t="s">
        <v>158</v>
      </c>
      <c r="B178" s="6">
        <v>9969.4201499999999</v>
      </c>
      <c r="C178" s="6">
        <v>2614.3501500000002</v>
      </c>
      <c r="E178" s="24" t="s">
        <v>51</v>
      </c>
      <c r="F178" s="26">
        <v>18957.37689</v>
      </c>
      <c r="G178" s="26">
        <v>-289.30311000000074</v>
      </c>
    </row>
    <row r="179" spans="1:7" x14ac:dyDescent="0.25">
      <c r="A179" s="23" t="s">
        <v>713</v>
      </c>
      <c r="B179" s="6">
        <v>109396.8438</v>
      </c>
      <c r="C179" s="6">
        <v>44306.633800000003</v>
      </c>
      <c r="E179" s="24" t="s">
        <v>67</v>
      </c>
      <c r="F179" s="26">
        <v>5785.8</v>
      </c>
      <c r="G179" s="26">
        <v>-2213.0999999999995</v>
      </c>
    </row>
    <row r="180" spans="1:7" x14ac:dyDescent="0.25">
      <c r="A180" s="24" t="s">
        <v>548</v>
      </c>
      <c r="B180" s="6">
        <v>42433.254400000005</v>
      </c>
      <c r="C180" s="6">
        <v>19412.054400000008</v>
      </c>
      <c r="E180" s="22" t="s">
        <v>1461</v>
      </c>
      <c r="F180" s="26"/>
      <c r="G180" s="26"/>
    </row>
    <row r="181" spans="1:7" x14ac:dyDescent="0.25">
      <c r="A181" s="24" t="s">
        <v>125</v>
      </c>
      <c r="B181" s="6">
        <v>27676.35</v>
      </c>
      <c r="C181" s="6">
        <v>12820.409999999998</v>
      </c>
      <c r="E181" s="23" t="s">
        <v>712</v>
      </c>
      <c r="F181" s="26">
        <v>80241.997359999994</v>
      </c>
      <c r="G181" s="26">
        <v>28976.417360000003</v>
      </c>
    </row>
    <row r="182" spans="1:7" x14ac:dyDescent="0.25">
      <c r="A182" s="24" t="s">
        <v>179</v>
      </c>
      <c r="B182" s="6">
        <v>11851.806399999999</v>
      </c>
      <c r="C182" s="6">
        <v>4504.4463999999998</v>
      </c>
      <c r="E182" s="24" t="s">
        <v>406</v>
      </c>
      <c r="F182" s="26">
        <v>65826.067999999999</v>
      </c>
      <c r="G182" s="26">
        <v>26205.018000000004</v>
      </c>
    </row>
    <row r="183" spans="1:7" x14ac:dyDescent="0.25">
      <c r="A183" s="24" t="s">
        <v>318</v>
      </c>
      <c r="B183" s="6">
        <v>5932.7856000000002</v>
      </c>
      <c r="C183" s="6">
        <v>3153.2256000000002</v>
      </c>
      <c r="E183" s="24" t="s">
        <v>500</v>
      </c>
      <c r="F183" s="26">
        <v>5159.7893599999998</v>
      </c>
      <c r="G183" s="26">
        <v>1993.4393599999994</v>
      </c>
    </row>
    <row r="184" spans="1:7" x14ac:dyDescent="0.25">
      <c r="A184" s="24" t="s">
        <v>61</v>
      </c>
      <c r="B184" s="6">
        <v>7135.57</v>
      </c>
      <c r="C184" s="6">
        <v>2744.8199999999997</v>
      </c>
      <c r="E184" s="24" t="s">
        <v>626</v>
      </c>
      <c r="F184" s="26">
        <v>9256.14</v>
      </c>
      <c r="G184" s="26">
        <v>777.95999999999913</v>
      </c>
    </row>
    <row r="185" spans="1:7" x14ac:dyDescent="0.25">
      <c r="A185" s="24" t="s">
        <v>200</v>
      </c>
      <c r="B185" s="6">
        <v>10388.429999999998</v>
      </c>
      <c r="C185" s="6">
        <v>1576.3499999999985</v>
      </c>
      <c r="E185" s="23" t="s">
        <v>722</v>
      </c>
      <c r="F185" s="26">
        <v>60475.463560000004</v>
      </c>
      <c r="G185" s="26">
        <v>27047.593560000001</v>
      </c>
    </row>
    <row r="186" spans="1:7" x14ac:dyDescent="0.25">
      <c r="A186" s="24" t="s">
        <v>299</v>
      </c>
      <c r="B186" s="6">
        <v>3978.6474000000003</v>
      </c>
      <c r="C186" s="6">
        <v>95.32740000000058</v>
      </c>
      <c r="E186" s="24" t="s">
        <v>57</v>
      </c>
      <c r="F186" s="26">
        <v>39479.440000000002</v>
      </c>
      <c r="G186" s="26">
        <v>19928.72</v>
      </c>
    </row>
    <row r="187" spans="1:7" x14ac:dyDescent="0.25">
      <c r="A187" s="23" t="s">
        <v>719</v>
      </c>
      <c r="B187" s="6">
        <v>122166.66639</v>
      </c>
      <c r="C187" s="6">
        <v>28681.506390000006</v>
      </c>
      <c r="E187" s="24" t="s">
        <v>268</v>
      </c>
      <c r="F187" s="26">
        <v>6468.2751599999992</v>
      </c>
      <c r="G187" s="26">
        <v>3613.0251599999992</v>
      </c>
    </row>
    <row r="188" spans="1:7" x14ac:dyDescent="0.25">
      <c r="A188" s="24" t="s">
        <v>380</v>
      </c>
      <c r="B188" s="6">
        <v>19547.329920000004</v>
      </c>
      <c r="C188" s="6">
        <v>9185.8899200000033</v>
      </c>
      <c r="E188" s="24" t="s">
        <v>434</v>
      </c>
      <c r="F188" s="26">
        <v>14527.748400000002</v>
      </c>
      <c r="G188" s="26">
        <v>3505.8484000000008</v>
      </c>
    </row>
    <row r="189" spans="1:7" x14ac:dyDescent="0.25">
      <c r="A189" s="24" t="s">
        <v>556</v>
      </c>
      <c r="B189" s="6">
        <v>30652.403519999996</v>
      </c>
      <c r="C189" s="6">
        <v>8727.9235199999966</v>
      </c>
      <c r="E189" s="23" t="s">
        <v>714</v>
      </c>
      <c r="F189" s="26">
        <v>62587.870929999997</v>
      </c>
      <c r="G189" s="26">
        <v>26034.320929999998</v>
      </c>
    </row>
    <row r="190" spans="1:7" x14ac:dyDescent="0.25">
      <c r="A190" s="24" t="s">
        <v>294</v>
      </c>
      <c r="B190" s="6">
        <v>17441.021520000002</v>
      </c>
      <c r="C190" s="6">
        <v>7567.2115200000026</v>
      </c>
      <c r="E190" s="24" t="s">
        <v>343</v>
      </c>
      <c r="F190" s="26">
        <v>27756.432000000001</v>
      </c>
      <c r="G190" s="26">
        <v>12650.022000000001</v>
      </c>
    </row>
    <row r="191" spans="1:7" x14ac:dyDescent="0.25">
      <c r="A191" s="24" t="s">
        <v>291</v>
      </c>
      <c r="B191" s="6">
        <v>6066.54648</v>
      </c>
      <c r="C191" s="6">
        <v>2985.9064800000001</v>
      </c>
      <c r="E191" s="24" t="s">
        <v>521</v>
      </c>
      <c r="F191" s="26">
        <v>15323.926799999999</v>
      </c>
      <c r="G191" s="26">
        <v>7333.3067999999994</v>
      </c>
    </row>
    <row r="192" spans="1:7" x14ac:dyDescent="0.25">
      <c r="A192" s="24" t="s">
        <v>397</v>
      </c>
      <c r="B192" s="6">
        <v>47693.373</v>
      </c>
      <c r="C192" s="6">
        <v>726.64300000000367</v>
      </c>
      <c r="E192" s="24" t="s">
        <v>270</v>
      </c>
      <c r="F192" s="26">
        <v>19073.059649999999</v>
      </c>
      <c r="G192" s="26">
        <v>5840.7196499999991</v>
      </c>
    </row>
    <row r="193" spans="1:7" x14ac:dyDescent="0.25">
      <c r="A193" s="24" t="s">
        <v>131</v>
      </c>
      <c r="B193" s="6">
        <v>765.99195000000009</v>
      </c>
      <c r="C193" s="6">
        <v>-512.06805000000008</v>
      </c>
      <c r="E193" s="24" t="s">
        <v>403</v>
      </c>
      <c r="F193" s="26">
        <v>434.45248000000004</v>
      </c>
      <c r="G193" s="26">
        <v>210.27248000000006</v>
      </c>
    </row>
    <row r="194" spans="1:7" x14ac:dyDescent="0.25">
      <c r="A194" s="23" t="s">
        <v>722</v>
      </c>
      <c r="B194" s="6">
        <v>130968.97357999999</v>
      </c>
      <c r="C194" s="6">
        <v>28491.153580000006</v>
      </c>
      <c r="E194" s="23" t="s">
        <v>721</v>
      </c>
      <c r="F194" s="26">
        <v>76942.192849999992</v>
      </c>
      <c r="G194" s="26">
        <v>22487.402849999999</v>
      </c>
    </row>
    <row r="195" spans="1:7" x14ac:dyDescent="0.25">
      <c r="A195" s="24" t="s">
        <v>428</v>
      </c>
      <c r="B195" s="6">
        <v>31513.423040000001</v>
      </c>
      <c r="C195" s="6">
        <v>17727.673040000001</v>
      </c>
      <c r="E195" s="24" t="s">
        <v>108</v>
      </c>
      <c r="F195" s="26">
        <v>20079.343620000003</v>
      </c>
      <c r="G195" s="26">
        <v>10601.273620000004</v>
      </c>
    </row>
    <row r="196" spans="1:7" x14ac:dyDescent="0.25">
      <c r="A196" s="24" t="s">
        <v>621</v>
      </c>
      <c r="B196" s="6">
        <v>29175.036029999999</v>
      </c>
      <c r="C196" s="6">
        <v>15978.606029999999</v>
      </c>
      <c r="E196" s="24" t="s">
        <v>633</v>
      </c>
      <c r="F196" s="26">
        <v>41419.524249999995</v>
      </c>
      <c r="G196" s="26">
        <v>6301.4242499999964</v>
      </c>
    </row>
    <row r="197" spans="1:7" x14ac:dyDescent="0.25">
      <c r="A197" s="24" t="s">
        <v>341</v>
      </c>
      <c r="B197" s="6">
        <v>3799.8031499999997</v>
      </c>
      <c r="C197" s="6">
        <v>1117.1131499999997</v>
      </c>
      <c r="E197" s="24" t="s">
        <v>293</v>
      </c>
      <c r="F197" s="26">
        <v>8907.6924999999992</v>
      </c>
      <c r="G197" s="26">
        <v>4140.392499999999</v>
      </c>
    </row>
    <row r="198" spans="1:7" x14ac:dyDescent="0.25">
      <c r="A198" s="24" t="s">
        <v>328</v>
      </c>
      <c r="B198" s="6">
        <v>5032.4433599999993</v>
      </c>
      <c r="C198" s="6">
        <v>847.49335999999948</v>
      </c>
      <c r="E198" s="24" t="s">
        <v>232</v>
      </c>
      <c r="F198" s="26">
        <v>6535.6324800000002</v>
      </c>
      <c r="G198" s="26">
        <v>1444.3124800000005</v>
      </c>
    </row>
    <row r="199" spans="1:7" x14ac:dyDescent="0.25">
      <c r="A199" s="24" t="s">
        <v>73</v>
      </c>
      <c r="B199" s="6">
        <v>61448.268000000004</v>
      </c>
      <c r="C199" s="6">
        <v>-7179.7319999999963</v>
      </c>
      <c r="E199" s="23" t="s">
        <v>718</v>
      </c>
      <c r="F199" s="26">
        <v>44468.934560000009</v>
      </c>
      <c r="G199" s="26">
        <v>19359.594560000009</v>
      </c>
    </row>
    <row r="200" spans="1:7" x14ac:dyDescent="0.25">
      <c r="A200" s="23" t="s">
        <v>715</v>
      </c>
      <c r="B200" s="6">
        <v>58703.126260000005</v>
      </c>
      <c r="C200" s="6">
        <v>23524.336260000004</v>
      </c>
      <c r="E200" s="24" t="s">
        <v>280</v>
      </c>
      <c r="F200" s="26">
        <v>38818.760160000005</v>
      </c>
      <c r="G200" s="26">
        <v>17764.670160000009</v>
      </c>
    </row>
    <row r="201" spans="1:7" x14ac:dyDescent="0.25">
      <c r="A201" s="24" t="s">
        <v>462</v>
      </c>
      <c r="B201" s="6">
        <v>45547.183360000003</v>
      </c>
      <c r="C201" s="6">
        <v>17820.683360000003</v>
      </c>
      <c r="E201" s="24" t="s">
        <v>176</v>
      </c>
      <c r="F201" s="26">
        <v>5650.1744000000008</v>
      </c>
      <c r="G201" s="26">
        <v>1594.9244000000008</v>
      </c>
    </row>
    <row r="202" spans="1:7" x14ac:dyDescent="0.25">
      <c r="A202" s="24" t="s">
        <v>329</v>
      </c>
      <c r="B202" s="6">
        <v>8780.5809000000008</v>
      </c>
      <c r="C202" s="6">
        <v>3847.7309000000014</v>
      </c>
      <c r="E202" s="23" t="s">
        <v>719</v>
      </c>
      <c r="F202" s="26">
        <v>52769.967720000001</v>
      </c>
      <c r="G202" s="26">
        <v>17923.787719999997</v>
      </c>
    </row>
    <row r="203" spans="1:7" x14ac:dyDescent="0.25">
      <c r="A203" s="24" t="s">
        <v>272</v>
      </c>
      <c r="B203" s="6">
        <v>4375.3620000000001</v>
      </c>
      <c r="C203" s="6">
        <v>1855.922</v>
      </c>
      <c r="E203" s="24" t="s">
        <v>63</v>
      </c>
      <c r="F203" s="26">
        <v>35621.302319999995</v>
      </c>
      <c r="G203" s="26">
        <v>14996.902319999994</v>
      </c>
    </row>
    <row r="204" spans="1:7" x14ac:dyDescent="0.25">
      <c r="A204" s="23" t="s">
        <v>712</v>
      </c>
      <c r="B204" s="6">
        <v>65722.616070000004</v>
      </c>
      <c r="C204" s="6">
        <v>22744.336070000001</v>
      </c>
      <c r="E204" s="24" t="s">
        <v>169</v>
      </c>
      <c r="F204" s="26">
        <v>11015.510400000003</v>
      </c>
      <c r="G204" s="26">
        <v>2336.6104000000032</v>
      </c>
    </row>
    <row r="205" spans="1:7" x14ac:dyDescent="0.25">
      <c r="A205" s="24" t="s">
        <v>510</v>
      </c>
      <c r="B205" s="6">
        <v>30692.47896</v>
      </c>
      <c r="C205" s="6">
        <v>15178.158960000001</v>
      </c>
      <c r="E205" s="24" t="s">
        <v>241</v>
      </c>
      <c r="F205" s="26">
        <v>5533.6230000000005</v>
      </c>
      <c r="G205" s="26">
        <v>574.26300000000083</v>
      </c>
    </row>
    <row r="206" spans="1:7" x14ac:dyDescent="0.25">
      <c r="A206" s="24" t="s">
        <v>608</v>
      </c>
      <c r="B206" s="6">
        <v>8366.02</v>
      </c>
      <c r="C206" s="6">
        <v>4221.2300000000005</v>
      </c>
      <c r="E206" s="24" t="s">
        <v>66</v>
      </c>
      <c r="F206" s="26">
        <v>599.53200000000004</v>
      </c>
      <c r="G206" s="26">
        <v>16.012000000000057</v>
      </c>
    </row>
    <row r="207" spans="1:7" x14ac:dyDescent="0.25">
      <c r="A207" s="24" t="s">
        <v>40</v>
      </c>
      <c r="B207" s="6">
        <v>8596.2905599999995</v>
      </c>
      <c r="C207" s="6">
        <v>2628.8905599999998</v>
      </c>
      <c r="E207" s="23" t="s">
        <v>717</v>
      </c>
      <c r="F207" s="26">
        <v>63031.996000000006</v>
      </c>
      <c r="G207" s="26">
        <v>16470.996000000006</v>
      </c>
    </row>
    <row r="208" spans="1:7" x14ac:dyDescent="0.25">
      <c r="A208" s="24" t="s">
        <v>459</v>
      </c>
      <c r="B208" s="6">
        <v>1925.29872</v>
      </c>
      <c r="C208" s="6">
        <v>937.01872000000003</v>
      </c>
      <c r="E208" s="24" t="s">
        <v>196</v>
      </c>
      <c r="F208" s="26">
        <v>41352.246200000009</v>
      </c>
      <c r="G208" s="26">
        <v>18700.046200000012</v>
      </c>
    </row>
    <row r="209" spans="1:7" x14ac:dyDescent="0.25">
      <c r="A209" s="24" t="s">
        <v>404</v>
      </c>
      <c r="B209" s="6">
        <v>16142.527829999999</v>
      </c>
      <c r="C209" s="6">
        <v>-220.9621700000007</v>
      </c>
      <c r="E209" s="24" t="s">
        <v>210</v>
      </c>
      <c r="F209" s="26">
        <v>21679.749799999998</v>
      </c>
      <c r="G209" s="26">
        <v>-2229.0502000000051</v>
      </c>
    </row>
    <row r="210" spans="1:7" x14ac:dyDescent="0.25">
      <c r="A210" s="23" t="s">
        <v>720</v>
      </c>
      <c r="B210" s="6">
        <v>72114.05356</v>
      </c>
      <c r="C210" s="6">
        <v>22279.783560000003</v>
      </c>
      <c r="E210" s="23" t="s">
        <v>720</v>
      </c>
      <c r="F210" s="26">
        <v>41436.798380000007</v>
      </c>
      <c r="G210" s="26">
        <v>15581.588380000007</v>
      </c>
    </row>
    <row r="211" spans="1:7" x14ac:dyDescent="0.25">
      <c r="A211" s="24" t="s">
        <v>581</v>
      </c>
      <c r="B211" s="6">
        <v>44173.627960000005</v>
      </c>
      <c r="C211" s="6">
        <v>17260.177960000005</v>
      </c>
      <c r="E211" s="24" t="s">
        <v>224</v>
      </c>
      <c r="F211" s="26">
        <v>18061.204320000004</v>
      </c>
      <c r="G211" s="26">
        <v>8200.7143200000046</v>
      </c>
    </row>
    <row r="212" spans="1:7" x14ac:dyDescent="0.25">
      <c r="A212" s="24" t="s">
        <v>595</v>
      </c>
      <c r="B212" s="6">
        <v>6137.8019999999988</v>
      </c>
      <c r="C212" s="6">
        <v>3556.601999999999</v>
      </c>
      <c r="E212" s="24" t="s">
        <v>306</v>
      </c>
      <c r="F212" s="26">
        <v>23375.594060000003</v>
      </c>
      <c r="G212" s="26">
        <v>7380.8740600000019</v>
      </c>
    </row>
    <row r="213" spans="1:7" x14ac:dyDescent="0.25">
      <c r="A213" s="24" t="s">
        <v>527</v>
      </c>
      <c r="B213" s="6">
        <v>5189.8836000000001</v>
      </c>
      <c r="C213" s="6">
        <v>1169.0336000000002</v>
      </c>
      <c r="E213" s="23" t="s">
        <v>724</v>
      </c>
      <c r="F213" s="26">
        <v>46462.078410000002</v>
      </c>
      <c r="G213" s="26">
        <v>14067.788410000001</v>
      </c>
    </row>
    <row r="214" spans="1:7" x14ac:dyDescent="0.25">
      <c r="A214" s="24" t="s">
        <v>431</v>
      </c>
      <c r="B214" s="6">
        <v>7969.4615000000003</v>
      </c>
      <c r="C214" s="6">
        <v>1163.8715000000002</v>
      </c>
      <c r="E214" s="24" t="s">
        <v>356</v>
      </c>
      <c r="F214" s="26">
        <v>20053.439999999999</v>
      </c>
      <c r="G214" s="26">
        <v>11189.529999999999</v>
      </c>
    </row>
    <row r="215" spans="1:7" x14ac:dyDescent="0.25">
      <c r="A215" s="24" t="s">
        <v>124</v>
      </c>
      <c r="B215" s="6">
        <v>549.80010000000004</v>
      </c>
      <c r="C215" s="6">
        <v>-36.079899999999952</v>
      </c>
      <c r="E215" s="24" t="s">
        <v>199</v>
      </c>
      <c r="F215" s="26">
        <v>26408.63841</v>
      </c>
      <c r="G215" s="26">
        <v>2878.2584100000022</v>
      </c>
    </row>
    <row r="216" spans="1:7" x14ac:dyDescent="0.25">
      <c r="A216" s="24" t="s">
        <v>317</v>
      </c>
      <c r="B216" s="6">
        <v>8093.4784</v>
      </c>
      <c r="C216" s="6">
        <v>-833.82159999999931</v>
      </c>
      <c r="E216" s="23" t="s">
        <v>716</v>
      </c>
      <c r="F216" s="26">
        <v>58941.084999999999</v>
      </c>
      <c r="G216" s="26">
        <v>9014.4249999999993</v>
      </c>
    </row>
    <row r="217" spans="1:7" x14ac:dyDescent="0.25">
      <c r="A217" s="23" t="s">
        <v>1422</v>
      </c>
      <c r="B217" s="6">
        <v>39516.804389999998</v>
      </c>
      <c r="C217" s="6">
        <v>21088.284389999997</v>
      </c>
      <c r="E217" s="24" t="s">
        <v>512</v>
      </c>
      <c r="F217" s="26">
        <v>8644.6696000000011</v>
      </c>
      <c r="G217" s="26">
        <v>4570.1896000000015</v>
      </c>
    </row>
    <row r="218" spans="1:7" x14ac:dyDescent="0.25">
      <c r="A218" s="24" t="s">
        <v>135</v>
      </c>
      <c r="B218" s="6">
        <v>39516.804389999998</v>
      </c>
      <c r="C218" s="6">
        <v>21088.284389999997</v>
      </c>
      <c r="E218" s="24" t="s">
        <v>526</v>
      </c>
      <c r="F218" s="26">
        <v>50296.415399999998</v>
      </c>
      <c r="G218" s="26">
        <v>4444.2353999999978</v>
      </c>
    </row>
    <row r="219" spans="1:7" x14ac:dyDescent="0.25">
      <c r="A219" s="23" t="s">
        <v>725</v>
      </c>
      <c r="B219" s="6">
        <v>45572.942239999997</v>
      </c>
      <c r="C219" s="6">
        <v>20390.502239999998</v>
      </c>
      <c r="E219" s="23" t="s">
        <v>723</v>
      </c>
      <c r="F219" s="26">
        <v>10786.32144</v>
      </c>
      <c r="G219" s="26">
        <v>6092.4014399999996</v>
      </c>
    </row>
    <row r="220" spans="1:7" x14ac:dyDescent="0.25">
      <c r="A220" s="24" t="s">
        <v>642</v>
      </c>
      <c r="B220" s="6">
        <v>33017.42</v>
      </c>
      <c r="C220" s="6">
        <v>14455.96</v>
      </c>
      <c r="E220" s="24" t="s">
        <v>630</v>
      </c>
      <c r="F220" s="26">
        <v>10786.32144</v>
      </c>
      <c r="G220" s="26">
        <v>6092.4014399999996</v>
      </c>
    </row>
    <row r="221" spans="1:7" x14ac:dyDescent="0.25">
      <c r="A221" s="24" t="s">
        <v>52</v>
      </c>
      <c r="B221" s="6">
        <v>11995.153920000001</v>
      </c>
      <c r="C221" s="6">
        <v>5937.6339200000002</v>
      </c>
      <c r="E221" s="23" t="s">
        <v>715</v>
      </c>
      <c r="F221" s="26">
        <v>6824.2884000000004</v>
      </c>
      <c r="G221" s="26">
        <v>1383.4284000000007</v>
      </c>
    </row>
    <row r="222" spans="1:7" x14ac:dyDescent="0.25">
      <c r="A222" s="24" t="s">
        <v>277</v>
      </c>
      <c r="B222" s="6">
        <v>560.36831999999993</v>
      </c>
      <c r="C222" s="6">
        <v>-3.0916800000001103</v>
      </c>
      <c r="E222" s="24" t="s">
        <v>183</v>
      </c>
      <c r="F222" s="26">
        <v>6824.2884000000004</v>
      </c>
      <c r="G222" s="26">
        <v>1383.4284000000007</v>
      </c>
    </row>
    <row r="223" spans="1:7" x14ac:dyDescent="0.25">
      <c r="A223" s="23" t="s">
        <v>718</v>
      </c>
      <c r="B223" s="6">
        <v>35194.599369999996</v>
      </c>
      <c r="C223" s="6">
        <v>15879.499370000001</v>
      </c>
      <c r="E223" s="23" t="s">
        <v>725</v>
      </c>
      <c r="F223" s="26">
        <v>6766.9829999999993</v>
      </c>
      <c r="G223" s="26">
        <v>67.082999999998719</v>
      </c>
    </row>
    <row r="224" spans="1:7" x14ac:dyDescent="0.25">
      <c r="A224" s="24" t="s">
        <v>309</v>
      </c>
      <c r="B224" s="6">
        <v>20455.985130000001</v>
      </c>
      <c r="C224" s="6">
        <v>10919.815130000001</v>
      </c>
      <c r="E224" s="24" t="s">
        <v>575</v>
      </c>
      <c r="F224" s="26">
        <v>6766.9829999999993</v>
      </c>
      <c r="G224" s="26">
        <v>67.082999999998719</v>
      </c>
    </row>
    <row r="225" spans="1:7" x14ac:dyDescent="0.25">
      <c r="A225" s="24" t="s">
        <v>107</v>
      </c>
      <c r="B225" s="6">
        <v>10161.46624</v>
      </c>
      <c r="C225" s="6">
        <v>3729.3862399999998</v>
      </c>
      <c r="E225" s="23" t="s">
        <v>1422</v>
      </c>
      <c r="F225" s="26">
        <v>7568.9632000000001</v>
      </c>
      <c r="G225" s="26">
        <v>-3886.0768000000007</v>
      </c>
    </row>
    <row r="226" spans="1:7" x14ac:dyDescent="0.25">
      <c r="A226" s="24" t="s">
        <v>585</v>
      </c>
      <c r="B226" s="6">
        <v>4577.1480000000001</v>
      </c>
      <c r="C226" s="6">
        <v>1230.2980000000002</v>
      </c>
      <c r="E226" s="24" t="s">
        <v>273</v>
      </c>
      <c r="F226" s="26">
        <v>7568.9632000000001</v>
      </c>
      <c r="G226" s="26">
        <v>-3886.0768000000007</v>
      </c>
    </row>
    <row r="227" spans="1:7" x14ac:dyDescent="0.25">
      <c r="A227" s="23" t="s">
        <v>723</v>
      </c>
      <c r="B227" s="6">
        <v>38083.713840000004</v>
      </c>
      <c r="C227" s="6">
        <v>12645.063839999999</v>
      </c>
      <c r="E227" s="23" t="s">
        <v>713</v>
      </c>
      <c r="F227" s="26">
        <v>66082.145649999991</v>
      </c>
      <c r="G227" s="26">
        <v>-8907.9243500000066</v>
      </c>
    </row>
    <row r="228" spans="1:7" x14ac:dyDescent="0.25">
      <c r="A228" s="24" t="s">
        <v>609</v>
      </c>
      <c r="B228" s="6">
        <v>14910.609600000002</v>
      </c>
      <c r="C228" s="6">
        <v>8129.7396000000017</v>
      </c>
      <c r="E228" s="24" t="s">
        <v>449</v>
      </c>
      <c r="F228" s="26">
        <v>27249</v>
      </c>
      <c r="G228" s="26">
        <v>4025.4000000000015</v>
      </c>
    </row>
    <row r="229" spans="1:7" x14ac:dyDescent="0.25">
      <c r="A229" s="24" t="s">
        <v>93</v>
      </c>
      <c r="B229" s="6">
        <v>10455.7932</v>
      </c>
      <c r="C229" s="6">
        <v>3308.5931999999993</v>
      </c>
      <c r="E229" s="24" t="s">
        <v>315</v>
      </c>
      <c r="F229" s="26">
        <v>9866.3104799999983</v>
      </c>
      <c r="G229" s="26">
        <v>4017.1204799999987</v>
      </c>
    </row>
    <row r="230" spans="1:7" x14ac:dyDescent="0.25">
      <c r="A230" s="24" t="s">
        <v>378</v>
      </c>
      <c r="B230" s="6">
        <v>12717.311040000001</v>
      </c>
      <c r="C230" s="6">
        <v>1206.7310399999988</v>
      </c>
      <c r="E230" s="24" t="s">
        <v>123</v>
      </c>
      <c r="F230" s="26">
        <v>1660.3999999999999</v>
      </c>
      <c r="G230" s="26">
        <v>838.99999999999989</v>
      </c>
    </row>
    <row r="231" spans="1:7" x14ac:dyDescent="0.25">
      <c r="A231" s="23" t="s">
        <v>726</v>
      </c>
      <c r="B231" s="6">
        <v>63331.299460000002</v>
      </c>
      <c r="C231" s="6">
        <v>9081.6494599999987</v>
      </c>
      <c r="E231" s="24" t="s">
        <v>184</v>
      </c>
      <c r="F231" s="26">
        <v>2316.2621999999997</v>
      </c>
      <c r="G231" s="26">
        <v>597.01219999999967</v>
      </c>
    </row>
    <row r="232" spans="1:7" x14ac:dyDescent="0.25">
      <c r="A232" s="24" t="s">
        <v>542</v>
      </c>
      <c r="B232" s="6">
        <v>58526.83122</v>
      </c>
      <c r="C232" s="6">
        <v>11385.971219999999</v>
      </c>
      <c r="E232" s="24" t="s">
        <v>446</v>
      </c>
      <c r="F232" s="26">
        <v>2627.6239999999998</v>
      </c>
      <c r="G232" s="26">
        <v>-1214.2760000000003</v>
      </c>
    </row>
    <row r="233" spans="1:7" x14ac:dyDescent="0.25">
      <c r="A233" s="24" t="s">
        <v>375</v>
      </c>
      <c r="B233" s="6">
        <v>4804.4682400000002</v>
      </c>
      <c r="C233" s="6">
        <v>-2304.3217600000007</v>
      </c>
      <c r="E233" s="24" t="s">
        <v>207</v>
      </c>
      <c r="F233" s="26">
        <v>4402.1164799999997</v>
      </c>
      <c r="G233" s="26">
        <v>-1516.5235200000006</v>
      </c>
    </row>
    <row r="234" spans="1:7" x14ac:dyDescent="0.25">
      <c r="A234" s="23" t="s">
        <v>717</v>
      </c>
      <c r="B234" s="6">
        <v>12019.580310000001</v>
      </c>
      <c r="C234" s="6">
        <v>4363.9303100000006</v>
      </c>
      <c r="E234" s="24" t="s">
        <v>16</v>
      </c>
      <c r="F234" s="26">
        <v>17960.432489999999</v>
      </c>
      <c r="G234" s="26">
        <v>-15655.657510000005</v>
      </c>
    </row>
    <row r="235" spans="1:7" x14ac:dyDescent="0.25">
      <c r="A235" s="24" t="s">
        <v>467</v>
      </c>
      <c r="B235" s="6">
        <v>11984.891250000001</v>
      </c>
      <c r="C235" s="6">
        <v>4377.4812500000007</v>
      </c>
      <c r="E235" s="22" t="s">
        <v>1452</v>
      </c>
      <c r="F235" s="26"/>
      <c r="G235" s="26"/>
    </row>
    <row r="236" spans="1:7" x14ac:dyDescent="0.25">
      <c r="A236" s="24" t="s">
        <v>127</v>
      </c>
      <c r="B236" s="6">
        <v>34.689059999999998</v>
      </c>
      <c r="C236" s="6">
        <v>-13.550940000000004</v>
      </c>
      <c r="E236" s="23" t="s">
        <v>716</v>
      </c>
      <c r="F236" s="26">
        <v>72928.716119999997</v>
      </c>
      <c r="G236" s="26">
        <v>39538.866119999999</v>
      </c>
    </row>
    <row r="237" spans="1:7" x14ac:dyDescent="0.25">
      <c r="A237" s="23" t="s">
        <v>714</v>
      </c>
      <c r="B237" s="6">
        <v>27153.40538</v>
      </c>
      <c r="C237" s="6">
        <v>1549.035380000003</v>
      </c>
      <c r="E237" s="24" t="s">
        <v>115</v>
      </c>
      <c r="F237" s="26">
        <v>52780.07</v>
      </c>
      <c r="G237" s="26">
        <v>31475.329999999998</v>
      </c>
    </row>
    <row r="238" spans="1:7" x14ac:dyDescent="0.25">
      <c r="A238" s="24" t="s">
        <v>592</v>
      </c>
      <c r="B238" s="6">
        <v>6732.4334000000008</v>
      </c>
      <c r="C238" s="6">
        <v>1473.4734000000008</v>
      </c>
      <c r="E238" s="24" t="s">
        <v>373</v>
      </c>
      <c r="F238" s="26">
        <v>14813.731920000002</v>
      </c>
      <c r="G238" s="26">
        <v>6152.7419200000022</v>
      </c>
    </row>
    <row r="239" spans="1:7" x14ac:dyDescent="0.25">
      <c r="A239" s="24" t="s">
        <v>54</v>
      </c>
      <c r="B239" s="6">
        <v>3562.1983800000003</v>
      </c>
      <c r="C239" s="6">
        <v>736.28838000000042</v>
      </c>
      <c r="E239" s="24" t="s">
        <v>322</v>
      </c>
      <c r="F239" s="26">
        <v>5334.9141999999993</v>
      </c>
      <c r="G239" s="26">
        <v>1910.7941999999989</v>
      </c>
    </row>
    <row r="240" spans="1:7" x14ac:dyDescent="0.25">
      <c r="A240" s="24" t="s">
        <v>383</v>
      </c>
      <c r="B240" s="6">
        <v>4569.5735999999997</v>
      </c>
      <c r="C240" s="6">
        <v>483.17359999999962</v>
      </c>
      <c r="E240" s="23" t="s">
        <v>715</v>
      </c>
      <c r="F240" s="26">
        <v>86590.119320000013</v>
      </c>
      <c r="G240" s="26">
        <v>33975.499320000003</v>
      </c>
    </row>
    <row r="241" spans="1:7" x14ac:dyDescent="0.25">
      <c r="A241" s="24" t="s">
        <v>463</v>
      </c>
      <c r="B241" s="6">
        <v>12289.2</v>
      </c>
      <c r="C241" s="6">
        <v>-1143.8999999999978</v>
      </c>
      <c r="E241" s="24" t="s">
        <v>494</v>
      </c>
      <c r="F241" s="26">
        <v>40488.792960000006</v>
      </c>
      <c r="G241" s="26">
        <v>20983.832960000007</v>
      </c>
    </row>
    <row r="242" spans="1:7" x14ac:dyDescent="0.25">
      <c r="A242" s="22" t="s">
        <v>1459</v>
      </c>
      <c r="C242" s="6"/>
      <c r="E242" s="24" t="s">
        <v>465</v>
      </c>
      <c r="F242" s="26">
        <v>19628.476999999999</v>
      </c>
      <c r="G242" s="26">
        <v>10897.877</v>
      </c>
    </row>
    <row r="243" spans="1:7" x14ac:dyDescent="0.25">
      <c r="A243" s="23" t="s">
        <v>713</v>
      </c>
      <c r="B243" s="6">
        <v>132537.20927000002</v>
      </c>
      <c r="C243" s="6">
        <v>58673.429270000008</v>
      </c>
      <c r="E243" s="24" t="s">
        <v>25</v>
      </c>
      <c r="F243" s="26">
        <v>16006.14344</v>
      </c>
      <c r="G243" s="26">
        <v>1190.23344</v>
      </c>
    </row>
    <row r="244" spans="1:7" x14ac:dyDescent="0.25">
      <c r="A244" s="24" t="s">
        <v>638</v>
      </c>
      <c r="B244" s="6">
        <v>50090.397499999999</v>
      </c>
      <c r="C244" s="6">
        <v>23519.177499999998</v>
      </c>
      <c r="E244" s="24" t="s">
        <v>128</v>
      </c>
      <c r="F244" s="26">
        <v>2117.4834999999998</v>
      </c>
      <c r="G244" s="26">
        <v>554.49349999999981</v>
      </c>
    </row>
    <row r="245" spans="1:7" x14ac:dyDescent="0.25">
      <c r="A245" s="24" t="s">
        <v>496</v>
      </c>
      <c r="B245" s="6">
        <v>36161.097000000002</v>
      </c>
      <c r="C245" s="6">
        <v>16862.697000000004</v>
      </c>
      <c r="E245" s="24" t="s">
        <v>212</v>
      </c>
      <c r="F245" s="26">
        <v>8349.2224200000001</v>
      </c>
      <c r="G245" s="26">
        <v>349.06241999999929</v>
      </c>
    </row>
    <row r="246" spans="1:7" x14ac:dyDescent="0.25">
      <c r="A246" s="24" t="s">
        <v>122</v>
      </c>
      <c r="B246" s="6">
        <v>23687.524440000001</v>
      </c>
      <c r="C246" s="6">
        <v>10021.924440000003</v>
      </c>
      <c r="E246" s="23" t="s">
        <v>717</v>
      </c>
      <c r="F246" s="26">
        <v>85821.398440000004</v>
      </c>
      <c r="G246" s="26">
        <v>24416.058440000001</v>
      </c>
    </row>
    <row r="247" spans="1:7" x14ac:dyDescent="0.25">
      <c r="A247" s="24" t="s">
        <v>505</v>
      </c>
      <c r="B247" s="6">
        <v>6664.0999999999995</v>
      </c>
      <c r="C247" s="6">
        <v>3688.2</v>
      </c>
      <c r="E247" s="24" t="s">
        <v>227</v>
      </c>
      <c r="F247" s="26">
        <v>24223.05</v>
      </c>
      <c r="G247" s="26">
        <v>11215.619999999999</v>
      </c>
    </row>
    <row r="248" spans="1:7" x14ac:dyDescent="0.25">
      <c r="A248" s="24" t="s">
        <v>198</v>
      </c>
      <c r="B248" s="6">
        <v>8698.8768300000011</v>
      </c>
      <c r="C248" s="6">
        <v>3164.4668300000012</v>
      </c>
      <c r="E248" s="24" t="s">
        <v>549</v>
      </c>
      <c r="F248" s="26">
        <v>15155.326800000001</v>
      </c>
      <c r="G248" s="26">
        <v>6447.8868000000002</v>
      </c>
    </row>
    <row r="249" spans="1:7" x14ac:dyDescent="0.25">
      <c r="A249" s="24" t="s">
        <v>284</v>
      </c>
      <c r="B249" s="6">
        <v>7235.2134999999998</v>
      </c>
      <c r="C249" s="6">
        <v>1416.9634999999998</v>
      </c>
      <c r="E249" s="24" t="s">
        <v>298</v>
      </c>
      <c r="F249" s="26">
        <v>15505.479600000001</v>
      </c>
      <c r="G249" s="26">
        <v>3290.3196000000007</v>
      </c>
    </row>
    <row r="250" spans="1:7" x14ac:dyDescent="0.25">
      <c r="A250" s="23" t="s">
        <v>720</v>
      </c>
      <c r="B250" s="6">
        <v>89013.725000000006</v>
      </c>
      <c r="C250" s="6">
        <v>43964.50499999999</v>
      </c>
      <c r="E250" s="24" t="s">
        <v>579</v>
      </c>
      <c r="F250" s="26">
        <v>4229.4321199999995</v>
      </c>
      <c r="G250" s="26">
        <v>2128.0721199999994</v>
      </c>
    </row>
    <row r="251" spans="1:7" x14ac:dyDescent="0.25">
      <c r="A251" s="24" t="s">
        <v>410</v>
      </c>
      <c r="B251" s="6">
        <v>56176.777799999996</v>
      </c>
      <c r="C251" s="6">
        <v>28223.377799999995</v>
      </c>
      <c r="E251" s="24" t="s">
        <v>20</v>
      </c>
      <c r="F251" s="26">
        <v>4141.7599999999993</v>
      </c>
      <c r="G251" s="26">
        <v>1930.6699999999992</v>
      </c>
    </row>
    <row r="252" spans="1:7" x14ac:dyDescent="0.25">
      <c r="A252" s="24" t="s">
        <v>304</v>
      </c>
      <c r="B252" s="6">
        <v>19066.045319999997</v>
      </c>
      <c r="C252" s="6">
        <v>9686.9653199999993</v>
      </c>
      <c r="E252" s="24" t="s">
        <v>340</v>
      </c>
      <c r="F252" s="26">
        <v>2373.9623200000001</v>
      </c>
      <c r="G252" s="26">
        <v>1133.8823200000002</v>
      </c>
    </row>
    <row r="253" spans="1:7" x14ac:dyDescent="0.25">
      <c r="A253" s="24" t="s">
        <v>547</v>
      </c>
      <c r="B253" s="6">
        <v>11924.0978</v>
      </c>
      <c r="C253" s="6">
        <v>5160.3977999999997</v>
      </c>
      <c r="E253" s="24" t="s">
        <v>313</v>
      </c>
      <c r="F253" s="26">
        <v>12699.28</v>
      </c>
      <c r="G253" s="26">
        <v>-318.55999999999949</v>
      </c>
    </row>
    <row r="254" spans="1:7" x14ac:dyDescent="0.25">
      <c r="A254" s="24" t="s">
        <v>565</v>
      </c>
      <c r="B254" s="6">
        <v>1846.8040799999999</v>
      </c>
      <c r="C254" s="6">
        <v>893.76407999999992</v>
      </c>
      <c r="E254" s="24" t="s">
        <v>335</v>
      </c>
      <c r="F254" s="26">
        <v>7493.1076000000012</v>
      </c>
      <c r="G254" s="26">
        <v>-1411.8323999999975</v>
      </c>
    </row>
    <row r="255" spans="1:7" x14ac:dyDescent="0.25">
      <c r="A255" s="23" t="s">
        <v>716</v>
      </c>
      <c r="B255" s="6">
        <v>80158.382689999999</v>
      </c>
      <c r="C255" s="6">
        <v>37444.592690000005</v>
      </c>
      <c r="E255" s="23" t="s">
        <v>714</v>
      </c>
      <c r="F255" s="26">
        <v>42570.618660000007</v>
      </c>
      <c r="G255" s="26">
        <v>18424.548660000008</v>
      </c>
    </row>
    <row r="256" spans="1:7" x14ac:dyDescent="0.25">
      <c r="A256" s="24" t="s">
        <v>551</v>
      </c>
      <c r="B256" s="6">
        <v>50958.766320000002</v>
      </c>
      <c r="C256" s="6">
        <v>23833.066320000002</v>
      </c>
      <c r="E256" s="24" t="s">
        <v>528</v>
      </c>
      <c r="F256" s="26">
        <v>33308.550000000003</v>
      </c>
      <c r="G256" s="26">
        <v>17596.920000000006</v>
      </c>
    </row>
    <row r="257" spans="1:7" x14ac:dyDescent="0.25">
      <c r="A257" s="24" t="s">
        <v>427</v>
      </c>
      <c r="B257" s="6">
        <v>16134.22069</v>
      </c>
      <c r="C257" s="6">
        <v>7756.4106900000006</v>
      </c>
      <c r="E257" s="24" t="s">
        <v>544</v>
      </c>
      <c r="F257" s="26">
        <v>9262.0686600000008</v>
      </c>
      <c r="G257" s="26">
        <v>827.62866000000031</v>
      </c>
    </row>
    <row r="258" spans="1:7" x14ac:dyDescent="0.25">
      <c r="A258" s="24" t="s">
        <v>457</v>
      </c>
      <c r="B258" s="6">
        <v>5960.04288</v>
      </c>
      <c r="C258" s="6">
        <v>3078.7628799999998</v>
      </c>
      <c r="E258" s="23" t="s">
        <v>720</v>
      </c>
      <c r="F258" s="26">
        <v>50643.261119999996</v>
      </c>
      <c r="G258" s="26">
        <v>15346.081120000001</v>
      </c>
    </row>
    <row r="259" spans="1:7" x14ac:dyDescent="0.25">
      <c r="A259" s="24" t="s">
        <v>346</v>
      </c>
      <c r="B259" s="6">
        <v>7105.3528000000006</v>
      </c>
      <c r="C259" s="6">
        <v>2776.3528000000006</v>
      </c>
      <c r="E259" s="24" t="s">
        <v>144</v>
      </c>
      <c r="F259" s="26">
        <v>16071.44868</v>
      </c>
      <c r="G259" s="26">
        <v>8628.0886800000007</v>
      </c>
    </row>
    <row r="260" spans="1:7" x14ac:dyDescent="0.25">
      <c r="A260" s="23" t="s">
        <v>714</v>
      </c>
      <c r="B260" s="6">
        <v>124682.50071999998</v>
      </c>
      <c r="C260" s="6">
        <v>33612.910719999993</v>
      </c>
      <c r="E260" s="24" t="s">
        <v>587</v>
      </c>
      <c r="F260" s="26">
        <v>19139.594240000002</v>
      </c>
      <c r="G260" s="26">
        <v>4918.4742400000014</v>
      </c>
    </row>
    <row r="261" spans="1:7" x14ac:dyDescent="0.25">
      <c r="A261" s="24" t="s">
        <v>569</v>
      </c>
      <c r="B261" s="6">
        <v>33551.927499999998</v>
      </c>
      <c r="C261" s="6">
        <v>18094.537499999999</v>
      </c>
      <c r="E261" s="24" t="s">
        <v>611</v>
      </c>
      <c r="F261" s="26">
        <v>3116.21</v>
      </c>
      <c r="G261" s="26">
        <v>1621.1100000000001</v>
      </c>
    </row>
    <row r="262" spans="1:7" x14ac:dyDescent="0.25">
      <c r="A262" s="24" t="s">
        <v>174</v>
      </c>
      <c r="B262" s="6">
        <v>29263.754519999995</v>
      </c>
      <c r="C262" s="6">
        <v>12178.014519999993</v>
      </c>
      <c r="E262" s="24" t="s">
        <v>283</v>
      </c>
      <c r="F262" s="26">
        <v>7678.2113999999992</v>
      </c>
      <c r="G262" s="26">
        <v>478.21139999999923</v>
      </c>
    </row>
    <row r="263" spans="1:7" x14ac:dyDescent="0.25">
      <c r="A263" s="24" t="s">
        <v>488</v>
      </c>
      <c r="B263" s="6">
        <v>19233.355499999998</v>
      </c>
      <c r="C263" s="6">
        <v>8370.8954999999969</v>
      </c>
      <c r="E263" s="24" t="s">
        <v>215</v>
      </c>
      <c r="F263" s="26">
        <v>4637.7968000000001</v>
      </c>
      <c r="G263" s="26">
        <v>-299.80320000000029</v>
      </c>
    </row>
    <row r="264" spans="1:7" x14ac:dyDescent="0.25">
      <c r="A264" s="24" t="s">
        <v>96</v>
      </c>
      <c r="B264" s="6">
        <v>18258.868320000001</v>
      </c>
      <c r="C264" s="6">
        <v>-684.33167999999932</v>
      </c>
      <c r="E264" s="23" t="s">
        <v>722</v>
      </c>
      <c r="F264" s="26">
        <v>50418.352979999996</v>
      </c>
      <c r="G264" s="26">
        <v>15096.36298</v>
      </c>
    </row>
    <row r="265" spans="1:7" x14ac:dyDescent="0.25">
      <c r="A265" s="24" t="s">
        <v>206</v>
      </c>
      <c r="B265" s="6">
        <v>24374.594880000001</v>
      </c>
      <c r="C265" s="6">
        <v>-4346.2051199999987</v>
      </c>
      <c r="E265" s="24" t="s">
        <v>28</v>
      </c>
      <c r="F265" s="26">
        <v>21585.15</v>
      </c>
      <c r="G265" s="26">
        <v>11932.200000000003</v>
      </c>
    </row>
    <row r="266" spans="1:7" x14ac:dyDescent="0.25">
      <c r="A266" s="23" t="s">
        <v>717</v>
      </c>
      <c r="B266" s="6">
        <v>87547.335760000002</v>
      </c>
      <c r="C266" s="6">
        <v>31677.605760000002</v>
      </c>
      <c r="E266" s="24" t="s">
        <v>394</v>
      </c>
      <c r="F266" s="26">
        <v>11332.142999999998</v>
      </c>
      <c r="G266" s="26">
        <v>1875.6429999999982</v>
      </c>
    </row>
    <row r="267" spans="1:7" x14ac:dyDescent="0.25">
      <c r="A267" s="24" t="s">
        <v>485</v>
      </c>
      <c r="B267" s="6">
        <v>36549.429260000004</v>
      </c>
      <c r="C267" s="6">
        <v>18506.849260000003</v>
      </c>
      <c r="E267" s="24" t="s">
        <v>344</v>
      </c>
      <c r="F267" s="26">
        <v>2537.2908000000002</v>
      </c>
      <c r="G267" s="26">
        <v>1329.0108000000002</v>
      </c>
    </row>
    <row r="268" spans="1:7" x14ac:dyDescent="0.25">
      <c r="A268" s="24" t="s">
        <v>172</v>
      </c>
      <c r="B268" s="6">
        <v>24147.922500000001</v>
      </c>
      <c r="C268" s="6">
        <v>10696.672500000001</v>
      </c>
      <c r="E268" s="24" t="s">
        <v>214</v>
      </c>
      <c r="F268" s="26">
        <v>14963.769179999999</v>
      </c>
      <c r="G268" s="26">
        <v>-40.490820000000895</v>
      </c>
    </row>
    <row r="269" spans="1:7" x14ac:dyDescent="0.25">
      <c r="A269" s="24" t="s">
        <v>234</v>
      </c>
      <c r="B269" s="6">
        <v>13519.529099999998</v>
      </c>
      <c r="C269" s="6">
        <v>7038.989099999998</v>
      </c>
      <c r="E269" s="23" t="s">
        <v>724</v>
      </c>
      <c r="F269" s="26">
        <v>59369.677579999996</v>
      </c>
      <c r="G269" s="26">
        <v>14446.197579999995</v>
      </c>
    </row>
    <row r="270" spans="1:7" x14ac:dyDescent="0.25">
      <c r="A270" s="24" t="s">
        <v>194</v>
      </c>
      <c r="B270" s="6">
        <v>4420.5961799999995</v>
      </c>
      <c r="C270" s="6">
        <v>-163.98382000000038</v>
      </c>
      <c r="E270" s="24" t="s">
        <v>217</v>
      </c>
      <c r="F270" s="26">
        <v>47962.717579999997</v>
      </c>
      <c r="G270" s="26">
        <v>11703.957579999995</v>
      </c>
    </row>
    <row r="271" spans="1:7" x14ac:dyDescent="0.25">
      <c r="A271" s="24" t="s">
        <v>140</v>
      </c>
      <c r="B271" s="6">
        <v>8909.8587200000002</v>
      </c>
      <c r="C271" s="6">
        <v>-4400.9212799999987</v>
      </c>
      <c r="E271" s="24" t="s">
        <v>541</v>
      </c>
      <c r="F271" s="26">
        <v>11406.96</v>
      </c>
      <c r="G271" s="26">
        <v>2742.24</v>
      </c>
    </row>
    <row r="272" spans="1:7" x14ac:dyDescent="0.25">
      <c r="A272" s="23" t="s">
        <v>721</v>
      </c>
      <c r="B272" s="6">
        <v>63451.121140000003</v>
      </c>
      <c r="C272" s="6">
        <v>30847.781140000003</v>
      </c>
      <c r="E272" s="23" t="s">
        <v>713</v>
      </c>
      <c r="F272" s="26">
        <v>34710.593439999997</v>
      </c>
      <c r="G272" s="26">
        <v>14415.673439999995</v>
      </c>
    </row>
    <row r="273" spans="1:7" x14ac:dyDescent="0.25">
      <c r="A273" s="24" t="s">
        <v>370</v>
      </c>
      <c r="B273" s="6">
        <v>43907.94</v>
      </c>
      <c r="C273" s="6">
        <v>22253.58</v>
      </c>
      <c r="E273" s="24" t="s">
        <v>221</v>
      </c>
      <c r="F273" s="26">
        <v>28386.015839999996</v>
      </c>
      <c r="G273" s="26">
        <v>14990.295839999995</v>
      </c>
    </row>
    <row r="274" spans="1:7" x14ac:dyDescent="0.25">
      <c r="A274" s="24" t="s">
        <v>591</v>
      </c>
      <c r="B274" s="6">
        <v>13882.6016</v>
      </c>
      <c r="C274" s="6">
        <v>6341.2615999999998</v>
      </c>
      <c r="E274" s="24" t="s">
        <v>116</v>
      </c>
      <c r="F274" s="26">
        <v>6324.5775999999996</v>
      </c>
      <c r="G274" s="26">
        <v>-574.62240000000111</v>
      </c>
    </row>
    <row r="275" spans="1:7" x14ac:dyDescent="0.25">
      <c r="A275" s="24" t="s">
        <v>405</v>
      </c>
      <c r="B275" s="6">
        <v>2525.0635000000002</v>
      </c>
      <c r="C275" s="6">
        <v>1375.2635000000002</v>
      </c>
      <c r="E275" s="23" t="s">
        <v>726</v>
      </c>
      <c r="F275" s="26">
        <v>34843.661740000003</v>
      </c>
      <c r="G275" s="26">
        <v>14284.291740000001</v>
      </c>
    </row>
    <row r="276" spans="1:7" x14ac:dyDescent="0.25">
      <c r="A276" s="24" t="s">
        <v>139</v>
      </c>
      <c r="B276" s="6">
        <v>2072.9258400000003</v>
      </c>
      <c r="C276" s="6">
        <v>647.40584000000035</v>
      </c>
      <c r="E276" s="24" t="s">
        <v>369</v>
      </c>
      <c r="F276" s="26">
        <v>23195.01828</v>
      </c>
      <c r="G276" s="26">
        <v>9388.5682799999995</v>
      </c>
    </row>
    <row r="277" spans="1:7" x14ac:dyDescent="0.25">
      <c r="A277" s="24" t="s">
        <v>616</v>
      </c>
      <c r="B277" s="6">
        <v>1062.5902000000001</v>
      </c>
      <c r="C277" s="6">
        <v>230.27020000000005</v>
      </c>
      <c r="E277" s="24" t="s">
        <v>323</v>
      </c>
      <c r="F277" s="26">
        <v>9847.2358600000007</v>
      </c>
      <c r="G277" s="26">
        <v>4223.99586</v>
      </c>
    </row>
    <row r="278" spans="1:7" x14ac:dyDescent="0.25">
      <c r="A278" s="23" t="s">
        <v>725</v>
      </c>
      <c r="B278" s="6">
        <v>85169.104399999982</v>
      </c>
      <c r="C278" s="6">
        <v>28768.73439999999</v>
      </c>
      <c r="E278" s="24" t="s">
        <v>596</v>
      </c>
      <c r="F278" s="26">
        <v>1801.4076000000002</v>
      </c>
      <c r="G278" s="26">
        <v>671.72760000000017</v>
      </c>
    </row>
    <row r="279" spans="1:7" x14ac:dyDescent="0.25">
      <c r="A279" s="24" t="s">
        <v>191</v>
      </c>
      <c r="B279" s="6">
        <v>15656.47056</v>
      </c>
      <c r="C279" s="6">
        <v>7162.3605599999992</v>
      </c>
      <c r="E279" s="23" t="s">
        <v>712</v>
      </c>
      <c r="F279" s="26">
        <v>15337.250480000001</v>
      </c>
      <c r="G279" s="26">
        <v>7138.3104800000001</v>
      </c>
    </row>
    <row r="280" spans="1:7" x14ac:dyDescent="0.25">
      <c r="A280" s="24" t="s">
        <v>256</v>
      </c>
      <c r="B280" s="6">
        <v>34082.864639999993</v>
      </c>
      <c r="C280" s="6">
        <v>7112.1846399999922</v>
      </c>
      <c r="E280" s="24" t="s">
        <v>103</v>
      </c>
      <c r="F280" s="26">
        <v>11842.8464</v>
      </c>
      <c r="G280" s="26">
        <v>6082.1463999999996</v>
      </c>
    </row>
    <row r="281" spans="1:7" x14ac:dyDescent="0.25">
      <c r="A281" s="24" t="s">
        <v>205</v>
      </c>
      <c r="B281" s="6">
        <v>8763.2849999999999</v>
      </c>
      <c r="C281" s="6">
        <v>4296.3850000000002</v>
      </c>
      <c r="E281" s="24" t="s">
        <v>148</v>
      </c>
      <c r="F281" s="26">
        <v>3494.4040799999998</v>
      </c>
      <c r="G281" s="26">
        <v>1056.16408</v>
      </c>
    </row>
    <row r="282" spans="1:7" x14ac:dyDescent="0.25">
      <c r="A282" s="24" t="s">
        <v>529</v>
      </c>
      <c r="B282" s="6">
        <v>10859.64</v>
      </c>
      <c r="C282" s="6">
        <v>3835.7</v>
      </c>
      <c r="E282" s="23" t="s">
        <v>723</v>
      </c>
      <c r="F282" s="26">
        <v>17135.038960000002</v>
      </c>
      <c r="G282" s="26">
        <v>6872.9289600000002</v>
      </c>
    </row>
    <row r="283" spans="1:7" x14ac:dyDescent="0.25">
      <c r="A283" s="24" t="s">
        <v>641</v>
      </c>
      <c r="B283" s="6">
        <v>5096.4790800000001</v>
      </c>
      <c r="C283" s="6">
        <v>2610.03908</v>
      </c>
      <c r="E283" s="24" t="s">
        <v>392</v>
      </c>
      <c r="F283" s="26">
        <v>6576.298960000001</v>
      </c>
      <c r="G283" s="26">
        <v>3551.3889600000011</v>
      </c>
    </row>
    <row r="284" spans="1:7" x14ac:dyDescent="0.25">
      <c r="A284" s="24" t="s">
        <v>236</v>
      </c>
      <c r="B284" s="6">
        <v>4503.4363999999996</v>
      </c>
      <c r="C284" s="6">
        <v>2092.0364</v>
      </c>
      <c r="E284" s="24" t="s">
        <v>56</v>
      </c>
      <c r="F284" s="26">
        <v>10558.74</v>
      </c>
      <c r="G284" s="26">
        <v>3321.5399999999991</v>
      </c>
    </row>
    <row r="285" spans="1:7" x14ac:dyDescent="0.25">
      <c r="A285" s="24" t="s">
        <v>424</v>
      </c>
      <c r="B285" s="6">
        <v>5323.9903199999999</v>
      </c>
      <c r="C285" s="6">
        <v>1594.7103199999997</v>
      </c>
      <c r="E285" s="23" t="s">
        <v>721</v>
      </c>
      <c r="F285" s="26">
        <v>47199.238059999996</v>
      </c>
      <c r="G285" s="26">
        <v>3707.1580599999961</v>
      </c>
    </row>
    <row r="286" spans="1:7" x14ac:dyDescent="0.25">
      <c r="A286" s="24" t="s">
        <v>296</v>
      </c>
      <c r="B286" s="6">
        <v>667.74</v>
      </c>
      <c r="C286" s="6">
        <v>116.6400000000001</v>
      </c>
      <c r="E286" s="24" t="s">
        <v>302</v>
      </c>
      <c r="F286" s="26">
        <v>26765.040239999998</v>
      </c>
      <c r="G286" s="26">
        <v>12392.940239999998</v>
      </c>
    </row>
    <row r="287" spans="1:7" x14ac:dyDescent="0.25">
      <c r="A287" s="24" t="s">
        <v>69</v>
      </c>
      <c r="B287" s="6">
        <v>215.19839999999996</v>
      </c>
      <c r="C287" s="6">
        <v>-51.321600000000018</v>
      </c>
      <c r="E287" s="24" t="s">
        <v>231</v>
      </c>
      <c r="F287" s="26">
        <v>2231.6467200000002</v>
      </c>
      <c r="G287" s="26">
        <v>1024.7667200000001</v>
      </c>
    </row>
    <row r="288" spans="1:7" x14ac:dyDescent="0.25">
      <c r="A288" s="23" t="s">
        <v>724</v>
      </c>
      <c r="B288" s="6">
        <v>64711.873569999996</v>
      </c>
      <c r="C288" s="6">
        <v>22666.623569999996</v>
      </c>
      <c r="E288" s="24" t="s">
        <v>418</v>
      </c>
      <c r="F288" s="26">
        <v>7832.0010999999995</v>
      </c>
      <c r="G288" s="26">
        <v>-1909.0989000000009</v>
      </c>
    </row>
    <row r="289" spans="1:7" x14ac:dyDescent="0.25">
      <c r="A289" s="24" t="s">
        <v>543</v>
      </c>
      <c r="B289" s="6">
        <v>33421.1</v>
      </c>
      <c r="C289" s="6">
        <v>19424.699999999997</v>
      </c>
      <c r="E289" s="24" t="s">
        <v>26</v>
      </c>
      <c r="F289" s="26">
        <v>10370.549999999999</v>
      </c>
      <c r="G289" s="26">
        <v>-7801.4500000000007</v>
      </c>
    </row>
    <row r="290" spans="1:7" x14ac:dyDescent="0.25">
      <c r="A290" s="24" t="s">
        <v>613</v>
      </c>
      <c r="B290" s="6">
        <v>5962.1422499999999</v>
      </c>
      <c r="C290" s="6">
        <v>1829.6422499999999</v>
      </c>
      <c r="E290" s="23" t="s">
        <v>1422</v>
      </c>
      <c r="F290" s="26">
        <v>17359.804799999998</v>
      </c>
      <c r="G290" s="26">
        <v>1269.9647999999979</v>
      </c>
    </row>
    <row r="291" spans="1:7" x14ac:dyDescent="0.25">
      <c r="A291" s="24" t="s">
        <v>395</v>
      </c>
      <c r="B291" s="6">
        <v>12881.097599999999</v>
      </c>
      <c r="C291" s="6">
        <v>1208.877599999998</v>
      </c>
      <c r="E291" s="24" t="s">
        <v>249</v>
      </c>
      <c r="F291" s="26">
        <v>17359.804799999998</v>
      </c>
      <c r="G291" s="26">
        <v>1269.9647999999979</v>
      </c>
    </row>
    <row r="292" spans="1:7" x14ac:dyDescent="0.25">
      <c r="A292" s="24" t="s">
        <v>559</v>
      </c>
      <c r="B292" s="6">
        <v>10792.637119999999</v>
      </c>
      <c r="C292" s="6">
        <v>353.03711999999905</v>
      </c>
      <c r="E292" s="23" t="s">
        <v>718</v>
      </c>
      <c r="F292" s="26">
        <v>34027.968659999999</v>
      </c>
      <c r="G292" s="26">
        <v>-1417.9013400000008</v>
      </c>
    </row>
    <row r="293" spans="1:7" x14ac:dyDescent="0.25">
      <c r="A293" s="24" t="s">
        <v>102</v>
      </c>
      <c r="B293" s="6">
        <v>1654.8966000000003</v>
      </c>
      <c r="C293" s="6">
        <v>-149.63339999999971</v>
      </c>
      <c r="E293" s="24" t="s">
        <v>538</v>
      </c>
      <c r="F293" s="26">
        <v>6435.2555999999995</v>
      </c>
      <c r="G293" s="26">
        <v>2189.7755999999999</v>
      </c>
    </row>
    <row r="294" spans="1:7" x14ac:dyDescent="0.25">
      <c r="A294" s="23" t="s">
        <v>718</v>
      </c>
      <c r="B294" s="6">
        <v>70363.638069999986</v>
      </c>
      <c r="C294" s="6">
        <v>19858.878069999999</v>
      </c>
      <c r="E294" s="24" t="s">
        <v>433</v>
      </c>
      <c r="F294" s="26">
        <v>9509.2865999999995</v>
      </c>
      <c r="G294" s="26">
        <v>1935.3365999999996</v>
      </c>
    </row>
    <row r="295" spans="1:7" x14ac:dyDescent="0.25">
      <c r="A295" s="24" t="s">
        <v>49</v>
      </c>
      <c r="B295" s="6">
        <v>27331.829999999998</v>
      </c>
      <c r="C295" s="6">
        <v>14439.149999999998</v>
      </c>
      <c r="E295" s="24" t="s">
        <v>201</v>
      </c>
      <c r="F295" s="26">
        <v>4831.9464600000001</v>
      </c>
      <c r="G295" s="26">
        <v>1263.5064600000001</v>
      </c>
    </row>
    <row r="296" spans="1:7" x14ac:dyDescent="0.25">
      <c r="A296" s="24" t="s">
        <v>440</v>
      </c>
      <c r="B296" s="6">
        <v>30435.614999999998</v>
      </c>
      <c r="C296" s="6">
        <v>3742.5149999999994</v>
      </c>
      <c r="E296" s="24" t="s">
        <v>574</v>
      </c>
      <c r="F296" s="26">
        <v>13251.48</v>
      </c>
      <c r="G296" s="26">
        <v>-6806.52</v>
      </c>
    </row>
    <row r="297" spans="1:7" x14ac:dyDescent="0.25">
      <c r="A297" s="24" t="s">
        <v>605</v>
      </c>
      <c r="B297" s="6">
        <v>11742.8703</v>
      </c>
      <c r="C297" s="6">
        <v>1784.3703000000005</v>
      </c>
      <c r="E297" s="23" t="s">
        <v>719</v>
      </c>
      <c r="F297" s="26">
        <v>8622.0403399999996</v>
      </c>
      <c r="G297" s="26">
        <v>-1553.6796599999996</v>
      </c>
    </row>
    <row r="298" spans="1:7" x14ac:dyDescent="0.25">
      <c r="A298" s="24" t="s">
        <v>142</v>
      </c>
      <c r="B298" s="6">
        <v>853.32276999999988</v>
      </c>
      <c r="C298" s="6">
        <v>-107.15723000000003</v>
      </c>
      <c r="E298" s="24" t="s">
        <v>22</v>
      </c>
      <c r="F298" s="26">
        <v>685.06776000000002</v>
      </c>
      <c r="G298" s="26">
        <v>174.22776000000005</v>
      </c>
    </row>
    <row r="299" spans="1:7" x14ac:dyDescent="0.25">
      <c r="A299" s="23" t="s">
        <v>1422</v>
      </c>
      <c r="B299" s="6">
        <v>43582.335399999996</v>
      </c>
      <c r="C299" s="6">
        <v>19623.085399999996</v>
      </c>
      <c r="E299" s="24" t="s">
        <v>623</v>
      </c>
      <c r="F299" s="26">
        <v>2077.46</v>
      </c>
      <c r="G299" s="26">
        <v>-7.7899999999999636</v>
      </c>
    </row>
    <row r="300" spans="1:7" x14ac:dyDescent="0.25">
      <c r="A300" s="24" t="s">
        <v>91</v>
      </c>
      <c r="B300" s="6">
        <v>35396.277799999996</v>
      </c>
      <c r="C300" s="6">
        <v>17265.827799999995</v>
      </c>
      <c r="E300" s="24" t="s">
        <v>68</v>
      </c>
      <c r="F300" s="26">
        <v>2518.8755800000004</v>
      </c>
      <c r="G300" s="26">
        <v>-134.55441999999994</v>
      </c>
    </row>
    <row r="301" spans="1:7" x14ac:dyDescent="0.25">
      <c r="A301" s="24" t="s">
        <v>276</v>
      </c>
      <c r="B301" s="6">
        <v>8186.057600000001</v>
      </c>
      <c r="C301" s="6">
        <v>2357.2576000000008</v>
      </c>
      <c r="E301" s="24" t="s">
        <v>554</v>
      </c>
      <c r="F301" s="26">
        <v>3340.6370000000002</v>
      </c>
      <c r="G301" s="26">
        <v>-1585.5629999999996</v>
      </c>
    </row>
    <row r="302" spans="1:7" x14ac:dyDescent="0.25">
      <c r="A302" s="23" t="s">
        <v>726</v>
      </c>
      <c r="B302" s="6">
        <v>71888.653190000012</v>
      </c>
      <c r="C302" s="6">
        <v>16704.573190000006</v>
      </c>
      <c r="E302" s="23" t="s">
        <v>725</v>
      </c>
      <c r="F302" s="26">
        <v>16904.2821</v>
      </c>
      <c r="G302" s="26">
        <v>-6620.7379000000001</v>
      </c>
    </row>
    <row r="303" spans="1:7" x14ac:dyDescent="0.25">
      <c r="A303" s="24" t="s">
        <v>55</v>
      </c>
      <c r="B303" s="6">
        <v>41106.800970000004</v>
      </c>
      <c r="C303" s="6">
        <v>13458.530970000003</v>
      </c>
      <c r="E303" s="24" t="s">
        <v>289</v>
      </c>
      <c r="F303" s="26">
        <v>8567.3924999999999</v>
      </c>
      <c r="G303" s="26">
        <v>101.57250000000022</v>
      </c>
    </row>
    <row r="304" spans="1:7" x14ac:dyDescent="0.25">
      <c r="A304" s="24" t="s">
        <v>509</v>
      </c>
      <c r="B304" s="6">
        <v>4682.9519799999998</v>
      </c>
      <c r="C304" s="6">
        <v>2213.4219799999996</v>
      </c>
      <c r="E304" s="24" t="s">
        <v>147</v>
      </c>
      <c r="F304" s="26">
        <v>8336.8896000000004</v>
      </c>
      <c r="G304" s="26">
        <v>-6722.3104000000003</v>
      </c>
    </row>
    <row r="305" spans="1:7" x14ac:dyDescent="0.25">
      <c r="A305" s="24" t="s">
        <v>415</v>
      </c>
      <c r="B305" s="6">
        <v>17427.164800000002</v>
      </c>
      <c r="C305" s="6">
        <v>1263.8648000000012</v>
      </c>
      <c r="E305" s="22" t="s">
        <v>1463</v>
      </c>
      <c r="F305" s="26"/>
      <c r="G305" s="26"/>
    </row>
    <row r="306" spans="1:7" x14ac:dyDescent="0.25">
      <c r="A306" s="24" t="s">
        <v>83</v>
      </c>
      <c r="B306" s="6">
        <v>8671.7354400000004</v>
      </c>
      <c r="C306" s="6">
        <v>-231.24455999999918</v>
      </c>
      <c r="E306" s="23" t="s">
        <v>723</v>
      </c>
      <c r="F306" s="26">
        <v>133843.54412000001</v>
      </c>
      <c r="G306" s="26">
        <v>49674.044119999991</v>
      </c>
    </row>
    <row r="307" spans="1:7" x14ac:dyDescent="0.25">
      <c r="A307" s="23" t="s">
        <v>719</v>
      </c>
      <c r="B307" s="6">
        <v>38031.751360000002</v>
      </c>
      <c r="C307" s="6">
        <v>15244.58136</v>
      </c>
      <c r="E307" s="24" t="s">
        <v>445</v>
      </c>
      <c r="F307" s="26">
        <v>58057.65</v>
      </c>
      <c r="G307" s="26">
        <v>32830.14</v>
      </c>
    </row>
    <row r="308" spans="1:7" x14ac:dyDescent="0.25">
      <c r="A308" s="24" t="s">
        <v>429</v>
      </c>
      <c r="B308" s="6">
        <v>18411.4084</v>
      </c>
      <c r="C308" s="6">
        <v>9397.9283999999989</v>
      </c>
      <c r="E308" s="24" t="s">
        <v>362</v>
      </c>
      <c r="F308" s="26">
        <v>27158.894079999998</v>
      </c>
      <c r="G308" s="26">
        <v>12237.134079999998</v>
      </c>
    </row>
    <row r="309" spans="1:7" x14ac:dyDescent="0.25">
      <c r="A309" s="24" t="s">
        <v>307</v>
      </c>
      <c r="B309" s="6">
        <v>7382.1450000000004</v>
      </c>
      <c r="C309" s="6">
        <v>4234.9950000000008</v>
      </c>
      <c r="E309" s="24" t="s">
        <v>156</v>
      </c>
      <c r="F309" s="26">
        <v>8211.6342000000004</v>
      </c>
      <c r="G309" s="26">
        <v>3695.3442000000005</v>
      </c>
    </row>
    <row r="310" spans="1:7" x14ac:dyDescent="0.25">
      <c r="A310" s="24" t="s">
        <v>590</v>
      </c>
      <c r="B310" s="6">
        <v>12091.190399999999</v>
      </c>
      <c r="C310" s="6">
        <v>1611.2903999999999</v>
      </c>
      <c r="E310" s="24" t="s">
        <v>31</v>
      </c>
      <c r="F310" s="26">
        <v>25948.414799999995</v>
      </c>
      <c r="G310" s="26">
        <v>998.17479999999341</v>
      </c>
    </row>
    <row r="311" spans="1:7" x14ac:dyDescent="0.25">
      <c r="A311" s="24" t="s">
        <v>111</v>
      </c>
      <c r="B311" s="6">
        <v>147.00756000000001</v>
      </c>
      <c r="C311" s="6">
        <v>0.36755999999999744</v>
      </c>
      <c r="E311" s="24" t="s">
        <v>588</v>
      </c>
      <c r="F311" s="26">
        <v>14466.95104</v>
      </c>
      <c r="G311" s="26">
        <v>-86.748960000000807</v>
      </c>
    </row>
    <row r="312" spans="1:7" x14ac:dyDescent="0.25">
      <c r="A312" s="23" t="s">
        <v>723</v>
      </c>
      <c r="B312" s="6">
        <v>50817.795490000004</v>
      </c>
      <c r="C312" s="6">
        <v>15041.425489999998</v>
      </c>
      <c r="E312" s="23" t="s">
        <v>721</v>
      </c>
      <c r="F312" s="26">
        <v>91877.643599999996</v>
      </c>
      <c r="G312" s="26">
        <v>43738.913599999993</v>
      </c>
    </row>
    <row r="313" spans="1:7" x14ac:dyDescent="0.25">
      <c r="A313" s="24" t="s">
        <v>216</v>
      </c>
      <c r="B313" s="6">
        <v>25299.040000000001</v>
      </c>
      <c r="C313" s="6">
        <v>9950.4599999999991</v>
      </c>
      <c r="E313" s="24" t="s">
        <v>132</v>
      </c>
      <c r="F313" s="26">
        <v>65119.329599999997</v>
      </c>
      <c r="G313" s="26">
        <v>33103.559599999993</v>
      </c>
    </row>
    <row r="314" spans="1:7" x14ac:dyDescent="0.25">
      <c r="A314" s="24" t="s">
        <v>242</v>
      </c>
      <c r="B314" s="6">
        <v>16609.090809999998</v>
      </c>
      <c r="C314" s="6">
        <v>4476.3208099999974</v>
      </c>
      <c r="E314" s="24" t="s">
        <v>470</v>
      </c>
      <c r="F314" s="26">
        <v>20797.98</v>
      </c>
      <c r="G314" s="26">
        <v>7885.92</v>
      </c>
    </row>
    <row r="315" spans="1:7" x14ac:dyDescent="0.25">
      <c r="A315" s="24" t="s">
        <v>170</v>
      </c>
      <c r="B315" s="6">
        <v>8909.6646800000017</v>
      </c>
      <c r="C315" s="6">
        <v>614.64468000000124</v>
      </c>
      <c r="E315" s="24" t="s">
        <v>118</v>
      </c>
      <c r="F315" s="26">
        <v>5960.3340000000007</v>
      </c>
      <c r="G315" s="26">
        <v>2749.4340000000007</v>
      </c>
    </row>
    <row r="316" spans="1:7" x14ac:dyDescent="0.25">
      <c r="A316" s="23" t="s">
        <v>722</v>
      </c>
      <c r="B316" s="6">
        <v>38640.583160000002</v>
      </c>
      <c r="C316" s="6">
        <v>11400.543160000003</v>
      </c>
      <c r="E316" s="23" t="s">
        <v>726</v>
      </c>
      <c r="F316" s="26">
        <v>92455.635249999992</v>
      </c>
      <c r="G316" s="26">
        <v>31005.295249999988</v>
      </c>
    </row>
    <row r="317" spans="1:7" x14ac:dyDescent="0.25">
      <c r="A317" s="24" t="s">
        <v>367</v>
      </c>
      <c r="B317" s="6">
        <v>34816.968000000001</v>
      </c>
      <c r="C317" s="6">
        <v>10149.768000000004</v>
      </c>
      <c r="E317" s="24" t="s">
        <v>564</v>
      </c>
      <c r="F317" s="26">
        <v>29673.454499999993</v>
      </c>
      <c r="G317" s="26">
        <v>14144.854499999992</v>
      </c>
    </row>
    <row r="318" spans="1:7" x14ac:dyDescent="0.25">
      <c r="A318" s="24" t="s">
        <v>598</v>
      </c>
      <c r="B318" s="6">
        <v>3823.6151599999998</v>
      </c>
      <c r="C318" s="6">
        <v>1250.7751599999997</v>
      </c>
      <c r="E318" s="24" t="s">
        <v>631</v>
      </c>
      <c r="F318" s="26">
        <v>29827.32144</v>
      </c>
      <c r="G318" s="26">
        <v>9586.9614399999991</v>
      </c>
    </row>
    <row r="319" spans="1:7" x14ac:dyDescent="0.25">
      <c r="A319" s="23" t="s">
        <v>715</v>
      </c>
      <c r="B319" s="6">
        <v>21908.731650000002</v>
      </c>
      <c r="C319" s="6">
        <v>4910.9716500000031</v>
      </c>
      <c r="E319" s="24" t="s">
        <v>481</v>
      </c>
      <c r="F319" s="26">
        <v>14261.92439</v>
      </c>
      <c r="G319" s="26">
        <v>4403.8243899999998</v>
      </c>
    </row>
    <row r="320" spans="1:7" x14ac:dyDescent="0.25">
      <c r="A320" s="24" t="s">
        <v>498</v>
      </c>
      <c r="B320" s="6">
        <v>21908.731650000002</v>
      </c>
      <c r="C320" s="6">
        <v>4910.9716500000031</v>
      </c>
      <c r="E320" s="24" t="s">
        <v>450</v>
      </c>
      <c r="F320" s="26">
        <v>5546.4642200000008</v>
      </c>
      <c r="G320" s="26">
        <v>2771.1642200000006</v>
      </c>
    </row>
    <row r="321" spans="1:7" x14ac:dyDescent="0.25">
      <c r="A321" s="23" t="s">
        <v>712</v>
      </c>
      <c r="B321" s="6">
        <v>32657.608799999998</v>
      </c>
      <c r="C321" s="6">
        <v>2525.9987999999985</v>
      </c>
      <c r="E321" s="24" t="s">
        <v>100</v>
      </c>
      <c r="F321" s="26">
        <v>13146.470699999998</v>
      </c>
      <c r="G321" s="26">
        <v>98.49069999999665</v>
      </c>
    </row>
    <row r="322" spans="1:7" x14ac:dyDescent="0.25">
      <c r="A322" s="24" t="s">
        <v>441</v>
      </c>
      <c r="B322" s="6">
        <v>25191.3024</v>
      </c>
      <c r="C322" s="6">
        <v>4418.7623999999996</v>
      </c>
      <c r="E322" s="23" t="s">
        <v>720</v>
      </c>
      <c r="F322" s="26">
        <v>103912.62696999998</v>
      </c>
      <c r="G322" s="26">
        <v>27498.656969999996</v>
      </c>
    </row>
    <row r="323" spans="1:7" x14ac:dyDescent="0.25">
      <c r="A323" s="24" t="s">
        <v>615</v>
      </c>
      <c r="B323" s="6">
        <v>7466.3063999999986</v>
      </c>
      <c r="C323" s="6">
        <v>-1892.7636000000011</v>
      </c>
      <c r="E323" s="24" t="s">
        <v>553</v>
      </c>
      <c r="F323" s="26">
        <v>66260.314239999992</v>
      </c>
      <c r="G323" s="26">
        <v>29722.714239999994</v>
      </c>
    </row>
    <row r="324" spans="1:7" x14ac:dyDescent="0.25">
      <c r="A324" s="22" t="s">
        <v>1453</v>
      </c>
      <c r="C324" s="6"/>
      <c r="E324" s="24" t="s">
        <v>423</v>
      </c>
      <c r="F324" s="26">
        <v>23668.560000000001</v>
      </c>
      <c r="G324" s="26">
        <v>6687.9600000000028</v>
      </c>
    </row>
    <row r="325" spans="1:7" x14ac:dyDescent="0.25">
      <c r="A325" s="23" t="s">
        <v>716</v>
      </c>
      <c r="B325" s="6">
        <v>219989.16465999998</v>
      </c>
      <c r="C325" s="6">
        <v>76823.444659999994</v>
      </c>
      <c r="E325" s="24" t="s">
        <v>640</v>
      </c>
      <c r="F325" s="26">
        <v>13983.752729999998</v>
      </c>
      <c r="G325" s="26">
        <v>-8912.0172700000021</v>
      </c>
    </row>
    <row r="326" spans="1:7" x14ac:dyDescent="0.25">
      <c r="A326" s="24" t="s">
        <v>180</v>
      </c>
      <c r="B326" s="6">
        <v>85637.740319999997</v>
      </c>
      <c r="C326" s="6">
        <v>31306.100319999998</v>
      </c>
      <c r="E326" s="23" t="s">
        <v>718</v>
      </c>
      <c r="F326" s="26">
        <v>43362.46284</v>
      </c>
      <c r="G326" s="26">
        <v>21722.362840000002</v>
      </c>
    </row>
    <row r="327" spans="1:7" x14ac:dyDescent="0.25">
      <c r="A327" s="24" t="s">
        <v>606</v>
      </c>
      <c r="B327" s="6">
        <v>51768.181920000003</v>
      </c>
      <c r="C327" s="6">
        <v>25354.521920000003</v>
      </c>
      <c r="E327" s="24" t="s">
        <v>643</v>
      </c>
      <c r="F327" s="26">
        <v>40476.013200000001</v>
      </c>
      <c r="G327" s="26">
        <v>21180.193200000002</v>
      </c>
    </row>
    <row r="328" spans="1:7" x14ac:dyDescent="0.25">
      <c r="A328" s="24" t="s">
        <v>173</v>
      </c>
      <c r="B328" s="6">
        <v>10382.65884</v>
      </c>
      <c r="C328" s="6">
        <v>5487.6788399999996</v>
      </c>
      <c r="E328" s="24" t="s">
        <v>21</v>
      </c>
      <c r="F328" s="26">
        <v>2886.4496399999998</v>
      </c>
      <c r="G328" s="26">
        <v>542.16963999999962</v>
      </c>
    </row>
    <row r="329" spans="1:7" x14ac:dyDescent="0.25">
      <c r="A329" s="24" t="s">
        <v>567</v>
      </c>
      <c r="B329" s="6">
        <v>20163.409200000002</v>
      </c>
      <c r="C329" s="6">
        <v>4094.1692000000021</v>
      </c>
      <c r="E329" s="23" t="s">
        <v>717</v>
      </c>
      <c r="F329" s="26">
        <v>59960.16732</v>
      </c>
      <c r="G329" s="26">
        <v>17142.097320000004</v>
      </c>
    </row>
    <row r="330" spans="1:7" x14ac:dyDescent="0.25">
      <c r="A330" s="24" t="s">
        <v>197</v>
      </c>
      <c r="B330" s="6">
        <v>7689.4560000000001</v>
      </c>
      <c r="C330" s="6">
        <v>3856.5059999999999</v>
      </c>
      <c r="E330" s="24" t="s">
        <v>324</v>
      </c>
      <c r="F330" s="26">
        <v>30799.273800000003</v>
      </c>
      <c r="G330" s="26">
        <v>14002.633800000003</v>
      </c>
    </row>
    <row r="331" spans="1:7" x14ac:dyDescent="0.25">
      <c r="A331" s="24" t="s">
        <v>385</v>
      </c>
      <c r="B331" s="6">
        <v>16873.45</v>
      </c>
      <c r="C331" s="6">
        <v>3514.0600000000013</v>
      </c>
      <c r="E331" s="24" t="s">
        <v>460</v>
      </c>
      <c r="F331" s="26">
        <v>9771.4483199999995</v>
      </c>
      <c r="G331" s="26">
        <v>4768.4883199999995</v>
      </c>
    </row>
    <row r="332" spans="1:7" x14ac:dyDescent="0.25">
      <c r="A332" s="24" t="s">
        <v>568</v>
      </c>
      <c r="B332" s="6">
        <v>15860.782080000001</v>
      </c>
      <c r="C332" s="6">
        <v>1906.4620800000012</v>
      </c>
      <c r="E332" s="24" t="s">
        <v>257</v>
      </c>
      <c r="F332" s="26">
        <v>748.22303999999997</v>
      </c>
      <c r="G332" s="26">
        <v>171.74303999999995</v>
      </c>
    </row>
    <row r="333" spans="1:7" x14ac:dyDescent="0.25">
      <c r="A333" s="24" t="s">
        <v>578</v>
      </c>
      <c r="B333" s="6">
        <v>10166.535600000001</v>
      </c>
      <c r="C333" s="6">
        <v>1373.3855999999996</v>
      </c>
      <c r="E333" s="24" t="s">
        <v>411</v>
      </c>
      <c r="F333" s="26">
        <v>18641.222160000001</v>
      </c>
      <c r="G333" s="26">
        <v>-1800.7678400000004</v>
      </c>
    </row>
    <row r="334" spans="1:7" x14ac:dyDescent="0.25">
      <c r="A334" s="24" t="s">
        <v>154</v>
      </c>
      <c r="B334" s="6">
        <v>1446.9507000000001</v>
      </c>
      <c r="C334" s="6">
        <v>-69.439300000000003</v>
      </c>
      <c r="E334" s="23" t="s">
        <v>713</v>
      </c>
      <c r="F334" s="26">
        <v>40645.273560000001</v>
      </c>
      <c r="G334" s="26">
        <v>8452.1735599999956</v>
      </c>
    </row>
    <row r="335" spans="1:7" x14ac:dyDescent="0.25">
      <c r="A335" s="23" t="s">
        <v>723</v>
      </c>
      <c r="B335" s="6">
        <v>126745.95839999999</v>
      </c>
      <c r="C335" s="6">
        <v>57185.828399999999</v>
      </c>
      <c r="E335" s="24" t="s">
        <v>239</v>
      </c>
      <c r="F335" s="26">
        <v>21573.6495</v>
      </c>
      <c r="G335" s="26">
        <v>10769.349499999998</v>
      </c>
    </row>
    <row r="336" spans="1:7" x14ac:dyDescent="0.25">
      <c r="A336" s="24" t="s">
        <v>336</v>
      </c>
      <c r="B336" s="6">
        <v>39546.774539999999</v>
      </c>
      <c r="C336" s="6">
        <v>21349.434539999998</v>
      </c>
      <c r="E336" s="24" t="s">
        <v>151</v>
      </c>
      <c r="F336" s="26">
        <v>9698.1638399999993</v>
      </c>
      <c r="G336" s="26">
        <v>1225.2638399999978</v>
      </c>
    </row>
    <row r="337" spans="1:7" x14ac:dyDescent="0.25">
      <c r="A337" s="24" t="s">
        <v>168</v>
      </c>
      <c r="B337" s="6">
        <v>29654.83008</v>
      </c>
      <c r="C337" s="6">
        <v>14795.950080000001</v>
      </c>
      <c r="E337" s="24" t="s">
        <v>88</v>
      </c>
      <c r="F337" s="26">
        <v>9373.460219999999</v>
      </c>
      <c r="G337" s="26">
        <v>-3542.4397800000006</v>
      </c>
    </row>
    <row r="338" spans="1:7" x14ac:dyDescent="0.25">
      <c r="A338" s="24" t="s">
        <v>79</v>
      </c>
      <c r="B338" s="6">
        <v>26304.275999999998</v>
      </c>
      <c r="C338" s="6">
        <v>6364.275999999998</v>
      </c>
      <c r="E338" s="23" t="s">
        <v>725</v>
      </c>
      <c r="F338" s="26">
        <v>30124.515809999997</v>
      </c>
      <c r="G338" s="26">
        <v>7701.2058099999986</v>
      </c>
    </row>
    <row r="339" spans="1:7" x14ac:dyDescent="0.25">
      <c r="A339" s="24" t="s">
        <v>603</v>
      </c>
      <c r="B339" s="6">
        <v>12040.64352</v>
      </c>
      <c r="C339" s="6">
        <v>5877.0835200000001</v>
      </c>
      <c r="E339" s="24" t="s">
        <v>359</v>
      </c>
      <c r="F339" s="26">
        <v>13637.287999999999</v>
      </c>
      <c r="G339" s="26">
        <v>6158.3379999999988</v>
      </c>
    </row>
    <row r="340" spans="1:7" x14ac:dyDescent="0.25">
      <c r="A340" s="24" t="s">
        <v>516</v>
      </c>
      <c r="B340" s="6">
        <v>10869.182940000001</v>
      </c>
      <c r="C340" s="6">
        <v>5478.4129400000002</v>
      </c>
      <c r="E340" s="24" t="s">
        <v>365</v>
      </c>
      <c r="F340" s="26">
        <v>16487.22781</v>
      </c>
      <c r="G340" s="26">
        <v>1542.8678099999997</v>
      </c>
    </row>
    <row r="341" spans="1:7" x14ac:dyDescent="0.25">
      <c r="A341" s="24" t="s">
        <v>487</v>
      </c>
      <c r="B341" s="6">
        <v>8330.2513199999994</v>
      </c>
      <c r="C341" s="6">
        <v>3320.6713199999995</v>
      </c>
      <c r="E341" s="23" t="s">
        <v>716</v>
      </c>
      <c r="F341" s="26">
        <v>63827.868349999997</v>
      </c>
      <c r="G341" s="26">
        <v>6096.3083500000012</v>
      </c>
    </row>
    <row r="342" spans="1:7" x14ac:dyDescent="0.25">
      <c r="A342" s="23" t="s">
        <v>724</v>
      </c>
      <c r="B342" s="6">
        <v>82434.69219999999</v>
      </c>
      <c r="C342" s="6">
        <v>30717.392199999995</v>
      </c>
      <c r="E342" s="24" t="s">
        <v>452</v>
      </c>
      <c r="F342" s="26">
        <v>24278.849280000002</v>
      </c>
      <c r="G342" s="26">
        <v>3612.4492800000007</v>
      </c>
    </row>
    <row r="343" spans="1:7" x14ac:dyDescent="0.25">
      <c r="A343" s="24" t="s">
        <v>95</v>
      </c>
      <c r="B343" s="6">
        <v>60292.805299999993</v>
      </c>
      <c r="C343" s="6">
        <v>23631.505299999997</v>
      </c>
      <c r="E343" s="24" t="s">
        <v>72</v>
      </c>
      <c r="F343" s="26">
        <v>4790.1068000000005</v>
      </c>
      <c r="G343" s="26">
        <v>2015.5468000000005</v>
      </c>
    </row>
    <row r="344" spans="1:7" x14ac:dyDescent="0.25">
      <c r="A344" s="24" t="s">
        <v>175</v>
      </c>
      <c r="B344" s="6">
        <v>22044.871499999997</v>
      </c>
      <c r="C344" s="6">
        <v>7057.3714999999975</v>
      </c>
      <c r="E344" s="24" t="s">
        <v>19</v>
      </c>
      <c r="F344" s="26">
        <v>10957.9797</v>
      </c>
      <c r="G344" s="26">
        <v>1012.529700000001</v>
      </c>
    </row>
    <row r="345" spans="1:7" x14ac:dyDescent="0.25">
      <c r="A345" s="24" t="s">
        <v>187</v>
      </c>
      <c r="B345" s="6">
        <v>97.0154</v>
      </c>
      <c r="C345" s="6">
        <v>28.5154</v>
      </c>
      <c r="E345" s="24" t="s">
        <v>230</v>
      </c>
      <c r="F345" s="26">
        <v>7738.9596900000006</v>
      </c>
      <c r="G345" s="26">
        <v>139.68969000000106</v>
      </c>
    </row>
    <row r="346" spans="1:7" x14ac:dyDescent="0.25">
      <c r="A346" s="23" t="s">
        <v>726</v>
      </c>
      <c r="B346" s="6">
        <v>106166.29844000001</v>
      </c>
      <c r="C346" s="6">
        <v>29126.428440000003</v>
      </c>
      <c r="E346" s="24" t="s">
        <v>137</v>
      </c>
      <c r="F346" s="26">
        <v>16061.972879999999</v>
      </c>
      <c r="G346" s="26">
        <v>-683.90712000000167</v>
      </c>
    </row>
    <row r="347" spans="1:7" x14ac:dyDescent="0.25">
      <c r="A347" s="24" t="s">
        <v>218</v>
      </c>
      <c r="B347" s="6">
        <v>25553.782800000001</v>
      </c>
      <c r="C347" s="6">
        <v>13357.942800000001</v>
      </c>
      <c r="E347" s="23" t="s">
        <v>712</v>
      </c>
      <c r="F347" s="26">
        <v>21699.506080000003</v>
      </c>
      <c r="G347" s="26">
        <v>5154.8860800000011</v>
      </c>
    </row>
    <row r="348" spans="1:7" x14ac:dyDescent="0.25">
      <c r="A348" s="24" t="s">
        <v>562</v>
      </c>
      <c r="B348" s="6">
        <v>31822.023930000003</v>
      </c>
      <c r="C348" s="6">
        <v>6301.4439300000049</v>
      </c>
      <c r="E348" s="24" t="s">
        <v>469</v>
      </c>
      <c r="F348" s="26">
        <v>14752.706080000002</v>
      </c>
      <c r="G348" s="26">
        <v>5578.9460800000015</v>
      </c>
    </row>
    <row r="349" spans="1:7" x14ac:dyDescent="0.25">
      <c r="A349" s="24" t="s">
        <v>46</v>
      </c>
      <c r="B349" s="6">
        <v>26150.364320000001</v>
      </c>
      <c r="C349" s="6">
        <v>6267.8043199999993</v>
      </c>
      <c r="E349" s="24" t="s">
        <v>282</v>
      </c>
      <c r="F349" s="26">
        <v>6946.8</v>
      </c>
      <c r="G349" s="26">
        <v>-424.0600000000004</v>
      </c>
    </row>
    <row r="350" spans="1:7" x14ac:dyDescent="0.25">
      <c r="A350" s="24" t="s">
        <v>610</v>
      </c>
      <c r="B350" s="6">
        <v>8128.5187499999993</v>
      </c>
      <c r="C350" s="6">
        <v>2461.1687499999989</v>
      </c>
      <c r="E350" s="23" t="s">
        <v>715</v>
      </c>
      <c r="F350" s="26">
        <v>9805.8573800000013</v>
      </c>
      <c r="G350" s="26">
        <v>1380.8273800000024</v>
      </c>
    </row>
    <row r="351" spans="1:7" x14ac:dyDescent="0.25">
      <c r="A351" s="24" t="s">
        <v>260</v>
      </c>
      <c r="B351" s="6">
        <v>9774.3888000000006</v>
      </c>
      <c r="C351" s="6">
        <v>1668.5088000000005</v>
      </c>
      <c r="E351" s="24" t="s">
        <v>45</v>
      </c>
      <c r="F351" s="26">
        <v>9805.8573800000013</v>
      </c>
      <c r="G351" s="26">
        <v>1380.8273800000024</v>
      </c>
    </row>
    <row r="352" spans="1:7" x14ac:dyDescent="0.25">
      <c r="A352" s="24" t="s">
        <v>557</v>
      </c>
      <c r="B352" s="6">
        <v>4737.2198399999997</v>
      </c>
      <c r="C352" s="6">
        <v>-930.44016000000011</v>
      </c>
      <c r="E352" s="23" t="s">
        <v>719</v>
      </c>
      <c r="F352" s="26">
        <v>25121.226000000002</v>
      </c>
      <c r="G352" s="26">
        <v>1339.2760000000017</v>
      </c>
    </row>
    <row r="353" spans="1:7" x14ac:dyDescent="0.25">
      <c r="A353" s="23" t="s">
        <v>717</v>
      </c>
      <c r="B353" s="6">
        <v>48690.40047</v>
      </c>
      <c r="C353" s="6">
        <v>25433.72047</v>
      </c>
      <c r="E353" s="24" t="s">
        <v>447</v>
      </c>
      <c r="F353" s="26">
        <v>12967.958640000001</v>
      </c>
      <c r="G353" s="26">
        <v>6126.4386400000003</v>
      </c>
    </row>
    <row r="354" spans="1:7" x14ac:dyDescent="0.25">
      <c r="A354" s="24" t="s">
        <v>71</v>
      </c>
      <c r="B354" s="6">
        <v>29659.68995</v>
      </c>
      <c r="C354" s="6">
        <v>16958.649949999999</v>
      </c>
      <c r="E354" s="24" t="s">
        <v>80</v>
      </c>
      <c r="F354" s="26">
        <v>12153.267360000002</v>
      </c>
      <c r="G354" s="26">
        <v>-4787.1626399999986</v>
      </c>
    </row>
    <row r="355" spans="1:7" x14ac:dyDescent="0.25">
      <c r="A355" s="24" t="s">
        <v>145</v>
      </c>
      <c r="B355" s="6">
        <v>7703.8640800000003</v>
      </c>
      <c r="C355" s="6">
        <v>4384.2640800000008</v>
      </c>
      <c r="E355" s="23" t="s">
        <v>724</v>
      </c>
      <c r="F355" s="26">
        <v>38621.886559999999</v>
      </c>
      <c r="G355" s="26">
        <v>-1582.1934399999955</v>
      </c>
    </row>
    <row r="356" spans="1:7" x14ac:dyDescent="0.25">
      <c r="A356" s="24" t="s">
        <v>211</v>
      </c>
      <c r="B356" s="6">
        <v>11326.846439999999</v>
      </c>
      <c r="C356" s="6">
        <v>4090.8064399999994</v>
      </c>
      <c r="E356" s="24" t="s">
        <v>420</v>
      </c>
      <c r="F356" s="26">
        <v>22457.143800000002</v>
      </c>
      <c r="G356" s="26">
        <v>3398.3838000000032</v>
      </c>
    </row>
    <row r="357" spans="1:7" x14ac:dyDescent="0.25">
      <c r="A357" s="23" t="s">
        <v>719</v>
      </c>
      <c r="B357" s="6">
        <v>65212.283600000002</v>
      </c>
      <c r="C357" s="6">
        <v>24530.203600000008</v>
      </c>
      <c r="E357" s="24" t="s">
        <v>384</v>
      </c>
      <c r="F357" s="26">
        <v>4133.25108</v>
      </c>
      <c r="G357" s="26">
        <v>1176.75108</v>
      </c>
    </row>
    <row r="358" spans="1:7" x14ac:dyDescent="0.25">
      <c r="A358" s="24" t="s">
        <v>438</v>
      </c>
      <c r="B358" s="6">
        <v>58091.634960000003</v>
      </c>
      <c r="C358" s="6">
        <v>22623.474960000007</v>
      </c>
      <c r="E358" s="24" t="s">
        <v>149</v>
      </c>
      <c r="F358" s="26">
        <v>12031.491680000001</v>
      </c>
      <c r="G358" s="26">
        <v>-6157.3283199999987</v>
      </c>
    </row>
    <row r="359" spans="1:7" x14ac:dyDescent="0.25">
      <c r="A359" s="24" t="s">
        <v>285</v>
      </c>
      <c r="B359" s="6">
        <v>7120.6486400000003</v>
      </c>
      <c r="C359" s="6">
        <v>1906.7286400000003</v>
      </c>
      <c r="E359" s="23" t="s">
        <v>722</v>
      </c>
      <c r="F359" s="26">
        <v>10203.06452</v>
      </c>
      <c r="G359" s="26">
        <v>-2303.59548</v>
      </c>
    </row>
    <row r="360" spans="1:7" x14ac:dyDescent="0.25">
      <c r="A360" s="23" t="s">
        <v>721</v>
      </c>
      <c r="B360" s="6">
        <v>62474.777300000002</v>
      </c>
      <c r="C360" s="6">
        <v>21859.297300000002</v>
      </c>
      <c r="E360" s="24" t="s">
        <v>499</v>
      </c>
      <c r="F360" s="26">
        <v>6063.2517199999993</v>
      </c>
      <c r="G360" s="26">
        <v>142.1317199999994</v>
      </c>
    </row>
    <row r="361" spans="1:7" x14ac:dyDescent="0.25">
      <c r="A361" s="24" t="s">
        <v>393</v>
      </c>
      <c r="B361" s="6">
        <v>33200.038079999998</v>
      </c>
      <c r="C361" s="6">
        <v>18127.018079999998</v>
      </c>
      <c r="E361" s="24" t="s">
        <v>167</v>
      </c>
      <c r="F361" s="26">
        <v>4139.8127999999997</v>
      </c>
      <c r="G361" s="26">
        <v>-2445.7271999999994</v>
      </c>
    </row>
    <row r="362" spans="1:7" x14ac:dyDescent="0.25">
      <c r="A362" s="24" t="s">
        <v>357</v>
      </c>
      <c r="B362" s="6">
        <v>8938.8996600000009</v>
      </c>
      <c r="C362" s="6">
        <v>1548.0996600000017</v>
      </c>
      <c r="E362" s="22" t="s">
        <v>1455</v>
      </c>
      <c r="F362" s="26"/>
      <c r="G362" s="26"/>
    </row>
    <row r="363" spans="1:7" x14ac:dyDescent="0.25">
      <c r="A363" s="24" t="s">
        <v>580</v>
      </c>
      <c r="B363" s="6">
        <v>17540.201120000002</v>
      </c>
      <c r="C363" s="6">
        <v>1504.4411200000013</v>
      </c>
      <c r="E363" s="23" t="s">
        <v>723</v>
      </c>
      <c r="F363" s="26">
        <v>211644.73360000001</v>
      </c>
      <c r="G363" s="26">
        <v>67403.813600000009</v>
      </c>
    </row>
    <row r="364" spans="1:7" x14ac:dyDescent="0.25">
      <c r="A364" s="24" t="s">
        <v>453</v>
      </c>
      <c r="B364" s="6">
        <v>2795.6384399999997</v>
      </c>
      <c r="C364" s="6">
        <v>679.73844000000008</v>
      </c>
      <c r="E364" s="24" t="s">
        <v>190</v>
      </c>
      <c r="F364" s="26">
        <v>92715.25</v>
      </c>
      <c r="G364" s="26">
        <v>38988.19</v>
      </c>
    </row>
    <row r="365" spans="1:7" x14ac:dyDescent="0.25">
      <c r="A365" s="23" t="s">
        <v>720</v>
      </c>
      <c r="B365" s="6">
        <v>46443.0026</v>
      </c>
      <c r="C365" s="6">
        <v>19019.2526</v>
      </c>
      <c r="E365" s="24" t="s">
        <v>519</v>
      </c>
      <c r="F365" s="26">
        <v>32335.21802</v>
      </c>
      <c r="G365" s="26">
        <v>17322.55802</v>
      </c>
    </row>
    <row r="366" spans="1:7" x14ac:dyDescent="0.25">
      <c r="A366" s="24" t="s">
        <v>351</v>
      </c>
      <c r="B366" s="6">
        <v>38535.955099999999</v>
      </c>
      <c r="C366" s="6">
        <v>15439.445099999997</v>
      </c>
      <c r="E366" s="24" t="s">
        <v>386</v>
      </c>
      <c r="F366" s="26">
        <v>32280.32474</v>
      </c>
      <c r="G366" s="26">
        <v>15712.274740000001</v>
      </c>
    </row>
    <row r="367" spans="1:7" x14ac:dyDescent="0.25">
      <c r="A367" s="24" t="s">
        <v>171</v>
      </c>
      <c r="B367" s="6">
        <v>7203.8047000000006</v>
      </c>
      <c r="C367" s="6">
        <v>3922.8047000000006</v>
      </c>
      <c r="E367" s="24" t="s">
        <v>101</v>
      </c>
      <c r="F367" s="26">
        <v>14197.064400000001</v>
      </c>
      <c r="G367" s="26">
        <v>532.26440000000184</v>
      </c>
    </row>
    <row r="368" spans="1:7" x14ac:dyDescent="0.25">
      <c r="A368" s="24" t="s">
        <v>337</v>
      </c>
      <c r="B368" s="6">
        <v>703.2428000000001</v>
      </c>
      <c r="C368" s="6">
        <v>-342.99719999999991</v>
      </c>
      <c r="E368" s="24" t="s">
        <v>546</v>
      </c>
      <c r="F368" s="26">
        <v>534.57695999999999</v>
      </c>
      <c r="G368" s="26">
        <v>-1.0130400000000463</v>
      </c>
    </row>
    <row r="369" spans="1:7" x14ac:dyDescent="0.25">
      <c r="A369" s="23" t="s">
        <v>712</v>
      </c>
      <c r="B369" s="6">
        <v>40585.750569999997</v>
      </c>
      <c r="C369" s="6">
        <v>18415.800569999999</v>
      </c>
      <c r="E369" s="24" t="s">
        <v>70</v>
      </c>
      <c r="F369" s="26">
        <v>31680.795320000001</v>
      </c>
      <c r="G369" s="26">
        <v>-838.84467999999833</v>
      </c>
    </row>
    <row r="370" spans="1:7" x14ac:dyDescent="0.25">
      <c r="A370" s="24" t="s">
        <v>583</v>
      </c>
      <c r="B370" s="6">
        <v>34307.159999999996</v>
      </c>
      <c r="C370" s="6">
        <v>17422.559999999998</v>
      </c>
      <c r="E370" s="24" t="s">
        <v>165</v>
      </c>
      <c r="F370" s="26">
        <v>7901.5041599999995</v>
      </c>
      <c r="G370" s="26">
        <v>-4311.6158400000013</v>
      </c>
    </row>
    <row r="371" spans="1:7" x14ac:dyDescent="0.25">
      <c r="A371" s="24" t="s">
        <v>364</v>
      </c>
      <c r="B371" s="6">
        <v>4132.0325200000007</v>
      </c>
      <c r="C371" s="6">
        <v>750.9625200000005</v>
      </c>
      <c r="E371" s="23" t="s">
        <v>718</v>
      </c>
      <c r="F371" s="26">
        <v>105416.58954</v>
      </c>
      <c r="G371" s="26">
        <v>47888.819539999997</v>
      </c>
    </row>
    <row r="372" spans="1:7" x14ac:dyDescent="0.25">
      <c r="A372" s="24" t="s">
        <v>540</v>
      </c>
      <c r="B372" s="6">
        <v>2146.5580500000001</v>
      </c>
      <c r="C372" s="6">
        <v>242.27804999999989</v>
      </c>
      <c r="E372" s="24" t="s">
        <v>150</v>
      </c>
      <c r="F372" s="26">
        <v>27370.540859999997</v>
      </c>
      <c r="G372" s="26">
        <v>13229.010859999999</v>
      </c>
    </row>
    <row r="373" spans="1:7" x14ac:dyDescent="0.25">
      <c r="A373" s="23" t="s">
        <v>722</v>
      </c>
      <c r="B373" s="6">
        <v>73356.382519999999</v>
      </c>
      <c r="C373" s="6">
        <v>15117.522519999997</v>
      </c>
      <c r="E373" s="24" t="s">
        <v>219</v>
      </c>
      <c r="F373" s="26">
        <v>26131.70736</v>
      </c>
      <c r="G373" s="26">
        <v>13169.08736</v>
      </c>
    </row>
    <row r="374" spans="1:7" x14ac:dyDescent="0.25">
      <c r="A374" s="24" t="s">
        <v>625</v>
      </c>
      <c r="B374" s="6">
        <v>18003.847679999999</v>
      </c>
      <c r="C374" s="6">
        <v>8001.8276800000003</v>
      </c>
      <c r="E374" s="24" t="s">
        <v>44</v>
      </c>
      <c r="F374" s="26">
        <v>20084.133720000002</v>
      </c>
      <c r="G374" s="26">
        <v>9517.3537200000028</v>
      </c>
    </row>
    <row r="375" spans="1:7" x14ac:dyDescent="0.25">
      <c r="A375" s="24" t="s">
        <v>114</v>
      </c>
      <c r="B375" s="6">
        <v>25502.910479999999</v>
      </c>
      <c r="C375" s="6">
        <v>3888.8704799999978</v>
      </c>
      <c r="E375" s="24" t="s">
        <v>349</v>
      </c>
      <c r="F375" s="26">
        <v>16219.34496</v>
      </c>
      <c r="G375" s="26">
        <v>7197.3949600000014</v>
      </c>
    </row>
    <row r="376" spans="1:7" x14ac:dyDescent="0.25">
      <c r="A376" s="24" t="s">
        <v>435</v>
      </c>
      <c r="B376" s="6">
        <v>9984.7160999999978</v>
      </c>
      <c r="C376" s="6">
        <v>2753.1560999999983</v>
      </c>
      <c r="E376" s="24" t="s">
        <v>577</v>
      </c>
      <c r="F376" s="26">
        <v>8520.2954399999999</v>
      </c>
      <c r="G376" s="26">
        <v>4493.9954400000006</v>
      </c>
    </row>
    <row r="377" spans="1:7" x14ac:dyDescent="0.25">
      <c r="A377" s="24" t="s">
        <v>204</v>
      </c>
      <c r="B377" s="6">
        <v>19542.975350000001</v>
      </c>
      <c r="C377" s="6">
        <v>661.72535000000062</v>
      </c>
      <c r="E377" s="24" t="s">
        <v>30</v>
      </c>
      <c r="F377" s="26">
        <v>7090.5672000000004</v>
      </c>
      <c r="G377" s="26">
        <v>281.97720000000027</v>
      </c>
    </row>
    <row r="378" spans="1:7" x14ac:dyDescent="0.25">
      <c r="A378" s="24" t="s">
        <v>192</v>
      </c>
      <c r="B378" s="6">
        <v>321.93290999999999</v>
      </c>
      <c r="C378" s="6">
        <v>-188.05708999999996</v>
      </c>
      <c r="E378" s="23" t="s">
        <v>714</v>
      </c>
      <c r="F378" s="26">
        <v>57072.364219999996</v>
      </c>
      <c r="G378" s="26">
        <v>28873.044219999989</v>
      </c>
    </row>
    <row r="379" spans="1:7" x14ac:dyDescent="0.25">
      <c r="A379" s="23" t="s">
        <v>725</v>
      </c>
      <c r="B379" s="6">
        <v>25160.608779999999</v>
      </c>
      <c r="C379" s="6">
        <v>13414.988779999998</v>
      </c>
      <c r="E379" s="24" t="s">
        <v>110</v>
      </c>
      <c r="F379" s="26">
        <v>43209.006119999991</v>
      </c>
      <c r="G379" s="26">
        <v>23682.78611999999</v>
      </c>
    </row>
    <row r="380" spans="1:7" x14ac:dyDescent="0.25">
      <c r="A380" s="24" t="s">
        <v>39</v>
      </c>
      <c r="B380" s="6">
        <v>24894.430559999997</v>
      </c>
      <c r="C380" s="6">
        <v>13511.830559999999</v>
      </c>
      <c r="E380" s="24" t="s">
        <v>77</v>
      </c>
      <c r="F380" s="26">
        <v>10947.904</v>
      </c>
      <c r="G380" s="26">
        <v>4309.9539999999997</v>
      </c>
    </row>
    <row r="381" spans="1:7" x14ac:dyDescent="0.25">
      <c r="A381" s="24" t="s">
        <v>645</v>
      </c>
      <c r="B381" s="6">
        <v>266.17821999999995</v>
      </c>
      <c r="C381" s="6">
        <v>-96.841780000000028</v>
      </c>
      <c r="E381" s="24" t="s">
        <v>332</v>
      </c>
      <c r="F381" s="26">
        <v>2915.4540999999999</v>
      </c>
      <c r="G381" s="26">
        <v>880.30409999999983</v>
      </c>
    </row>
    <row r="382" spans="1:7" x14ac:dyDescent="0.25">
      <c r="A382" s="23" t="s">
        <v>715</v>
      </c>
      <c r="B382" s="6">
        <v>15366.983199999999</v>
      </c>
      <c r="C382" s="6">
        <v>7085.4631999999983</v>
      </c>
      <c r="E382" s="23" t="s">
        <v>713</v>
      </c>
      <c r="F382" s="26">
        <v>58235.695070000002</v>
      </c>
      <c r="G382" s="26">
        <v>24046.68507</v>
      </c>
    </row>
    <row r="383" spans="1:7" x14ac:dyDescent="0.25">
      <c r="A383" s="24" t="s">
        <v>439</v>
      </c>
      <c r="B383" s="6">
        <v>15366.983199999999</v>
      </c>
      <c r="C383" s="6">
        <v>7085.4631999999983</v>
      </c>
      <c r="E383" s="24" t="s">
        <v>213</v>
      </c>
      <c r="F383" s="26">
        <v>55880.483749999999</v>
      </c>
      <c r="G383" s="26">
        <v>22872.233749999999</v>
      </c>
    </row>
    <row r="384" spans="1:7" x14ac:dyDescent="0.25">
      <c r="A384" s="23" t="s">
        <v>718</v>
      </c>
      <c r="B384" s="6">
        <v>13450.74</v>
      </c>
      <c r="C384" s="6">
        <v>2487.7800000000007</v>
      </c>
      <c r="E384" s="24" t="s">
        <v>635</v>
      </c>
      <c r="F384" s="26">
        <v>2355.2113199999999</v>
      </c>
      <c r="G384" s="26">
        <v>1174.4513199999999</v>
      </c>
    </row>
    <row r="385" spans="1:7" x14ac:dyDescent="0.25">
      <c r="A385" s="24" t="s">
        <v>442</v>
      </c>
      <c r="B385" s="6">
        <v>13450.74</v>
      </c>
      <c r="C385" s="6">
        <v>2487.7800000000007</v>
      </c>
      <c r="E385" s="23" t="s">
        <v>717</v>
      </c>
      <c r="F385" s="26">
        <v>77084.41025999999</v>
      </c>
      <c r="G385" s="26">
        <v>23186.290259999994</v>
      </c>
    </row>
    <row r="386" spans="1:7" x14ac:dyDescent="0.25">
      <c r="A386" s="23" t="s">
        <v>714</v>
      </c>
      <c r="B386" s="6">
        <v>49164.407039999998</v>
      </c>
      <c r="C386" s="6">
        <v>-8104.3329600000034</v>
      </c>
      <c r="E386" s="24" t="s">
        <v>371</v>
      </c>
      <c r="F386" s="26">
        <v>49336.511399999996</v>
      </c>
      <c r="G386" s="26">
        <v>17565.881399999995</v>
      </c>
    </row>
    <row r="387" spans="1:7" x14ac:dyDescent="0.25">
      <c r="A387" s="24" t="s">
        <v>229</v>
      </c>
      <c r="B387" s="6">
        <v>15253.069799999999</v>
      </c>
      <c r="C387" s="6">
        <v>1386.4697999999989</v>
      </c>
      <c r="E387" s="24" t="s">
        <v>493</v>
      </c>
      <c r="F387" s="26">
        <v>22620.859800000002</v>
      </c>
      <c r="G387" s="26">
        <v>4351.729800000001</v>
      </c>
    </row>
    <row r="388" spans="1:7" x14ac:dyDescent="0.25">
      <c r="A388" s="24" t="s">
        <v>421</v>
      </c>
      <c r="B388" s="6">
        <v>21541.017959999997</v>
      </c>
      <c r="C388" s="6">
        <v>-4332.002040000003</v>
      </c>
      <c r="E388" s="24" t="s">
        <v>497</v>
      </c>
      <c r="F388" s="26">
        <v>5127.0390600000001</v>
      </c>
      <c r="G388" s="26">
        <v>1268.6790600000004</v>
      </c>
    </row>
    <row r="389" spans="1:7" x14ac:dyDescent="0.25">
      <c r="A389" s="24" t="s">
        <v>17</v>
      </c>
      <c r="B389" s="6">
        <v>12370.31928</v>
      </c>
      <c r="C389" s="6">
        <v>-5158.8007199999993</v>
      </c>
      <c r="E389" s="23" t="s">
        <v>712</v>
      </c>
      <c r="F389" s="26">
        <v>30583.205010000001</v>
      </c>
      <c r="G389" s="26">
        <v>17427.045010000002</v>
      </c>
    </row>
    <row r="390" spans="1:7" x14ac:dyDescent="0.25">
      <c r="A390" s="22" t="s">
        <v>1455</v>
      </c>
      <c r="C390" s="6"/>
      <c r="E390" s="24" t="s">
        <v>269</v>
      </c>
      <c r="F390" s="26">
        <v>24161.205600000001</v>
      </c>
      <c r="G390" s="26">
        <v>14126.6556</v>
      </c>
    </row>
    <row r="391" spans="1:7" x14ac:dyDescent="0.25">
      <c r="A391" s="23" t="s">
        <v>723</v>
      </c>
      <c r="B391" s="6">
        <v>211644.73360000001</v>
      </c>
      <c r="C391" s="6">
        <v>67403.813600000009</v>
      </c>
      <c r="E391" s="24" t="s">
        <v>245</v>
      </c>
      <c r="F391" s="26">
        <v>5814.6927299999998</v>
      </c>
      <c r="G391" s="26">
        <v>3055.7827299999999</v>
      </c>
    </row>
    <row r="392" spans="1:7" x14ac:dyDescent="0.25">
      <c r="A392" s="24" t="s">
        <v>190</v>
      </c>
      <c r="B392" s="6">
        <v>92715.25</v>
      </c>
      <c r="C392" s="6">
        <v>38988.19</v>
      </c>
      <c r="E392" s="24" t="s">
        <v>261</v>
      </c>
      <c r="F392" s="26">
        <v>607.30668000000003</v>
      </c>
      <c r="G392" s="26">
        <v>244.60668000000004</v>
      </c>
    </row>
    <row r="393" spans="1:7" x14ac:dyDescent="0.25">
      <c r="A393" s="24" t="s">
        <v>519</v>
      </c>
      <c r="B393" s="6">
        <v>32335.21802</v>
      </c>
      <c r="C393" s="6">
        <v>17322.55802</v>
      </c>
      <c r="E393" s="23" t="s">
        <v>720</v>
      </c>
      <c r="F393" s="26">
        <v>95902.192460000006</v>
      </c>
      <c r="G393" s="26">
        <v>17189.462460000006</v>
      </c>
    </row>
    <row r="394" spans="1:7" x14ac:dyDescent="0.25">
      <c r="A394" s="24" t="s">
        <v>386</v>
      </c>
      <c r="B394" s="6">
        <v>32280.32474</v>
      </c>
      <c r="C394" s="6">
        <v>15712.274740000001</v>
      </c>
      <c r="E394" s="24" t="s">
        <v>60</v>
      </c>
      <c r="F394" s="26">
        <v>32506.559399999998</v>
      </c>
      <c r="G394" s="26">
        <v>9363.1594000000005</v>
      </c>
    </row>
    <row r="395" spans="1:7" x14ac:dyDescent="0.25">
      <c r="A395" s="24" t="s">
        <v>101</v>
      </c>
      <c r="B395" s="6">
        <v>14197.064400000001</v>
      </c>
      <c r="C395" s="6">
        <v>532.26440000000184</v>
      </c>
      <c r="E395" s="24" t="s">
        <v>84</v>
      </c>
      <c r="F395" s="26">
        <v>8930.7124999999996</v>
      </c>
      <c r="G395" s="26">
        <v>4519.0624999999991</v>
      </c>
    </row>
    <row r="396" spans="1:7" x14ac:dyDescent="0.25">
      <c r="A396" s="24" t="s">
        <v>546</v>
      </c>
      <c r="B396" s="6">
        <v>534.57695999999999</v>
      </c>
      <c r="C396" s="6">
        <v>-1.0130400000000463</v>
      </c>
      <c r="E396" s="24" t="s">
        <v>53</v>
      </c>
      <c r="F396" s="26">
        <v>14968.239</v>
      </c>
      <c r="G396" s="26">
        <v>3718.9489999999987</v>
      </c>
    </row>
    <row r="397" spans="1:7" x14ac:dyDescent="0.25">
      <c r="A397" s="24" t="s">
        <v>70</v>
      </c>
      <c r="B397" s="6">
        <v>31680.795320000001</v>
      </c>
      <c r="C397" s="6">
        <v>-838.84467999999833</v>
      </c>
      <c r="E397" s="24" t="s">
        <v>522</v>
      </c>
      <c r="F397" s="26">
        <v>3921.1744000000008</v>
      </c>
      <c r="G397" s="26">
        <v>1650.9744000000005</v>
      </c>
    </row>
    <row r="398" spans="1:7" x14ac:dyDescent="0.25">
      <c r="A398" s="24" t="s">
        <v>165</v>
      </c>
      <c r="B398" s="6">
        <v>7901.5041599999995</v>
      </c>
      <c r="C398" s="6">
        <v>-4311.6158400000013</v>
      </c>
      <c r="E398" s="24" t="s">
        <v>504</v>
      </c>
      <c r="F398" s="26">
        <v>1547.3500000000001</v>
      </c>
      <c r="G398" s="26">
        <v>611.25000000000011</v>
      </c>
    </row>
    <row r="399" spans="1:7" x14ac:dyDescent="0.25">
      <c r="A399" s="23" t="s">
        <v>718</v>
      </c>
      <c r="B399" s="6">
        <v>105416.58954</v>
      </c>
      <c r="C399" s="6">
        <v>47888.819539999997</v>
      </c>
      <c r="E399" s="24" t="s">
        <v>620</v>
      </c>
      <c r="F399" s="26">
        <v>13856.52411</v>
      </c>
      <c r="G399" s="26">
        <v>555.10411000000022</v>
      </c>
    </row>
    <row r="400" spans="1:7" x14ac:dyDescent="0.25">
      <c r="A400" s="24" t="s">
        <v>150</v>
      </c>
      <c r="B400" s="6">
        <v>27370.540859999997</v>
      </c>
      <c r="C400" s="6">
        <v>13229.010859999999</v>
      </c>
      <c r="E400" s="24" t="s">
        <v>87</v>
      </c>
      <c r="F400" s="26">
        <v>20171.63305</v>
      </c>
      <c r="G400" s="26">
        <v>-3229.0369499999979</v>
      </c>
    </row>
    <row r="401" spans="1:7" x14ac:dyDescent="0.25">
      <c r="A401" s="24" t="s">
        <v>219</v>
      </c>
      <c r="B401" s="6">
        <v>26131.70736</v>
      </c>
      <c r="C401" s="6">
        <v>13169.08736</v>
      </c>
      <c r="E401" s="23" t="s">
        <v>725</v>
      </c>
      <c r="F401" s="26">
        <v>94437.214520000009</v>
      </c>
      <c r="G401" s="26">
        <v>15035.734520000004</v>
      </c>
    </row>
    <row r="402" spans="1:7" x14ac:dyDescent="0.25">
      <c r="A402" s="24" t="s">
        <v>44</v>
      </c>
      <c r="B402" s="6">
        <v>20084.133720000002</v>
      </c>
      <c r="C402" s="6">
        <v>9517.3537200000028</v>
      </c>
      <c r="E402" s="24" t="s">
        <v>520</v>
      </c>
      <c r="F402" s="26">
        <v>34800.431400000001</v>
      </c>
      <c r="G402" s="26">
        <v>8697.1514000000025</v>
      </c>
    </row>
    <row r="403" spans="1:7" x14ac:dyDescent="0.25">
      <c r="A403" s="24" t="s">
        <v>349</v>
      </c>
      <c r="B403" s="6">
        <v>16219.34496</v>
      </c>
      <c r="C403" s="6">
        <v>7197.3949600000014</v>
      </c>
      <c r="E403" s="24" t="s">
        <v>537</v>
      </c>
      <c r="F403" s="26">
        <v>16121.273400000002</v>
      </c>
      <c r="G403" s="26">
        <v>8421.6234000000022</v>
      </c>
    </row>
    <row r="404" spans="1:7" x14ac:dyDescent="0.25">
      <c r="A404" s="24" t="s">
        <v>577</v>
      </c>
      <c r="B404" s="6">
        <v>8520.2954399999999</v>
      </c>
      <c r="C404" s="6">
        <v>4493.9954400000006</v>
      </c>
      <c r="E404" s="24" t="s">
        <v>105</v>
      </c>
      <c r="F404" s="26">
        <v>8324.8326000000015</v>
      </c>
      <c r="G404" s="26">
        <v>3486.5026000000016</v>
      </c>
    </row>
    <row r="405" spans="1:7" x14ac:dyDescent="0.25">
      <c r="A405" s="24" t="s">
        <v>30</v>
      </c>
      <c r="B405" s="6">
        <v>7090.5672000000004</v>
      </c>
      <c r="C405" s="6">
        <v>281.97720000000027</v>
      </c>
      <c r="E405" s="24" t="s">
        <v>177</v>
      </c>
      <c r="F405" s="26">
        <v>8154.5511600000009</v>
      </c>
      <c r="G405" s="26">
        <v>991.66116000000147</v>
      </c>
    </row>
    <row r="406" spans="1:7" x14ac:dyDescent="0.25">
      <c r="A406" s="23" t="s">
        <v>714</v>
      </c>
      <c r="B406" s="6">
        <v>57072.364219999996</v>
      </c>
      <c r="C406" s="6">
        <v>28873.044219999989</v>
      </c>
      <c r="E406" s="24" t="s">
        <v>387</v>
      </c>
      <c r="F406" s="26">
        <v>4117.4880599999997</v>
      </c>
      <c r="G406" s="26">
        <v>-814.89194000000043</v>
      </c>
    </row>
    <row r="407" spans="1:7" x14ac:dyDescent="0.25">
      <c r="A407" s="24" t="s">
        <v>110</v>
      </c>
      <c r="B407" s="6">
        <v>43209.006119999991</v>
      </c>
      <c r="C407" s="6">
        <v>23682.78611999999</v>
      </c>
      <c r="E407" s="24" t="s">
        <v>238</v>
      </c>
      <c r="F407" s="26">
        <v>15490.527</v>
      </c>
      <c r="G407" s="26">
        <v>-846.72300000000178</v>
      </c>
    </row>
    <row r="408" spans="1:7" x14ac:dyDescent="0.25">
      <c r="A408" s="24" t="s">
        <v>77</v>
      </c>
      <c r="B408" s="6">
        <v>10947.904</v>
      </c>
      <c r="C408" s="6">
        <v>4309.9539999999997</v>
      </c>
      <c r="E408" s="24" t="s">
        <v>515</v>
      </c>
      <c r="F408" s="26">
        <v>7428.1108999999988</v>
      </c>
      <c r="G408" s="26">
        <v>-4899.589100000002</v>
      </c>
    </row>
    <row r="409" spans="1:7" x14ac:dyDescent="0.25">
      <c r="A409" s="24" t="s">
        <v>332</v>
      </c>
      <c r="B409" s="6">
        <v>2915.4540999999999</v>
      </c>
      <c r="C409" s="6">
        <v>880.30409999999983</v>
      </c>
      <c r="E409" s="23" t="s">
        <v>726</v>
      </c>
      <c r="F409" s="26">
        <v>27527.4287</v>
      </c>
      <c r="G409" s="26">
        <v>12669.0087</v>
      </c>
    </row>
    <row r="410" spans="1:7" x14ac:dyDescent="0.25">
      <c r="A410" s="23" t="s">
        <v>713</v>
      </c>
      <c r="B410" s="6">
        <v>58235.695070000002</v>
      </c>
      <c r="C410" s="6">
        <v>24046.68507</v>
      </c>
      <c r="E410" s="24" t="s">
        <v>48</v>
      </c>
      <c r="F410" s="26">
        <v>13218.5</v>
      </c>
      <c r="G410" s="26">
        <v>6765.2</v>
      </c>
    </row>
    <row r="411" spans="1:7" x14ac:dyDescent="0.25">
      <c r="A411" s="24" t="s">
        <v>213</v>
      </c>
      <c r="B411" s="6">
        <v>55880.483749999999</v>
      </c>
      <c r="C411" s="6">
        <v>22872.233749999999</v>
      </c>
      <c r="E411" s="24" t="s">
        <v>539</v>
      </c>
      <c r="F411" s="26">
        <v>8326.6852500000005</v>
      </c>
      <c r="G411" s="26">
        <v>3109.7852499999999</v>
      </c>
    </row>
    <row r="412" spans="1:7" x14ac:dyDescent="0.25">
      <c r="A412" s="24" t="s">
        <v>635</v>
      </c>
      <c r="B412" s="6">
        <v>2355.2113199999999</v>
      </c>
      <c r="C412" s="6">
        <v>1174.4513199999999</v>
      </c>
      <c r="E412" s="24" t="s">
        <v>618</v>
      </c>
      <c r="F412" s="26">
        <v>5457.4317000000001</v>
      </c>
      <c r="G412" s="26">
        <v>2617.8116999999997</v>
      </c>
    </row>
    <row r="413" spans="1:7" x14ac:dyDescent="0.25">
      <c r="A413" s="23" t="s">
        <v>717</v>
      </c>
      <c r="B413" s="6">
        <v>77084.41025999999</v>
      </c>
      <c r="C413" s="6">
        <v>23186.290259999994</v>
      </c>
      <c r="E413" s="24" t="s">
        <v>98</v>
      </c>
      <c r="F413" s="26">
        <v>524.81174999999996</v>
      </c>
      <c r="G413" s="26">
        <v>176.21174999999999</v>
      </c>
    </row>
    <row r="414" spans="1:7" x14ac:dyDescent="0.25">
      <c r="A414" s="24" t="s">
        <v>371</v>
      </c>
      <c r="B414" s="6">
        <v>49336.511399999996</v>
      </c>
      <c r="C414" s="6">
        <v>17565.881399999995</v>
      </c>
      <c r="E414" s="23" t="s">
        <v>721</v>
      </c>
      <c r="F414" s="26">
        <v>64340.731619999999</v>
      </c>
      <c r="G414" s="26">
        <v>11884.491619999993</v>
      </c>
    </row>
    <row r="415" spans="1:7" x14ac:dyDescent="0.25">
      <c r="A415" s="24" t="s">
        <v>493</v>
      </c>
      <c r="B415" s="6">
        <v>22620.859800000002</v>
      </c>
      <c r="C415" s="6">
        <v>4351.729800000001</v>
      </c>
      <c r="E415" s="24" t="s">
        <v>278</v>
      </c>
      <c r="F415" s="26">
        <v>40139.874619999995</v>
      </c>
      <c r="G415" s="26">
        <v>6618.7546199999924</v>
      </c>
    </row>
    <row r="416" spans="1:7" x14ac:dyDescent="0.25">
      <c r="A416" s="24" t="s">
        <v>497</v>
      </c>
      <c r="B416" s="6">
        <v>5127.0390600000001</v>
      </c>
      <c r="C416" s="6">
        <v>1268.6790600000004</v>
      </c>
      <c r="E416" s="24" t="s">
        <v>86</v>
      </c>
      <c r="F416" s="26">
        <v>6393.0952799999995</v>
      </c>
      <c r="G416" s="26">
        <v>3222.8152799999998</v>
      </c>
    </row>
    <row r="417" spans="1:7" x14ac:dyDescent="0.25">
      <c r="A417" s="23" t="s">
        <v>712</v>
      </c>
      <c r="B417" s="6">
        <v>30583.205010000001</v>
      </c>
      <c r="C417" s="6">
        <v>17427.045010000002</v>
      </c>
      <c r="E417" s="24" t="s">
        <v>414</v>
      </c>
      <c r="F417" s="26">
        <v>17731.623</v>
      </c>
      <c r="G417" s="26">
        <v>2065.0630000000001</v>
      </c>
    </row>
    <row r="418" spans="1:7" x14ac:dyDescent="0.25">
      <c r="A418" s="24" t="s">
        <v>269</v>
      </c>
      <c r="B418" s="6">
        <v>24161.205600000001</v>
      </c>
      <c r="C418" s="6">
        <v>14126.6556</v>
      </c>
      <c r="E418" s="24" t="s">
        <v>300</v>
      </c>
      <c r="F418" s="26">
        <v>76.138720000000006</v>
      </c>
      <c r="G418" s="26">
        <v>-22.141279999999995</v>
      </c>
    </row>
    <row r="419" spans="1:7" x14ac:dyDescent="0.25">
      <c r="A419" s="24" t="s">
        <v>245</v>
      </c>
      <c r="B419" s="6">
        <v>5814.6927299999998</v>
      </c>
      <c r="C419" s="6">
        <v>3055.7827299999999</v>
      </c>
      <c r="E419" s="23" t="s">
        <v>719</v>
      </c>
      <c r="F419" s="26">
        <v>30679.749759999999</v>
      </c>
      <c r="G419" s="26">
        <v>9122.169759999997</v>
      </c>
    </row>
    <row r="420" spans="1:7" x14ac:dyDescent="0.25">
      <c r="A420" s="24" t="s">
        <v>261</v>
      </c>
      <c r="B420" s="6">
        <v>607.30668000000003</v>
      </c>
      <c r="C420" s="6">
        <v>244.60668000000004</v>
      </c>
      <c r="E420" s="24" t="s">
        <v>193</v>
      </c>
      <c r="F420" s="26">
        <v>7098.5495999999994</v>
      </c>
      <c r="G420" s="26">
        <v>3902.0495999999994</v>
      </c>
    </row>
    <row r="421" spans="1:7" x14ac:dyDescent="0.25">
      <c r="A421" s="23" t="s">
        <v>720</v>
      </c>
      <c r="B421" s="6">
        <v>95902.192460000006</v>
      </c>
      <c r="C421" s="6">
        <v>17189.462460000006</v>
      </c>
      <c r="E421" s="24" t="s">
        <v>162</v>
      </c>
      <c r="F421" s="26">
        <v>13321.14</v>
      </c>
      <c r="G421" s="26">
        <v>3753.26</v>
      </c>
    </row>
    <row r="422" spans="1:7" x14ac:dyDescent="0.25">
      <c r="A422" s="24" t="s">
        <v>60</v>
      </c>
      <c r="B422" s="6">
        <v>32506.559399999998</v>
      </c>
      <c r="C422" s="6">
        <v>9363.1594000000005</v>
      </c>
      <c r="E422" s="24" t="s">
        <v>624</v>
      </c>
      <c r="F422" s="26">
        <v>10260.060159999999</v>
      </c>
      <c r="G422" s="26">
        <v>1466.8601599999984</v>
      </c>
    </row>
    <row r="423" spans="1:7" x14ac:dyDescent="0.25">
      <c r="A423" s="24" t="s">
        <v>84</v>
      </c>
      <c r="B423" s="6">
        <v>8930.7124999999996</v>
      </c>
      <c r="C423" s="6">
        <v>4519.0624999999991</v>
      </c>
      <c r="E423" s="23" t="s">
        <v>716</v>
      </c>
      <c r="F423" s="26">
        <v>22676.312610000001</v>
      </c>
      <c r="G423" s="26">
        <v>7568.7026100000021</v>
      </c>
    </row>
    <row r="424" spans="1:7" x14ac:dyDescent="0.25">
      <c r="A424" s="24" t="s">
        <v>53</v>
      </c>
      <c r="B424" s="6">
        <v>14968.239</v>
      </c>
      <c r="C424" s="6">
        <v>3718.9489999999987</v>
      </c>
      <c r="E424" s="24" t="s">
        <v>599</v>
      </c>
      <c r="F424" s="26">
        <v>22676.312610000001</v>
      </c>
      <c r="G424" s="26">
        <v>7568.7026100000021</v>
      </c>
    </row>
    <row r="425" spans="1:7" x14ac:dyDescent="0.25">
      <c r="A425" s="24" t="s">
        <v>522</v>
      </c>
      <c r="B425" s="6">
        <v>3921.1744000000008</v>
      </c>
      <c r="C425" s="6">
        <v>1650.9744000000005</v>
      </c>
      <c r="E425" s="23" t="s">
        <v>722</v>
      </c>
      <c r="F425" s="26">
        <v>23340.527229999996</v>
      </c>
      <c r="G425" s="26">
        <v>3037.2672299999977</v>
      </c>
    </row>
    <row r="426" spans="1:7" x14ac:dyDescent="0.25">
      <c r="A426" s="24" t="s">
        <v>504</v>
      </c>
      <c r="B426" s="6">
        <v>1547.3500000000001</v>
      </c>
      <c r="C426" s="6">
        <v>611.25000000000011</v>
      </c>
      <c r="E426" s="24" t="s">
        <v>348</v>
      </c>
      <c r="F426" s="26">
        <v>4856.35725</v>
      </c>
      <c r="G426" s="26">
        <v>2449.7572500000001</v>
      </c>
    </row>
    <row r="427" spans="1:7" x14ac:dyDescent="0.25">
      <c r="A427" s="24" t="s">
        <v>620</v>
      </c>
      <c r="B427" s="6">
        <v>13856.52411</v>
      </c>
      <c r="C427" s="6">
        <v>555.10411000000022</v>
      </c>
      <c r="E427" s="24" t="s">
        <v>319</v>
      </c>
      <c r="F427" s="26">
        <v>1641.7107199999998</v>
      </c>
      <c r="G427" s="26">
        <v>948.27071999999976</v>
      </c>
    </row>
    <row r="428" spans="1:7" x14ac:dyDescent="0.25">
      <c r="A428" s="24" t="s">
        <v>87</v>
      </c>
      <c r="B428" s="6">
        <v>20171.63305</v>
      </c>
      <c r="C428" s="6">
        <v>-3229.0369499999979</v>
      </c>
      <c r="E428" s="24" t="s">
        <v>271</v>
      </c>
      <c r="F428" s="26">
        <v>2394.1605599999998</v>
      </c>
      <c r="G428" s="26">
        <v>326.32055999999966</v>
      </c>
    </row>
    <row r="429" spans="1:7" x14ac:dyDescent="0.25">
      <c r="A429" s="23" t="s">
        <v>725</v>
      </c>
      <c r="B429" s="6">
        <v>94437.214520000009</v>
      </c>
      <c r="C429" s="6">
        <v>15035.734520000004</v>
      </c>
      <c r="E429" s="24" t="s">
        <v>181</v>
      </c>
      <c r="F429" s="26">
        <v>14448.298699999998</v>
      </c>
      <c r="G429" s="26">
        <v>-687.08130000000165</v>
      </c>
    </row>
    <row r="430" spans="1:7" x14ac:dyDescent="0.25">
      <c r="A430" s="24" t="s">
        <v>520</v>
      </c>
      <c r="B430" s="6">
        <v>34800.431400000001</v>
      </c>
      <c r="C430" s="6">
        <v>8697.1514000000025</v>
      </c>
      <c r="E430" s="23" t="s">
        <v>715</v>
      </c>
      <c r="F430" s="26">
        <v>6380.3370400000003</v>
      </c>
      <c r="G430" s="26">
        <v>2528.7170399999995</v>
      </c>
    </row>
    <row r="431" spans="1:7" x14ac:dyDescent="0.25">
      <c r="A431" s="24" t="s">
        <v>537</v>
      </c>
      <c r="B431" s="6">
        <v>16121.273400000002</v>
      </c>
      <c r="C431" s="6">
        <v>8421.6234000000022</v>
      </c>
      <c r="E431" s="24" t="s">
        <v>584</v>
      </c>
      <c r="F431" s="26">
        <v>3378.1478400000001</v>
      </c>
      <c r="G431" s="26">
        <v>1711.3478399999999</v>
      </c>
    </row>
    <row r="432" spans="1:7" x14ac:dyDescent="0.25">
      <c r="A432" s="24" t="s">
        <v>105</v>
      </c>
      <c r="B432" s="6">
        <v>8324.8326000000015</v>
      </c>
      <c r="C432" s="6">
        <v>3486.5026000000016</v>
      </c>
      <c r="E432" s="24" t="s">
        <v>355</v>
      </c>
      <c r="F432" s="26">
        <v>1115.1975999999997</v>
      </c>
      <c r="G432" s="26">
        <v>408.99759999999969</v>
      </c>
    </row>
    <row r="433" spans="1:7" x14ac:dyDescent="0.25">
      <c r="A433" s="24" t="s">
        <v>177</v>
      </c>
      <c r="B433" s="6">
        <v>8154.5511600000009</v>
      </c>
      <c r="C433" s="6">
        <v>991.66116000000147</v>
      </c>
      <c r="E433" s="24" t="s">
        <v>477</v>
      </c>
      <c r="F433" s="26">
        <v>1886.9915999999998</v>
      </c>
      <c r="G433" s="26">
        <v>408.37159999999994</v>
      </c>
    </row>
    <row r="434" spans="1:7" x14ac:dyDescent="0.25">
      <c r="A434" s="24" t="s">
        <v>387</v>
      </c>
      <c r="B434" s="6">
        <v>4117.4880599999997</v>
      </c>
      <c r="C434" s="6">
        <v>-814.89194000000043</v>
      </c>
      <c r="E434" s="23" t="s">
        <v>724</v>
      </c>
      <c r="F434" s="26">
        <v>41925.085739999995</v>
      </c>
      <c r="G434" s="26">
        <v>234.56573999999955</v>
      </c>
    </row>
    <row r="435" spans="1:7" x14ac:dyDescent="0.25">
      <c r="A435" s="24" t="s">
        <v>238</v>
      </c>
      <c r="B435" s="6">
        <v>15490.527</v>
      </c>
      <c r="C435" s="6">
        <v>-846.72300000000178</v>
      </c>
      <c r="E435" s="24" t="s">
        <v>451</v>
      </c>
      <c r="F435" s="26">
        <v>7340.3891399999993</v>
      </c>
      <c r="G435" s="26">
        <v>3091.1091399999996</v>
      </c>
    </row>
    <row r="436" spans="1:7" x14ac:dyDescent="0.25">
      <c r="A436" s="24" t="s">
        <v>515</v>
      </c>
      <c r="B436" s="6">
        <v>7428.1108999999988</v>
      </c>
      <c r="C436" s="6">
        <v>-4899.589100000002</v>
      </c>
      <c r="E436" s="24" t="s">
        <v>43</v>
      </c>
      <c r="F436" s="26">
        <v>3913.2000000000003</v>
      </c>
      <c r="G436" s="26">
        <v>2029.9500000000003</v>
      </c>
    </row>
    <row r="437" spans="1:7" x14ac:dyDescent="0.25">
      <c r="A437" s="23" t="s">
        <v>726</v>
      </c>
      <c r="B437" s="6">
        <v>27527.4287</v>
      </c>
      <c r="C437" s="6">
        <v>12669.0087</v>
      </c>
      <c r="E437" s="24" t="s">
        <v>308</v>
      </c>
      <c r="F437" s="26">
        <v>8903.4839999999986</v>
      </c>
      <c r="G437" s="26">
        <v>1827.6839999999984</v>
      </c>
    </row>
    <row r="438" spans="1:7" x14ac:dyDescent="0.25">
      <c r="A438" s="24" t="s">
        <v>48</v>
      </c>
      <c r="B438" s="6">
        <v>13218.5</v>
      </c>
      <c r="C438" s="6">
        <v>6765.2</v>
      </c>
      <c r="E438" s="24" t="s">
        <v>589</v>
      </c>
      <c r="F438" s="26">
        <v>496.98660000000001</v>
      </c>
      <c r="G438" s="26">
        <v>89.536600000000021</v>
      </c>
    </row>
    <row r="439" spans="1:7" x14ac:dyDescent="0.25">
      <c r="A439" s="24" t="s">
        <v>539</v>
      </c>
      <c r="B439" s="6">
        <v>8326.6852500000005</v>
      </c>
      <c r="C439" s="6">
        <v>3109.7852499999999</v>
      </c>
      <c r="E439" s="24" t="s">
        <v>604</v>
      </c>
      <c r="F439" s="26">
        <v>9022.35</v>
      </c>
      <c r="G439" s="26">
        <v>-2835.7499999999982</v>
      </c>
    </row>
    <row r="440" spans="1:7" x14ac:dyDescent="0.25">
      <c r="A440" s="24" t="s">
        <v>618</v>
      </c>
      <c r="B440" s="6">
        <v>5457.4317000000001</v>
      </c>
      <c r="C440" s="6">
        <v>2617.8116999999997</v>
      </c>
      <c r="E440" s="24" t="s">
        <v>258</v>
      </c>
      <c r="F440" s="26">
        <v>12248.675999999999</v>
      </c>
      <c r="G440" s="26">
        <v>-3967.9639999999999</v>
      </c>
    </row>
    <row r="441" spans="1:7" x14ac:dyDescent="0.25">
      <c r="A441" s="24" t="s">
        <v>98</v>
      </c>
      <c r="B441" s="6">
        <v>524.81174999999996</v>
      </c>
      <c r="C441" s="6">
        <v>176.21174999999999</v>
      </c>
      <c r="E441" s="22" t="s">
        <v>1453</v>
      </c>
      <c r="F441" s="26"/>
      <c r="G441" s="26"/>
    </row>
    <row r="442" spans="1:7" x14ac:dyDescent="0.25">
      <c r="A442" s="23" t="s">
        <v>721</v>
      </c>
      <c r="B442" s="6">
        <v>64340.731619999999</v>
      </c>
      <c r="C442" s="6">
        <v>11884.491619999993</v>
      </c>
      <c r="E442" s="23" t="s">
        <v>716</v>
      </c>
      <c r="F442" s="26">
        <v>219989.16465999998</v>
      </c>
      <c r="G442" s="26">
        <v>76823.444659999994</v>
      </c>
    </row>
    <row r="443" spans="1:7" x14ac:dyDescent="0.25">
      <c r="A443" s="24" t="s">
        <v>278</v>
      </c>
      <c r="B443" s="6">
        <v>40139.874619999995</v>
      </c>
      <c r="C443" s="6">
        <v>6618.7546199999924</v>
      </c>
      <c r="E443" s="24" t="s">
        <v>180</v>
      </c>
      <c r="F443" s="26">
        <v>85637.740319999997</v>
      </c>
      <c r="G443" s="26">
        <v>31306.100319999998</v>
      </c>
    </row>
    <row r="444" spans="1:7" x14ac:dyDescent="0.25">
      <c r="A444" s="24" t="s">
        <v>86</v>
      </c>
      <c r="B444" s="6">
        <v>6393.0952799999995</v>
      </c>
      <c r="C444" s="6">
        <v>3222.8152799999998</v>
      </c>
      <c r="E444" s="24" t="s">
        <v>606</v>
      </c>
      <c r="F444" s="26">
        <v>51768.181920000003</v>
      </c>
      <c r="G444" s="26">
        <v>25354.521920000003</v>
      </c>
    </row>
    <row r="445" spans="1:7" x14ac:dyDescent="0.25">
      <c r="A445" s="24" t="s">
        <v>414</v>
      </c>
      <c r="B445" s="6">
        <v>17731.623</v>
      </c>
      <c r="C445" s="6">
        <v>2065.0630000000001</v>
      </c>
      <c r="E445" s="24" t="s">
        <v>173</v>
      </c>
      <c r="F445" s="26">
        <v>10382.65884</v>
      </c>
      <c r="G445" s="26">
        <v>5487.6788399999996</v>
      </c>
    </row>
    <row r="446" spans="1:7" x14ac:dyDescent="0.25">
      <c r="A446" s="24" t="s">
        <v>300</v>
      </c>
      <c r="B446" s="6">
        <v>76.138720000000006</v>
      </c>
      <c r="C446" s="6">
        <v>-22.141279999999995</v>
      </c>
      <c r="E446" s="24" t="s">
        <v>567</v>
      </c>
      <c r="F446" s="26">
        <v>20163.409200000002</v>
      </c>
      <c r="G446" s="26">
        <v>4094.1692000000021</v>
      </c>
    </row>
    <row r="447" spans="1:7" x14ac:dyDescent="0.25">
      <c r="A447" s="23" t="s">
        <v>719</v>
      </c>
      <c r="B447" s="6">
        <v>30679.749759999999</v>
      </c>
      <c r="C447" s="6">
        <v>9122.169759999997</v>
      </c>
      <c r="E447" s="24" t="s">
        <v>197</v>
      </c>
      <c r="F447" s="26">
        <v>7689.4560000000001</v>
      </c>
      <c r="G447" s="26">
        <v>3856.5059999999999</v>
      </c>
    </row>
    <row r="448" spans="1:7" x14ac:dyDescent="0.25">
      <c r="A448" s="24" t="s">
        <v>193</v>
      </c>
      <c r="B448" s="6">
        <v>7098.5495999999994</v>
      </c>
      <c r="C448" s="6">
        <v>3902.0495999999994</v>
      </c>
      <c r="E448" s="24" t="s">
        <v>385</v>
      </c>
      <c r="F448" s="26">
        <v>16873.45</v>
      </c>
      <c r="G448" s="26">
        <v>3514.0600000000013</v>
      </c>
    </row>
    <row r="449" spans="1:7" x14ac:dyDescent="0.25">
      <c r="A449" s="24" t="s">
        <v>162</v>
      </c>
      <c r="B449" s="6">
        <v>13321.14</v>
      </c>
      <c r="C449" s="6">
        <v>3753.26</v>
      </c>
      <c r="E449" s="24" t="s">
        <v>568</v>
      </c>
      <c r="F449" s="26">
        <v>15860.782080000001</v>
      </c>
      <c r="G449" s="26">
        <v>1906.4620800000012</v>
      </c>
    </row>
    <row r="450" spans="1:7" x14ac:dyDescent="0.25">
      <c r="A450" s="24" t="s">
        <v>624</v>
      </c>
      <c r="B450" s="6">
        <v>10260.060159999999</v>
      </c>
      <c r="C450" s="6">
        <v>1466.8601599999984</v>
      </c>
      <c r="E450" s="24" t="s">
        <v>578</v>
      </c>
      <c r="F450" s="26">
        <v>10166.535600000001</v>
      </c>
      <c r="G450" s="26">
        <v>1373.3855999999996</v>
      </c>
    </row>
    <row r="451" spans="1:7" x14ac:dyDescent="0.25">
      <c r="A451" s="23" t="s">
        <v>716</v>
      </c>
      <c r="B451" s="6">
        <v>22676.312610000001</v>
      </c>
      <c r="C451" s="6">
        <v>7568.7026100000021</v>
      </c>
      <c r="E451" s="24" t="s">
        <v>154</v>
      </c>
      <c r="F451" s="26">
        <v>1446.9507000000001</v>
      </c>
      <c r="G451" s="26">
        <v>-69.439300000000003</v>
      </c>
    </row>
    <row r="452" spans="1:7" x14ac:dyDescent="0.25">
      <c r="A452" s="24" t="s">
        <v>599</v>
      </c>
      <c r="B452" s="6">
        <v>22676.312610000001</v>
      </c>
      <c r="C452" s="6">
        <v>7568.7026100000021</v>
      </c>
      <c r="E452" s="23" t="s">
        <v>723</v>
      </c>
      <c r="F452" s="26">
        <v>126745.95839999999</v>
      </c>
      <c r="G452" s="26">
        <v>57185.828399999999</v>
      </c>
    </row>
    <row r="453" spans="1:7" x14ac:dyDescent="0.25">
      <c r="A453" s="23" t="s">
        <v>722</v>
      </c>
      <c r="B453" s="6">
        <v>23340.527229999996</v>
      </c>
      <c r="C453" s="6">
        <v>3037.2672299999977</v>
      </c>
      <c r="E453" s="24" t="s">
        <v>336</v>
      </c>
      <c r="F453" s="26">
        <v>39546.774539999999</v>
      </c>
      <c r="G453" s="26">
        <v>21349.434539999998</v>
      </c>
    </row>
    <row r="454" spans="1:7" x14ac:dyDescent="0.25">
      <c r="A454" s="24" t="s">
        <v>348</v>
      </c>
      <c r="B454" s="6">
        <v>4856.35725</v>
      </c>
      <c r="C454" s="6">
        <v>2449.7572500000001</v>
      </c>
      <c r="E454" s="24" t="s">
        <v>168</v>
      </c>
      <c r="F454" s="26">
        <v>29654.83008</v>
      </c>
      <c r="G454" s="26">
        <v>14795.950080000001</v>
      </c>
    </row>
    <row r="455" spans="1:7" x14ac:dyDescent="0.25">
      <c r="A455" s="24" t="s">
        <v>319</v>
      </c>
      <c r="B455" s="6">
        <v>1641.7107199999998</v>
      </c>
      <c r="C455" s="6">
        <v>948.27071999999976</v>
      </c>
      <c r="E455" s="24" t="s">
        <v>79</v>
      </c>
      <c r="F455" s="26">
        <v>26304.275999999998</v>
      </c>
      <c r="G455" s="26">
        <v>6364.275999999998</v>
      </c>
    </row>
    <row r="456" spans="1:7" x14ac:dyDescent="0.25">
      <c r="A456" s="24" t="s">
        <v>271</v>
      </c>
      <c r="B456" s="6">
        <v>2394.1605599999998</v>
      </c>
      <c r="C456" s="6">
        <v>326.32055999999966</v>
      </c>
      <c r="E456" s="24" t="s">
        <v>603</v>
      </c>
      <c r="F456" s="26">
        <v>12040.64352</v>
      </c>
      <c r="G456" s="26">
        <v>5877.0835200000001</v>
      </c>
    </row>
    <row r="457" spans="1:7" x14ac:dyDescent="0.25">
      <c r="A457" s="24" t="s">
        <v>181</v>
      </c>
      <c r="B457" s="6">
        <v>14448.298699999998</v>
      </c>
      <c r="C457" s="6">
        <v>-687.08130000000165</v>
      </c>
      <c r="E457" s="24" t="s">
        <v>516</v>
      </c>
      <c r="F457" s="26">
        <v>10869.182940000001</v>
      </c>
      <c r="G457" s="26">
        <v>5478.4129400000002</v>
      </c>
    </row>
    <row r="458" spans="1:7" x14ac:dyDescent="0.25">
      <c r="A458" s="23" t="s">
        <v>715</v>
      </c>
      <c r="B458" s="6">
        <v>6380.3370400000003</v>
      </c>
      <c r="C458" s="6">
        <v>2528.7170399999995</v>
      </c>
      <c r="E458" s="24" t="s">
        <v>487</v>
      </c>
      <c r="F458" s="26">
        <v>8330.2513199999994</v>
      </c>
      <c r="G458" s="26">
        <v>3320.6713199999995</v>
      </c>
    </row>
    <row r="459" spans="1:7" x14ac:dyDescent="0.25">
      <c r="A459" s="24" t="s">
        <v>584</v>
      </c>
      <c r="B459" s="6">
        <v>3378.1478400000001</v>
      </c>
      <c r="C459" s="6">
        <v>1711.3478399999999</v>
      </c>
      <c r="E459" s="23" t="s">
        <v>724</v>
      </c>
      <c r="F459" s="26">
        <v>82434.69219999999</v>
      </c>
      <c r="G459" s="26">
        <v>30717.392199999995</v>
      </c>
    </row>
    <row r="460" spans="1:7" x14ac:dyDescent="0.25">
      <c r="A460" s="24" t="s">
        <v>355</v>
      </c>
      <c r="B460" s="6">
        <v>1115.1975999999997</v>
      </c>
      <c r="C460" s="6">
        <v>408.99759999999969</v>
      </c>
      <c r="E460" s="24" t="s">
        <v>95</v>
      </c>
      <c r="F460" s="26">
        <v>60292.805299999993</v>
      </c>
      <c r="G460" s="26">
        <v>23631.505299999997</v>
      </c>
    </row>
    <row r="461" spans="1:7" x14ac:dyDescent="0.25">
      <c r="A461" s="24" t="s">
        <v>477</v>
      </c>
      <c r="B461" s="6">
        <v>1886.9915999999998</v>
      </c>
      <c r="C461" s="6">
        <v>408.37159999999994</v>
      </c>
      <c r="E461" s="24" t="s">
        <v>175</v>
      </c>
      <c r="F461" s="26">
        <v>22044.871499999997</v>
      </c>
      <c r="G461" s="26">
        <v>7057.3714999999975</v>
      </c>
    </row>
    <row r="462" spans="1:7" x14ac:dyDescent="0.25">
      <c r="A462" s="23" t="s">
        <v>724</v>
      </c>
      <c r="B462" s="6">
        <v>41925.085739999995</v>
      </c>
      <c r="C462" s="6">
        <v>234.56573999999955</v>
      </c>
      <c r="E462" s="24" t="s">
        <v>187</v>
      </c>
      <c r="F462" s="26">
        <v>97.0154</v>
      </c>
      <c r="G462" s="26">
        <v>28.5154</v>
      </c>
    </row>
    <row r="463" spans="1:7" x14ac:dyDescent="0.25">
      <c r="A463" s="24" t="s">
        <v>451</v>
      </c>
      <c r="B463" s="6">
        <v>7340.3891399999993</v>
      </c>
      <c r="C463" s="6">
        <v>3091.1091399999996</v>
      </c>
      <c r="E463" s="23" t="s">
        <v>726</v>
      </c>
      <c r="F463" s="26">
        <v>106166.29844000001</v>
      </c>
      <c r="G463" s="26">
        <v>29126.428440000003</v>
      </c>
    </row>
    <row r="464" spans="1:7" x14ac:dyDescent="0.25">
      <c r="A464" s="24" t="s">
        <v>43</v>
      </c>
      <c r="B464" s="6">
        <v>3913.2000000000003</v>
      </c>
      <c r="C464" s="6">
        <v>2029.9500000000003</v>
      </c>
      <c r="E464" s="24" t="s">
        <v>218</v>
      </c>
      <c r="F464" s="26">
        <v>25553.782800000001</v>
      </c>
      <c r="G464" s="26">
        <v>13357.942800000001</v>
      </c>
    </row>
    <row r="465" spans="1:7" x14ac:dyDescent="0.25">
      <c r="A465" s="24" t="s">
        <v>308</v>
      </c>
      <c r="B465" s="6">
        <v>8903.4839999999986</v>
      </c>
      <c r="C465" s="6">
        <v>1827.6839999999984</v>
      </c>
      <c r="E465" s="24" t="s">
        <v>562</v>
      </c>
      <c r="F465" s="26">
        <v>31822.023930000003</v>
      </c>
      <c r="G465" s="26">
        <v>6301.4439300000049</v>
      </c>
    </row>
    <row r="466" spans="1:7" x14ac:dyDescent="0.25">
      <c r="A466" s="24" t="s">
        <v>589</v>
      </c>
      <c r="B466" s="6">
        <v>496.98660000000001</v>
      </c>
      <c r="C466" s="6">
        <v>89.536600000000021</v>
      </c>
      <c r="E466" s="24" t="s">
        <v>46</v>
      </c>
      <c r="F466" s="26">
        <v>26150.364320000001</v>
      </c>
      <c r="G466" s="26">
        <v>6267.8043199999993</v>
      </c>
    </row>
    <row r="467" spans="1:7" x14ac:dyDescent="0.25">
      <c r="A467" s="24" t="s">
        <v>604</v>
      </c>
      <c r="B467" s="6">
        <v>9022.35</v>
      </c>
      <c r="C467" s="6">
        <v>-2835.7499999999982</v>
      </c>
      <c r="E467" s="24" t="s">
        <v>610</v>
      </c>
      <c r="F467" s="26">
        <v>8128.5187499999993</v>
      </c>
      <c r="G467" s="26">
        <v>2461.1687499999989</v>
      </c>
    </row>
    <row r="468" spans="1:7" x14ac:dyDescent="0.25">
      <c r="A468" s="24" t="s">
        <v>258</v>
      </c>
      <c r="B468" s="6">
        <v>12248.675999999999</v>
      </c>
      <c r="C468" s="6">
        <v>-3967.9639999999999</v>
      </c>
      <c r="E468" s="24" t="s">
        <v>260</v>
      </c>
      <c r="F468" s="26">
        <v>9774.3888000000006</v>
      </c>
      <c r="G468" s="26">
        <v>1668.5088000000005</v>
      </c>
    </row>
    <row r="469" spans="1:7" x14ac:dyDescent="0.25">
      <c r="A469" s="22" t="s">
        <v>1463</v>
      </c>
      <c r="C469" s="6"/>
      <c r="E469" s="24" t="s">
        <v>557</v>
      </c>
      <c r="F469" s="26">
        <v>4737.2198399999997</v>
      </c>
      <c r="G469" s="26">
        <v>-930.44016000000011</v>
      </c>
    </row>
    <row r="470" spans="1:7" x14ac:dyDescent="0.25">
      <c r="A470" s="23" t="s">
        <v>723</v>
      </c>
      <c r="B470" s="6">
        <v>133843.54412000001</v>
      </c>
      <c r="C470" s="6">
        <v>49674.044119999991</v>
      </c>
      <c r="E470" s="23" t="s">
        <v>717</v>
      </c>
      <c r="F470" s="26">
        <v>48690.40047</v>
      </c>
      <c r="G470" s="26">
        <v>25433.72047</v>
      </c>
    </row>
    <row r="471" spans="1:7" x14ac:dyDescent="0.25">
      <c r="A471" s="24" t="s">
        <v>445</v>
      </c>
      <c r="B471" s="6">
        <v>58057.65</v>
      </c>
      <c r="C471" s="6">
        <v>32830.14</v>
      </c>
      <c r="E471" s="24" t="s">
        <v>71</v>
      </c>
      <c r="F471" s="26">
        <v>29659.68995</v>
      </c>
      <c r="G471" s="26">
        <v>16958.649949999999</v>
      </c>
    </row>
    <row r="472" spans="1:7" x14ac:dyDescent="0.25">
      <c r="A472" s="24" t="s">
        <v>362</v>
      </c>
      <c r="B472" s="6">
        <v>27158.894079999998</v>
      </c>
      <c r="C472" s="6">
        <v>12237.134079999998</v>
      </c>
      <c r="E472" s="24" t="s">
        <v>145</v>
      </c>
      <c r="F472" s="26">
        <v>7703.8640800000003</v>
      </c>
      <c r="G472" s="26">
        <v>4384.2640800000008</v>
      </c>
    </row>
    <row r="473" spans="1:7" x14ac:dyDescent="0.25">
      <c r="A473" s="24" t="s">
        <v>156</v>
      </c>
      <c r="B473" s="6">
        <v>8211.6342000000004</v>
      </c>
      <c r="C473" s="6">
        <v>3695.3442000000005</v>
      </c>
      <c r="E473" s="24" t="s">
        <v>211</v>
      </c>
      <c r="F473" s="26">
        <v>11326.846439999999</v>
      </c>
      <c r="G473" s="26">
        <v>4090.8064399999994</v>
      </c>
    </row>
    <row r="474" spans="1:7" x14ac:dyDescent="0.25">
      <c r="A474" s="24" t="s">
        <v>31</v>
      </c>
      <c r="B474" s="6">
        <v>25948.414799999995</v>
      </c>
      <c r="C474" s="6">
        <v>998.17479999999341</v>
      </c>
      <c r="E474" s="23" t="s">
        <v>719</v>
      </c>
      <c r="F474" s="26">
        <v>65212.283600000002</v>
      </c>
      <c r="G474" s="26">
        <v>24530.203600000008</v>
      </c>
    </row>
    <row r="475" spans="1:7" x14ac:dyDescent="0.25">
      <c r="A475" s="24" t="s">
        <v>588</v>
      </c>
      <c r="B475" s="6">
        <v>14466.95104</v>
      </c>
      <c r="C475" s="6">
        <v>-86.748960000000807</v>
      </c>
      <c r="E475" s="24" t="s">
        <v>438</v>
      </c>
      <c r="F475" s="26">
        <v>58091.634960000003</v>
      </c>
      <c r="G475" s="26">
        <v>22623.474960000007</v>
      </c>
    </row>
    <row r="476" spans="1:7" x14ac:dyDescent="0.25">
      <c r="A476" s="23" t="s">
        <v>721</v>
      </c>
      <c r="B476" s="6">
        <v>91877.643599999996</v>
      </c>
      <c r="C476" s="6">
        <v>43738.913599999993</v>
      </c>
      <c r="E476" s="24" t="s">
        <v>285</v>
      </c>
      <c r="F476" s="26">
        <v>7120.6486400000003</v>
      </c>
      <c r="G476" s="26">
        <v>1906.7286400000003</v>
      </c>
    </row>
    <row r="477" spans="1:7" x14ac:dyDescent="0.25">
      <c r="A477" s="24" t="s">
        <v>132</v>
      </c>
      <c r="B477" s="6">
        <v>65119.329599999997</v>
      </c>
      <c r="C477" s="6">
        <v>33103.559599999993</v>
      </c>
      <c r="E477" s="23" t="s">
        <v>721</v>
      </c>
      <c r="F477" s="26">
        <v>62474.777300000002</v>
      </c>
      <c r="G477" s="26">
        <v>21859.297300000002</v>
      </c>
    </row>
    <row r="478" spans="1:7" x14ac:dyDescent="0.25">
      <c r="A478" s="24" t="s">
        <v>470</v>
      </c>
      <c r="B478" s="6">
        <v>20797.98</v>
      </c>
      <c r="C478" s="6">
        <v>7885.92</v>
      </c>
      <c r="E478" s="24" t="s">
        <v>393</v>
      </c>
      <c r="F478" s="26">
        <v>33200.038079999998</v>
      </c>
      <c r="G478" s="26">
        <v>18127.018079999998</v>
      </c>
    </row>
    <row r="479" spans="1:7" x14ac:dyDescent="0.25">
      <c r="A479" s="24" t="s">
        <v>118</v>
      </c>
      <c r="B479" s="6">
        <v>5960.3340000000007</v>
      </c>
      <c r="C479" s="6">
        <v>2749.4340000000007</v>
      </c>
      <c r="E479" s="24" t="s">
        <v>357</v>
      </c>
      <c r="F479" s="26">
        <v>8938.8996600000009</v>
      </c>
      <c r="G479" s="26">
        <v>1548.0996600000017</v>
      </c>
    </row>
    <row r="480" spans="1:7" x14ac:dyDescent="0.25">
      <c r="A480" s="23" t="s">
        <v>726</v>
      </c>
      <c r="B480" s="6">
        <v>92455.635249999992</v>
      </c>
      <c r="C480" s="6">
        <v>31005.295249999988</v>
      </c>
      <c r="E480" s="24" t="s">
        <v>580</v>
      </c>
      <c r="F480" s="26">
        <v>17540.201120000002</v>
      </c>
      <c r="G480" s="26">
        <v>1504.4411200000013</v>
      </c>
    </row>
    <row r="481" spans="1:7" x14ac:dyDescent="0.25">
      <c r="A481" s="24" t="s">
        <v>564</v>
      </c>
      <c r="B481" s="6">
        <v>29673.454499999993</v>
      </c>
      <c r="C481" s="6">
        <v>14144.854499999992</v>
      </c>
      <c r="E481" s="24" t="s">
        <v>453</v>
      </c>
      <c r="F481" s="26">
        <v>2795.6384399999997</v>
      </c>
      <c r="G481" s="26">
        <v>679.73844000000008</v>
      </c>
    </row>
    <row r="482" spans="1:7" x14ac:dyDescent="0.25">
      <c r="A482" s="24" t="s">
        <v>631</v>
      </c>
      <c r="B482" s="6">
        <v>29827.32144</v>
      </c>
      <c r="C482" s="6">
        <v>9586.9614399999991</v>
      </c>
      <c r="E482" s="23" t="s">
        <v>720</v>
      </c>
      <c r="F482" s="26">
        <v>46443.0026</v>
      </c>
      <c r="G482" s="26">
        <v>19019.2526</v>
      </c>
    </row>
    <row r="483" spans="1:7" x14ac:dyDescent="0.25">
      <c r="A483" s="24" t="s">
        <v>481</v>
      </c>
      <c r="B483" s="6">
        <v>14261.92439</v>
      </c>
      <c r="C483" s="6">
        <v>4403.8243899999998</v>
      </c>
      <c r="E483" s="24" t="s">
        <v>351</v>
      </c>
      <c r="F483" s="26">
        <v>38535.955099999999</v>
      </c>
      <c r="G483" s="26">
        <v>15439.445099999997</v>
      </c>
    </row>
    <row r="484" spans="1:7" x14ac:dyDescent="0.25">
      <c r="A484" s="24" t="s">
        <v>450</v>
      </c>
      <c r="B484" s="6">
        <v>5546.4642200000008</v>
      </c>
      <c r="C484" s="6">
        <v>2771.1642200000006</v>
      </c>
      <c r="E484" s="24" t="s">
        <v>171</v>
      </c>
      <c r="F484" s="26">
        <v>7203.8047000000006</v>
      </c>
      <c r="G484" s="26">
        <v>3922.8047000000006</v>
      </c>
    </row>
    <row r="485" spans="1:7" x14ac:dyDescent="0.25">
      <c r="A485" s="24" t="s">
        <v>100</v>
      </c>
      <c r="B485" s="6">
        <v>13146.470699999998</v>
      </c>
      <c r="C485" s="6">
        <v>98.49069999999665</v>
      </c>
      <c r="E485" s="24" t="s">
        <v>337</v>
      </c>
      <c r="F485" s="26">
        <v>703.2428000000001</v>
      </c>
      <c r="G485" s="26">
        <v>-342.99719999999991</v>
      </c>
    </row>
    <row r="486" spans="1:7" x14ac:dyDescent="0.25">
      <c r="A486" s="23" t="s">
        <v>720</v>
      </c>
      <c r="B486" s="6">
        <v>103912.62696999998</v>
      </c>
      <c r="C486" s="6">
        <v>27498.656969999996</v>
      </c>
      <c r="E486" s="23" t="s">
        <v>712</v>
      </c>
      <c r="F486" s="26">
        <v>40585.750569999997</v>
      </c>
      <c r="G486" s="26">
        <v>18415.800569999999</v>
      </c>
    </row>
    <row r="487" spans="1:7" x14ac:dyDescent="0.25">
      <c r="A487" s="24" t="s">
        <v>553</v>
      </c>
      <c r="B487" s="6">
        <v>66260.314239999992</v>
      </c>
      <c r="C487" s="6">
        <v>29722.714239999994</v>
      </c>
      <c r="E487" s="24" t="s">
        <v>583</v>
      </c>
      <c r="F487" s="26">
        <v>34307.159999999996</v>
      </c>
      <c r="G487" s="26">
        <v>17422.559999999998</v>
      </c>
    </row>
    <row r="488" spans="1:7" x14ac:dyDescent="0.25">
      <c r="A488" s="24" t="s">
        <v>423</v>
      </c>
      <c r="B488" s="6">
        <v>23668.560000000001</v>
      </c>
      <c r="C488" s="6">
        <v>6687.9600000000028</v>
      </c>
      <c r="E488" s="24" t="s">
        <v>364</v>
      </c>
      <c r="F488" s="26">
        <v>4132.0325200000007</v>
      </c>
      <c r="G488" s="26">
        <v>750.9625200000005</v>
      </c>
    </row>
    <row r="489" spans="1:7" x14ac:dyDescent="0.25">
      <c r="A489" s="24" t="s">
        <v>640</v>
      </c>
      <c r="B489" s="6">
        <v>13983.752729999998</v>
      </c>
      <c r="C489" s="6">
        <v>-8912.0172700000021</v>
      </c>
      <c r="E489" s="24" t="s">
        <v>540</v>
      </c>
      <c r="F489" s="26">
        <v>2146.5580500000001</v>
      </c>
      <c r="G489" s="26">
        <v>242.27804999999989</v>
      </c>
    </row>
    <row r="490" spans="1:7" x14ac:dyDescent="0.25">
      <c r="A490" s="23" t="s">
        <v>718</v>
      </c>
      <c r="B490" s="6">
        <v>43362.46284</v>
      </c>
      <c r="C490" s="6">
        <v>21722.362840000002</v>
      </c>
      <c r="E490" s="23" t="s">
        <v>722</v>
      </c>
      <c r="F490" s="26">
        <v>73356.382519999999</v>
      </c>
      <c r="G490" s="26">
        <v>15117.522519999997</v>
      </c>
    </row>
    <row r="491" spans="1:7" x14ac:dyDescent="0.25">
      <c r="A491" s="24" t="s">
        <v>643</v>
      </c>
      <c r="B491" s="6">
        <v>40476.013200000001</v>
      </c>
      <c r="C491" s="6">
        <v>21180.193200000002</v>
      </c>
      <c r="E491" s="24" t="s">
        <v>625</v>
      </c>
      <c r="F491" s="26">
        <v>18003.847679999999</v>
      </c>
      <c r="G491" s="26">
        <v>8001.8276800000003</v>
      </c>
    </row>
    <row r="492" spans="1:7" x14ac:dyDescent="0.25">
      <c r="A492" s="24" t="s">
        <v>21</v>
      </c>
      <c r="B492" s="6">
        <v>2886.4496399999998</v>
      </c>
      <c r="C492" s="6">
        <v>542.16963999999962</v>
      </c>
      <c r="E492" s="24" t="s">
        <v>114</v>
      </c>
      <c r="F492" s="26">
        <v>25502.910479999999</v>
      </c>
      <c r="G492" s="26">
        <v>3888.8704799999978</v>
      </c>
    </row>
    <row r="493" spans="1:7" x14ac:dyDescent="0.25">
      <c r="A493" s="23" t="s">
        <v>717</v>
      </c>
      <c r="B493" s="6">
        <v>59960.16732</v>
      </c>
      <c r="C493" s="6">
        <v>17142.097320000004</v>
      </c>
      <c r="E493" s="24" t="s">
        <v>435</v>
      </c>
      <c r="F493" s="26">
        <v>9984.7160999999978</v>
      </c>
      <c r="G493" s="26">
        <v>2753.1560999999983</v>
      </c>
    </row>
    <row r="494" spans="1:7" x14ac:dyDescent="0.25">
      <c r="A494" s="24" t="s">
        <v>324</v>
      </c>
      <c r="B494" s="6">
        <v>30799.273800000003</v>
      </c>
      <c r="C494" s="6">
        <v>14002.633800000003</v>
      </c>
      <c r="E494" s="24" t="s">
        <v>204</v>
      </c>
      <c r="F494" s="26">
        <v>19542.975350000001</v>
      </c>
      <c r="G494" s="26">
        <v>661.72535000000062</v>
      </c>
    </row>
    <row r="495" spans="1:7" x14ac:dyDescent="0.25">
      <c r="A495" s="24" t="s">
        <v>460</v>
      </c>
      <c r="B495" s="6">
        <v>9771.4483199999995</v>
      </c>
      <c r="C495" s="6">
        <v>4768.4883199999995</v>
      </c>
      <c r="E495" s="24" t="s">
        <v>192</v>
      </c>
      <c r="F495" s="26">
        <v>321.93290999999999</v>
      </c>
      <c r="G495" s="26">
        <v>-188.05708999999996</v>
      </c>
    </row>
    <row r="496" spans="1:7" x14ac:dyDescent="0.25">
      <c r="A496" s="24" t="s">
        <v>257</v>
      </c>
      <c r="B496" s="6">
        <v>748.22303999999997</v>
      </c>
      <c r="C496" s="6">
        <v>171.74303999999995</v>
      </c>
      <c r="E496" s="23" t="s">
        <v>725</v>
      </c>
      <c r="F496" s="26">
        <v>25160.608779999999</v>
      </c>
      <c r="G496" s="26">
        <v>13414.988779999998</v>
      </c>
    </row>
    <row r="497" spans="1:7" x14ac:dyDescent="0.25">
      <c r="A497" s="24" t="s">
        <v>411</v>
      </c>
      <c r="B497" s="6">
        <v>18641.222160000001</v>
      </c>
      <c r="C497" s="6">
        <v>-1800.7678400000004</v>
      </c>
      <c r="E497" s="24" t="s">
        <v>39</v>
      </c>
      <c r="F497" s="26">
        <v>24894.430559999997</v>
      </c>
      <c r="G497" s="26">
        <v>13511.830559999999</v>
      </c>
    </row>
    <row r="498" spans="1:7" x14ac:dyDescent="0.25">
      <c r="A498" s="23" t="s">
        <v>713</v>
      </c>
      <c r="B498" s="6">
        <v>40645.273560000001</v>
      </c>
      <c r="C498" s="6">
        <v>8452.1735599999956</v>
      </c>
      <c r="E498" s="24" t="s">
        <v>645</v>
      </c>
      <c r="F498" s="26">
        <v>266.17821999999995</v>
      </c>
      <c r="G498" s="26">
        <v>-96.841780000000028</v>
      </c>
    </row>
    <row r="499" spans="1:7" x14ac:dyDescent="0.25">
      <c r="A499" s="24" t="s">
        <v>239</v>
      </c>
      <c r="B499" s="6">
        <v>21573.6495</v>
      </c>
      <c r="C499" s="6">
        <v>10769.349499999998</v>
      </c>
      <c r="E499" s="23" t="s">
        <v>715</v>
      </c>
      <c r="F499" s="26">
        <v>15366.983199999999</v>
      </c>
      <c r="G499" s="26">
        <v>7085.4631999999983</v>
      </c>
    </row>
    <row r="500" spans="1:7" x14ac:dyDescent="0.25">
      <c r="A500" s="24" t="s">
        <v>151</v>
      </c>
      <c r="B500" s="6">
        <v>9698.1638399999993</v>
      </c>
      <c r="C500" s="6">
        <v>1225.2638399999978</v>
      </c>
      <c r="E500" s="24" t="s">
        <v>439</v>
      </c>
      <c r="F500" s="26">
        <v>15366.983199999999</v>
      </c>
      <c r="G500" s="26">
        <v>7085.4631999999983</v>
      </c>
    </row>
    <row r="501" spans="1:7" x14ac:dyDescent="0.25">
      <c r="A501" s="24" t="s">
        <v>88</v>
      </c>
      <c r="B501" s="6">
        <v>9373.460219999999</v>
      </c>
      <c r="C501" s="6">
        <v>-3542.4397800000006</v>
      </c>
      <c r="E501" s="23" t="s">
        <v>718</v>
      </c>
      <c r="F501" s="26">
        <v>13450.74</v>
      </c>
      <c r="G501" s="26">
        <v>2487.7800000000007</v>
      </c>
    </row>
    <row r="502" spans="1:7" x14ac:dyDescent="0.25">
      <c r="A502" s="23" t="s">
        <v>725</v>
      </c>
      <c r="B502" s="6">
        <v>30124.515809999997</v>
      </c>
      <c r="C502" s="6">
        <v>7701.2058099999986</v>
      </c>
      <c r="E502" s="24" t="s">
        <v>442</v>
      </c>
      <c r="F502" s="26">
        <v>13450.74</v>
      </c>
      <c r="G502" s="26">
        <v>2487.7800000000007</v>
      </c>
    </row>
    <row r="503" spans="1:7" x14ac:dyDescent="0.25">
      <c r="A503" s="24" t="s">
        <v>359</v>
      </c>
      <c r="B503" s="6">
        <v>13637.287999999999</v>
      </c>
      <c r="C503" s="6">
        <v>6158.3379999999988</v>
      </c>
      <c r="E503" s="23" t="s">
        <v>714</v>
      </c>
      <c r="F503" s="26">
        <v>49164.407039999998</v>
      </c>
      <c r="G503" s="26">
        <v>-8104.3329600000034</v>
      </c>
    </row>
    <row r="504" spans="1:7" x14ac:dyDescent="0.25">
      <c r="A504" s="24" t="s">
        <v>365</v>
      </c>
      <c r="B504" s="6">
        <v>16487.22781</v>
      </c>
      <c r="C504" s="6">
        <v>1542.8678099999997</v>
      </c>
      <c r="E504" s="24" t="s">
        <v>229</v>
      </c>
      <c r="F504" s="26">
        <v>15253.069799999999</v>
      </c>
      <c r="G504" s="26">
        <v>1386.4697999999989</v>
      </c>
    </row>
    <row r="505" spans="1:7" x14ac:dyDescent="0.25">
      <c r="A505" s="23" t="s">
        <v>716</v>
      </c>
      <c r="B505" s="6">
        <v>63827.868349999997</v>
      </c>
      <c r="C505" s="6">
        <v>6096.3083500000012</v>
      </c>
      <c r="E505" s="24" t="s">
        <v>421</v>
      </c>
      <c r="F505" s="26">
        <v>21541.017959999997</v>
      </c>
      <c r="G505" s="26">
        <v>-4332.002040000003</v>
      </c>
    </row>
    <row r="506" spans="1:7" x14ac:dyDescent="0.25">
      <c r="A506" s="24" t="s">
        <v>452</v>
      </c>
      <c r="B506" s="6">
        <v>24278.849280000002</v>
      </c>
      <c r="C506" s="6">
        <v>3612.4492800000007</v>
      </c>
      <c r="E506" s="24" t="s">
        <v>17</v>
      </c>
      <c r="F506" s="26">
        <v>12370.31928</v>
      </c>
      <c r="G506" s="26">
        <v>-5158.8007199999993</v>
      </c>
    </row>
    <row r="507" spans="1:7" x14ac:dyDescent="0.25">
      <c r="A507" s="24" t="s">
        <v>72</v>
      </c>
      <c r="B507" s="6">
        <v>4790.1068000000005</v>
      </c>
      <c r="C507" s="6">
        <v>2015.5468000000005</v>
      </c>
      <c r="E507" s="22" t="s">
        <v>1459</v>
      </c>
      <c r="F507" s="26"/>
      <c r="G507" s="26"/>
    </row>
    <row r="508" spans="1:7" x14ac:dyDescent="0.25">
      <c r="A508" s="24" t="s">
        <v>19</v>
      </c>
      <c r="B508" s="6">
        <v>10957.9797</v>
      </c>
      <c r="C508" s="6">
        <v>1012.529700000001</v>
      </c>
      <c r="E508" s="23" t="s">
        <v>713</v>
      </c>
      <c r="F508" s="26">
        <v>132537.20927000002</v>
      </c>
      <c r="G508" s="26">
        <v>58673.429270000008</v>
      </c>
    </row>
    <row r="509" spans="1:7" x14ac:dyDescent="0.25">
      <c r="A509" s="24" t="s">
        <v>230</v>
      </c>
      <c r="B509" s="6">
        <v>7738.9596900000006</v>
      </c>
      <c r="C509" s="6">
        <v>139.68969000000106</v>
      </c>
      <c r="E509" s="24" t="s">
        <v>638</v>
      </c>
      <c r="F509" s="26">
        <v>50090.397499999999</v>
      </c>
      <c r="G509" s="26">
        <v>23519.177499999998</v>
      </c>
    </row>
    <row r="510" spans="1:7" x14ac:dyDescent="0.25">
      <c r="A510" s="24" t="s">
        <v>137</v>
      </c>
      <c r="B510" s="6">
        <v>16061.972879999999</v>
      </c>
      <c r="C510" s="6">
        <v>-683.90712000000167</v>
      </c>
      <c r="E510" s="24" t="s">
        <v>496</v>
      </c>
      <c r="F510" s="26">
        <v>36161.097000000002</v>
      </c>
      <c r="G510" s="26">
        <v>16862.697000000004</v>
      </c>
    </row>
    <row r="511" spans="1:7" x14ac:dyDescent="0.25">
      <c r="A511" s="23" t="s">
        <v>712</v>
      </c>
      <c r="B511" s="6">
        <v>21699.506080000003</v>
      </c>
      <c r="C511" s="6">
        <v>5154.8860800000011</v>
      </c>
      <c r="E511" s="24" t="s">
        <v>122</v>
      </c>
      <c r="F511" s="26">
        <v>23687.524440000001</v>
      </c>
      <c r="G511" s="26">
        <v>10021.924440000003</v>
      </c>
    </row>
    <row r="512" spans="1:7" x14ac:dyDescent="0.25">
      <c r="A512" s="24" t="s">
        <v>469</v>
      </c>
      <c r="B512" s="6">
        <v>14752.706080000002</v>
      </c>
      <c r="C512" s="6">
        <v>5578.9460800000015</v>
      </c>
      <c r="E512" s="24" t="s">
        <v>505</v>
      </c>
      <c r="F512" s="26">
        <v>6664.0999999999995</v>
      </c>
      <c r="G512" s="26">
        <v>3688.2</v>
      </c>
    </row>
    <row r="513" spans="1:7" x14ac:dyDescent="0.25">
      <c r="A513" s="24" t="s">
        <v>282</v>
      </c>
      <c r="B513" s="6">
        <v>6946.8</v>
      </c>
      <c r="C513" s="6">
        <v>-424.0600000000004</v>
      </c>
      <c r="E513" s="24" t="s">
        <v>198</v>
      </c>
      <c r="F513" s="26">
        <v>8698.8768300000011</v>
      </c>
      <c r="G513" s="26">
        <v>3164.4668300000012</v>
      </c>
    </row>
    <row r="514" spans="1:7" x14ac:dyDescent="0.25">
      <c r="A514" s="23" t="s">
        <v>715</v>
      </c>
      <c r="B514" s="6">
        <v>9805.8573800000013</v>
      </c>
      <c r="C514" s="6">
        <v>1380.8273800000024</v>
      </c>
      <c r="E514" s="24" t="s">
        <v>284</v>
      </c>
      <c r="F514" s="26">
        <v>7235.2134999999998</v>
      </c>
      <c r="G514" s="26">
        <v>1416.9634999999998</v>
      </c>
    </row>
    <row r="515" spans="1:7" x14ac:dyDescent="0.25">
      <c r="A515" s="24" t="s">
        <v>45</v>
      </c>
      <c r="B515" s="6">
        <v>9805.8573800000013</v>
      </c>
      <c r="C515" s="6">
        <v>1380.8273800000024</v>
      </c>
      <c r="E515" s="23" t="s">
        <v>720</v>
      </c>
      <c r="F515" s="26">
        <v>89013.725000000006</v>
      </c>
      <c r="G515" s="26">
        <v>43964.50499999999</v>
      </c>
    </row>
    <row r="516" spans="1:7" x14ac:dyDescent="0.25">
      <c r="A516" s="23" t="s">
        <v>719</v>
      </c>
      <c r="B516" s="6">
        <v>25121.226000000002</v>
      </c>
      <c r="C516" s="6">
        <v>1339.2760000000017</v>
      </c>
      <c r="E516" s="24" t="s">
        <v>410</v>
      </c>
      <c r="F516" s="26">
        <v>56176.777799999996</v>
      </c>
      <c r="G516" s="26">
        <v>28223.377799999995</v>
      </c>
    </row>
    <row r="517" spans="1:7" x14ac:dyDescent="0.25">
      <c r="A517" s="24" t="s">
        <v>447</v>
      </c>
      <c r="B517" s="6">
        <v>12967.958640000001</v>
      </c>
      <c r="C517" s="6">
        <v>6126.4386400000003</v>
      </c>
      <c r="E517" s="24" t="s">
        <v>304</v>
      </c>
      <c r="F517" s="26">
        <v>19066.045319999997</v>
      </c>
      <c r="G517" s="26">
        <v>9686.9653199999993</v>
      </c>
    </row>
    <row r="518" spans="1:7" x14ac:dyDescent="0.25">
      <c r="A518" s="24" t="s">
        <v>80</v>
      </c>
      <c r="B518" s="6">
        <v>12153.267360000002</v>
      </c>
      <c r="C518" s="6">
        <v>-4787.1626399999986</v>
      </c>
      <c r="E518" s="24" t="s">
        <v>547</v>
      </c>
      <c r="F518" s="26">
        <v>11924.0978</v>
      </c>
      <c r="G518" s="26">
        <v>5160.3977999999997</v>
      </c>
    </row>
    <row r="519" spans="1:7" x14ac:dyDescent="0.25">
      <c r="A519" s="23" t="s">
        <v>724</v>
      </c>
      <c r="B519" s="6">
        <v>38621.886559999999</v>
      </c>
      <c r="C519" s="6">
        <v>-1582.1934399999955</v>
      </c>
      <c r="E519" s="24" t="s">
        <v>565</v>
      </c>
      <c r="F519" s="26">
        <v>1846.8040799999999</v>
      </c>
      <c r="G519" s="26">
        <v>893.76407999999992</v>
      </c>
    </row>
    <row r="520" spans="1:7" x14ac:dyDescent="0.25">
      <c r="A520" s="24" t="s">
        <v>420</v>
      </c>
      <c r="B520" s="6">
        <v>22457.143800000002</v>
      </c>
      <c r="C520" s="6">
        <v>3398.3838000000032</v>
      </c>
      <c r="E520" s="23" t="s">
        <v>716</v>
      </c>
      <c r="F520" s="26">
        <v>80158.382689999999</v>
      </c>
      <c r="G520" s="26">
        <v>37444.592690000005</v>
      </c>
    </row>
    <row r="521" spans="1:7" x14ac:dyDescent="0.25">
      <c r="A521" s="24" t="s">
        <v>384</v>
      </c>
      <c r="B521" s="6">
        <v>4133.25108</v>
      </c>
      <c r="C521" s="6">
        <v>1176.75108</v>
      </c>
      <c r="E521" s="24" t="s">
        <v>551</v>
      </c>
      <c r="F521" s="26">
        <v>50958.766320000002</v>
      </c>
      <c r="G521" s="26">
        <v>23833.066320000002</v>
      </c>
    </row>
    <row r="522" spans="1:7" x14ac:dyDescent="0.25">
      <c r="A522" s="24" t="s">
        <v>149</v>
      </c>
      <c r="B522" s="6">
        <v>12031.491680000001</v>
      </c>
      <c r="C522" s="6">
        <v>-6157.3283199999987</v>
      </c>
      <c r="E522" s="24" t="s">
        <v>427</v>
      </c>
      <c r="F522" s="26">
        <v>16134.22069</v>
      </c>
      <c r="G522" s="26">
        <v>7756.4106900000006</v>
      </c>
    </row>
    <row r="523" spans="1:7" x14ac:dyDescent="0.25">
      <c r="A523" s="23" t="s">
        <v>722</v>
      </c>
      <c r="B523" s="6">
        <v>10203.06452</v>
      </c>
      <c r="C523" s="6">
        <v>-2303.59548</v>
      </c>
      <c r="E523" s="24" t="s">
        <v>457</v>
      </c>
      <c r="F523" s="26">
        <v>5960.04288</v>
      </c>
      <c r="G523" s="26">
        <v>3078.7628799999998</v>
      </c>
    </row>
    <row r="524" spans="1:7" x14ac:dyDescent="0.25">
      <c r="A524" s="24" t="s">
        <v>499</v>
      </c>
      <c r="B524" s="6">
        <v>6063.2517199999993</v>
      </c>
      <c r="C524" s="6">
        <v>142.1317199999994</v>
      </c>
      <c r="E524" s="24" t="s">
        <v>346</v>
      </c>
      <c r="F524" s="26">
        <v>7105.3528000000006</v>
      </c>
      <c r="G524" s="26">
        <v>2776.3528000000006</v>
      </c>
    </row>
    <row r="525" spans="1:7" x14ac:dyDescent="0.25">
      <c r="A525" s="24" t="s">
        <v>167</v>
      </c>
      <c r="B525" s="6">
        <v>4139.8127999999997</v>
      </c>
      <c r="C525" s="6">
        <v>-2445.7271999999994</v>
      </c>
      <c r="E525" s="23" t="s">
        <v>714</v>
      </c>
      <c r="F525" s="26">
        <v>124682.50071999998</v>
      </c>
      <c r="G525" s="26">
        <v>33612.910719999993</v>
      </c>
    </row>
    <row r="526" spans="1:7" x14ac:dyDescent="0.25">
      <c r="A526" s="22" t="s">
        <v>1452</v>
      </c>
      <c r="C526" s="6"/>
      <c r="E526" s="24" t="s">
        <v>569</v>
      </c>
      <c r="F526" s="26">
        <v>33551.927499999998</v>
      </c>
      <c r="G526" s="26">
        <v>18094.537499999999</v>
      </c>
    </row>
    <row r="527" spans="1:7" x14ac:dyDescent="0.25">
      <c r="A527" s="23" t="s">
        <v>716</v>
      </c>
      <c r="B527" s="6">
        <v>72928.716119999997</v>
      </c>
      <c r="C527" s="6">
        <v>39538.866119999999</v>
      </c>
      <c r="E527" s="24" t="s">
        <v>174</v>
      </c>
      <c r="F527" s="26">
        <v>29263.754519999995</v>
      </c>
      <c r="G527" s="26">
        <v>12178.014519999993</v>
      </c>
    </row>
    <row r="528" spans="1:7" x14ac:dyDescent="0.25">
      <c r="A528" s="24" t="s">
        <v>115</v>
      </c>
      <c r="B528" s="6">
        <v>52780.07</v>
      </c>
      <c r="C528" s="6">
        <v>31475.329999999998</v>
      </c>
      <c r="E528" s="24" t="s">
        <v>488</v>
      </c>
      <c r="F528" s="26">
        <v>19233.355499999998</v>
      </c>
      <c r="G528" s="26">
        <v>8370.8954999999969</v>
      </c>
    </row>
    <row r="529" spans="1:7" x14ac:dyDescent="0.25">
      <c r="A529" s="24" t="s">
        <v>373</v>
      </c>
      <c r="B529" s="6">
        <v>14813.731920000002</v>
      </c>
      <c r="C529" s="6">
        <v>6152.7419200000022</v>
      </c>
      <c r="E529" s="24" t="s">
        <v>96</v>
      </c>
      <c r="F529" s="26">
        <v>18258.868320000001</v>
      </c>
      <c r="G529" s="26">
        <v>-684.33167999999932</v>
      </c>
    </row>
    <row r="530" spans="1:7" x14ac:dyDescent="0.25">
      <c r="A530" s="24" t="s">
        <v>322</v>
      </c>
      <c r="B530" s="6">
        <v>5334.9141999999993</v>
      </c>
      <c r="C530" s="6">
        <v>1910.7941999999989</v>
      </c>
      <c r="E530" s="24" t="s">
        <v>206</v>
      </c>
      <c r="F530" s="26">
        <v>24374.594880000001</v>
      </c>
      <c r="G530" s="26">
        <v>-4346.2051199999987</v>
      </c>
    </row>
    <row r="531" spans="1:7" x14ac:dyDescent="0.25">
      <c r="A531" s="23" t="s">
        <v>715</v>
      </c>
      <c r="B531" s="6">
        <v>86590.119320000013</v>
      </c>
      <c r="C531" s="6">
        <v>33975.499320000003</v>
      </c>
      <c r="E531" s="23" t="s">
        <v>717</v>
      </c>
      <c r="F531" s="26">
        <v>87547.335760000002</v>
      </c>
      <c r="G531" s="26">
        <v>31677.605760000002</v>
      </c>
    </row>
    <row r="532" spans="1:7" x14ac:dyDescent="0.25">
      <c r="A532" s="24" t="s">
        <v>494</v>
      </c>
      <c r="B532" s="6">
        <v>40488.792960000006</v>
      </c>
      <c r="C532" s="6">
        <v>20983.832960000007</v>
      </c>
      <c r="E532" s="24" t="s">
        <v>485</v>
      </c>
      <c r="F532" s="26">
        <v>36549.429260000004</v>
      </c>
      <c r="G532" s="26">
        <v>18506.849260000003</v>
      </c>
    </row>
    <row r="533" spans="1:7" x14ac:dyDescent="0.25">
      <c r="A533" s="24" t="s">
        <v>465</v>
      </c>
      <c r="B533" s="6">
        <v>19628.476999999999</v>
      </c>
      <c r="C533" s="6">
        <v>10897.877</v>
      </c>
      <c r="E533" s="24" t="s">
        <v>172</v>
      </c>
      <c r="F533" s="26">
        <v>24147.922500000001</v>
      </c>
      <c r="G533" s="26">
        <v>10696.672500000001</v>
      </c>
    </row>
    <row r="534" spans="1:7" x14ac:dyDescent="0.25">
      <c r="A534" s="24" t="s">
        <v>25</v>
      </c>
      <c r="B534" s="6">
        <v>16006.14344</v>
      </c>
      <c r="C534" s="6">
        <v>1190.23344</v>
      </c>
      <c r="E534" s="24" t="s">
        <v>234</v>
      </c>
      <c r="F534" s="26">
        <v>13519.529099999998</v>
      </c>
      <c r="G534" s="26">
        <v>7038.989099999998</v>
      </c>
    </row>
    <row r="535" spans="1:7" x14ac:dyDescent="0.25">
      <c r="A535" s="24" t="s">
        <v>128</v>
      </c>
      <c r="B535" s="6">
        <v>2117.4834999999998</v>
      </c>
      <c r="C535" s="6">
        <v>554.49349999999981</v>
      </c>
      <c r="E535" s="24" t="s">
        <v>194</v>
      </c>
      <c r="F535" s="26">
        <v>4420.5961799999995</v>
      </c>
      <c r="G535" s="26">
        <v>-163.98382000000038</v>
      </c>
    </row>
    <row r="536" spans="1:7" x14ac:dyDescent="0.25">
      <c r="A536" s="24" t="s">
        <v>212</v>
      </c>
      <c r="B536" s="6">
        <v>8349.2224200000001</v>
      </c>
      <c r="C536" s="6">
        <v>349.06241999999929</v>
      </c>
      <c r="E536" s="24" t="s">
        <v>140</v>
      </c>
      <c r="F536" s="26">
        <v>8909.8587200000002</v>
      </c>
      <c r="G536" s="26">
        <v>-4400.9212799999987</v>
      </c>
    </row>
    <row r="537" spans="1:7" x14ac:dyDescent="0.25">
      <c r="A537" s="23" t="s">
        <v>717</v>
      </c>
      <c r="B537" s="6">
        <v>85821.398440000004</v>
      </c>
      <c r="C537" s="6">
        <v>24416.058440000001</v>
      </c>
      <c r="E537" s="23" t="s">
        <v>721</v>
      </c>
      <c r="F537" s="26">
        <v>63451.121140000003</v>
      </c>
      <c r="G537" s="26">
        <v>30847.781140000003</v>
      </c>
    </row>
    <row r="538" spans="1:7" x14ac:dyDescent="0.25">
      <c r="A538" s="24" t="s">
        <v>227</v>
      </c>
      <c r="B538" s="6">
        <v>24223.05</v>
      </c>
      <c r="C538" s="6">
        <v>11215.619999999999</v>
      </c>
      <c r="E538" s="24" t="s">
        <v>370</v>
      </c>
      <c r="F538" s="26">
        <v>43907.94</v>
      </c>
      <c r="G538" s="26">
        <v>22253.58</v>
      </c>
    </row>
    <row r="539" spans="1:7" x14ac:dyDescent="0.25">
      <c r="A539" s="24" t="s">
        <v>549</v>
      </c>
      <c r="B539" s="6">
        <v>15155.326800000001</v>
      </c>
      <c r="C539" s="6">
        <v>6447.8868000000002</v>
      </c>
      <c r="E539" s="24" t="s">
        <v>591</v>
      </c>
      <c r="F539" s="26">
        <v>13882.6016</v>
      </c>
      <c r="G539" s="26">
        <v>6341.2615999999998</v>
      </c>
    </row>
    <row r="540" spans="1:7" x14ac:dyDescent="0.25">
      <c r="A540" s="24" t="s">
        <v>298</v>
      </c>
      <c r="B540" s="6">
        <v>15505.479600000001</v>
      </c>
      <c r="C540" s="6">
        <v>3290.3196000000007</v>
      </c>
      <c r="E540" s="24" t="s">
        <v>405</v>
      </c>
      <c r="F540" s="26">
        <v>2525.0635000000002</v>
      </c>
      <c r="G540" s="26">
        <v>1375.2635000000002</v>
      </c>
    </row>
    <row r="541" spans="1:7" x14ac:dyDescent="0.25">
      <c r="A541" s="24" t="s">
        <v>579</v>
      </c>
      <c r="B541" s="6">
        <v>4229.4321199999995</v>
      </c>
      <c r="C541" s="6">
        <v>2128.0721199999994</v>
      </c>
      <c r="E541" s="24" t="s">
        <v>139</v>
      </c>
      <c r="F541" s="26">
        <v>2072.9258400000003</v>
      </c>
      <c r="G541" s="26">
        <v>647.40584000000035</v>
      </c>
    </row>
    <row r="542" spans="1:7" x14ac:dyDescent="0.25">
      <c r="A542" s="24" t="s">
        <v>20</v>
      </c>
      <c r="B542" s="6">
        <v>4141.7599999999993</v>
      </c>
      <c r="C542" s="6">
        <v>1930.6699999999992</v>
      </c>
      <c r="E542" s="24" t="s">
        <v>616</v>
      </c>
      <c r="F542" s="26">
        <v>1062.5902000000001</v>
      </c>
      <c r="G542" s="26">
        <v>230.27020000000005</v>
      </c>
    </row>
    <row r="543" spans="1:7" x14ac:dyDescent="0.25">
      <c r="A543" s="24" t="s">
        <v>340</v>
      </c>
      <c r="B543" s="6">
        <v>2373.9623200000001</v>
      </c>
      <c r="C543" s="6">
        <v>1133.8823200000002</v>
      </c>
      <c r="E543" s="23" t="s">
        <v>725</v>
      </c>
      <c r="F543" s="26">
        <v>85169.104399999982</v>
      </c>
      <c r="G543" s="26">
        <v>28768.73439999999</v>
      </c>
    </row>
    <row r="544" spans="1:7" x14ac:dyDescent="0.25">
      <c r="A544" s="24" t="s">
        <v>313</v>
      </c>
      <c r="B544" s="6">
        <v>12699.28</v>
      </c>
      <c r="C544" s="6">
        <v>-318.55999999999949</v>
      </c>
      <c r="E544" s="24" t="s">
        <v>191</v>
      </c>
      <c r="F544" s="26">
        <v>15656.47056</v>
      </c>
      <c r="G544" s="26">
        <v>7162.3605599999992</v>
      </c>
    </row>
    <row r="545" spans="1:7" x14ac:dyDescent="0.25">
      <c r="A545" s="24" t="s">
        <v>335</v>
      </c>
      <c r="B545" s="6">
        <v>7493.1076000000012</v>
      </c>
      <c r="C545" s="6">
        <v>-1411.8323999999975</v>
      </c>
      <c r="E545" s="24" t="s">
        <v>256</v>
      </c>
      <c r="F545" s="26">
        <v>34082.864639999993</v>
      </c>
      <c r="G545" s="26">
        <v>7112.1846399999922</v>
      </c>
    </row>
    <row r="546" spans="1:7" x14ac:dyDescent="0.25">
      <c r="A546" s="23" t="s">
        <v>714</v>
      </c>
      <c r="B546" s="6">
        <v>42570.618660000007</v>
      </c>
      <c r="C546" s="6">
        <v>18424.548660000008</v>
      </c>
      <c r="E546" s="24" t="s">
        <v>205</v>
      </c>
      <c r="F546" s="26">
        <v>8763.2849999999999</v>
      </c>
      <c r="G546" s="26">
        <v>4296.3850000000002</v>
      </c>
    </row>
    <row r="547" spans="1:7" x14ac:dyDescent="0.25">
      <c r="A547" s="24" t="s">
        <v>528</v>
      </c>
      <c r="B547" s="6">
        <v>33308.550000000003</v>
      </c>
      <c r="C547" s="6">
        <v>17596.920000000006</v>
      </c>
      <c r="E547" s="24" t="s">
        <v>529</v>
      </c>
      <c r="F547" s="26">
        <v>10859.64</v>
      </c>
      <c r="G547" s="26">
        <v>3835.7</v>
      </c>
    </row>
    <row r="548" spans="1:7" x14ac:dyDescent="0.25">
      <c r="A548" s="24" t="s">
        <v>544</v>
      </c>
      <c r="B548" s="6">
        <v>9262.0686600000008</v>
      </c>
      <c r="C548" s="6">
        <v>827.62866000000031</v>
      </c>
      <c r="E548" s="24" t="s">
        <v>641</v>
      </c>
      <c r="F548" s="26">
        <v>5096.4790800000001</v>
      </c>
      <c r="G548" s="26">
        <v>2610.03908</v>
      </c>
    </row>
    <row r="549" spans="1:7" x14ac:dyDescent="0.25">
      <c r="A549" s="23" t="s">
        <v>720</v>
      </c>
      <c r="B549" s="6">
        <v>50643.261119999996</v>
      </c>
      <c r="C549" s="6">
        <v>15346.081120000001</v>
      </c>
      <c r="E549" s="24" t="s">
        <v>236</v>
      </c>
      <c r="F549" s="26">
        <v>4503.4363999999996</v>
      </c>
      <c r="G549" s="26">
        <v>2092.0364</v>
      </c>
    </row>
    <row r="550" spans="1:7" x14ac:dyDescent="0.25">
      <c r="A550" s="24" t="s">
        <v>144</v>
      </c>
      <c r="B550" s="6">
        <v>16071.44868</v>
      </c>
      <c r="C550" s="6">
        <v>8628.0886800000007</v>
      </c>
      <c r="E550" s="24" t="s">
        <v>424</v>
      </c>
      <c r="F550" s="26">
        <v>5323.9903199999999</v>
      </c>
      <c r="G550" s="26">
        <v>1594.7103199999997</v>
      </c>
    </row>
    <row r="551" spans="1:7" x14ac:dyDescent="0.25">
      <c r="A551" s="24" t="s">
        <v>587</v>
      </c>
      <c r="B551" s="6">
        <v>19139.594240000002</v>
      </c>
      <c r="C551" s="6">
        <v>4918.4742400000014</v>
      </c>
      <c r="E551" s="24" t="s">
        <v>296</v>
      </c>
      <c r="F551" s="26">
        <v>667.74</v>
      </c>
      <c r="G551" s="26">
        <v>116.6400000000001</v>
      </c>
    </row>
    <row r="552" spans="1:7" x14ac:dyDescent="0.25">
      <c r="A552" s="24" t="s">
        <v>611</v>
      </c>
      <c r="B552" s="6">
        <v>3116.21</v>
      </c>
      <c r="C552" s="6">
        <v>1621.1100000000001</v>
      </c>
      <c r="E552" s="24" t="s">
        <v>69</v>
      </c>
      <c r="F552" s="26">
        <v>215.19839999999996</v>
      </c>
      <c r="G552" s="26">
        <v>-51.321600000000018</v>
      </c>
    </row>
    <row r="553" spans="1:7" x14ac:dyDescent="0.25">
      <c r="A553" s="24" t="s">
        <v>283</v>
      </c>
      <c r="B553" s="6">
        <v>7678.2113999999992</v>
      </c>
      <c r="C553" s="6">
        <v>478.21139999999923</v>
      </c>
      <c r="E553" s="23" t="s">
        <v>724</v>
      </c>
      <c r="F553" s="26">
        <v>64711.873569999996</v>
      </c>
      <c r="G553" s="26">
        <v>22666.623569999996</v>
      </c>
    </row>
    <row r="554" spans="1:7" x14ac:dyDescent="0.25">
      <c r="A554" s="24" t="s">
        <v>215</v>
      </c>
      <c r="B554" s="6">
        <v>4637.7968000000001</v>
      </c>
      <c r="C554" s="6">
        <v>-299.80320000000029</v>
      </c>
      <c r="E554" s="24" t="s">
        <v>543</v>
      </c>
      <c r="F554" s="26">
        <v>33421.1</v>
      </c>
      <c r="G554" s="26">
        <v>19424.699999999997</v>
      </c>
    </row>
    <row r="555" spans="1:7" x14ac:dyDescent="0.25">
      <c r="A555" s="23" t="s">
        <v>722</v>
      </c>
      <c r="B555" s="6">
        <v>50418.352979999996</v>
      </c>
      <c r="C555" s="6">
        <v>15096.36298</v>
      </c>
      <c r="E555" s="24" t="s">
        <v>613</v>
      </c>
      <c r="F555" s="26">
        <v>5962.1422499999999</v>
      </c>
      <c r="G555" s="26">
        <v>1829.6422499999999</v>
      </c>
    </row>
    <row r="556" spans="1:7" x14ac:dyDescent="0.25">
      <c r="A556" s="24" t="s">
        <v>28</v>
      </c>
      <c r="B556" s="6">
        <v>21585.15</v>
      </c>
      <c r="C556" s="6">
        <v>11932.200000000003</v>
      </c>
      <c r="E556" s="24" t="s">
        <v>395</v>
      </c>
      <c r="F556" s="26">
        <v>12881.097599999999</v>
      </c>
      <c r="G556" s="26">
        <v>1208.877599999998</v>
      </c>
    </row>
    <row r="557" spans="1:7" x14ac:dyDescent="0.25">
      <c r="A557" s="24" t="s">
        <v>394</v>
      </c>
      <c r="B557" s="6">
        <v>11332.142999999998</v>
      </c>
      <c r="C557" s="6">
        <v>1875.6429999999982</v>
      </c>
      <c r="E557" s="24" t="s">
        <v>559</v>
      </c>
      <c r="F557" s="26">
        <v>10792.637119999999</v>
      </c>
      <c r="G557" s="26">
        <v>353.03711999999905</v>
      </c>
    </row>
    <row r="558" spans="1:7" x14ac:dyDescent="0.25">
      <c r="A558" s="24" t="s">
        <v>344</v>
      </c>
      <c r="B558" s="6">
        <v>2537.2908000000002</v>
      </c>
      <c r="C558" s="6">
        <v>1329.0108000000002</v>
      </c>
      <c r="E558" s="24" t="s">
        <v>102</v>
      </c>
      <c r="F558" s="26">
        <v>1654.8966000000003</v>
      </c>
      <c r="G558" s="26">
        <v>-149.63339999999971</v>
      </c>
    </row>
    <row r="559" spans="1:7" x14ac:dyDescent="0.25">
      <c r="A559" s="24" t="s">
        <v>214</v>
      </c>
      <c r="B559" s="6">
        <v>14963.769179999999</v>
      </c>
      <c r="C559" s="6">
        <v>-40.490820000000895</v>
      </c>
      <c r="E559" s="23" t="s">
        <v>718</v>
      </c>
      <c r="F559" s="26">
        <v>70363.638069999986</v>
      </c>
      <c r="G559" s="26">
        <v>19858.878069999999</v>
      </c>
    </row>
    <row r="560" spans="1:7" x14ac:dyDescent="0.25">
      <c r="A560" s="23" t="s">
        <v>724</v>
      </c>
      <c r="B560" s="6">
        <v>59369.677579999996</v>
      </c>
      <c r="C560" s="6">
        <v>14446.197579999995</v>
      </c>
      <c r="E560" s="24" t="s">
        <v>49</v>
      </c>
      <c r="F560" s="26">
        <v>27331.829999999998</v>
      </c>
      <c r="G560" s="26">
        <v>14439.149999999998</v>
      </c>
    </row>
    <row r="561" spans="1:7" x14ac:dyDescent="0.25">
      <c r="A561" s="24" t="s">
        <v>217</v>
      </c>
      <c r="B561" s="6">
        <v>47962.717579999997</v>
      </c>
      <c r="C561" s="6">
        <v>11703.957579999995</v>
      </c>
      <c r="E561" s="24" t="s">
        <v>440</v>
      </c>
      <c r="F561" s="26">
        <v>30435.614999999998</v>
      </c>
      <c r="G561" s="26">
        <v>3742.5149999999994</v>
      </c>
    </row>
    <row r="562" spans="1:7" x14ac:dyDescent="0.25">
      <c r="A562" s="24" t="s">
        <v>541</v>
      </c>
      <c r="B562" s="6">
        <v>11406.96</v>
      </c>
      <c r="C562" s="6">
        <v>2742.24</v>
      </c>
      <c r="E562" s="24" t="s">
        <v>605</v>
      </c>
      <c r="F562" s="26">
        <v>11742.8703</v>
      </c>
      <c r="G562" s="26">
        <v>1784.3703000000005</v>
      </c>
    </row>
    <row r="563" spans="1:7" x14ac:dyDescent="0.25">
      <c r="A563" s="23" t="s">
        <v>713</v>
      </c>
      <c r="B563" s="6">
        <v>34710.593439999997</v>
      </c>
      <c r="C563" s="6">
        <v>14415.673439999995</v>
      </c>
      <c r="E563" s="24" t="s">
        <v>142</v>
      </c>
      <c r="F563" s="26">
        <v>853.32276999999988</v>
      </c>
      <c r="G563" s="26">
        <v>-107.15723000000003</v>
      </c>
    </row>
    <row r="564" spans="1:7" x14ac:dyDescent="0.25">
      <c r="A564" s="24" t="s">
        <v>221</v>
      </c>
      <c r="B564" s="6">
        <v>28386.015839999996</v>
      </c>
      <c r="C564" s="6">
        <v>14990.295839999995</v>
      </c>
      <c r="E564" s="23" t="s">
        <v>1422</v>
      </c>
      <c r="F564" s="26">
        <v>43582.335399999996</v>
      </c>
      <c r="G564" s="26">
        <v>19623.085399999996</v>
      </c>
    </row>
    <row r="565" spans="1:7" x14ac:dyDescent="0.25">
      <c r="A565" s="24" t="s">
        <v>116</v>
      </c>
      <c r="B565" s="6">
        <v>6324.5775999999996</v>
      </c>
      <c r="C565" s="6">
        <v>-574.62240000000111</v>
      </c>
      <c r="E565" s="24" t="s">
        <v>91</v>
      </c>
      <c r="F565" s="26">
        <v>35396.277799999996</v>
      </c>
      <c r="G565" s="26">
        <v>17265.827799999995</v>
      </c>
    </row>
    <row r="566" spans="1:7" x14ac:dyDescent="0.25">
      <c r="A566" s="23" t="s">
        <v>726</v>
      </c>
      <c r="B566" s="6">
        <v>34843.661740000003</v>
      </c>
      <c r="C566" s="6">
        <v>14284.291740000001</v>
      </c>
      <c r="E566" s="24" t="s">
        <v>276</v>
      </c>
      <c r="F566" s="26">
        <v>8186.057600000001</v>
      </c>
      <c r="G566" s="26">
        <v>2357.2576000000008</v>
      </c>
    </row>
    <row r="567" spans="1:7" x14ac:dyDescent="0.25">
      <c r="A567" s="24" t="s">
        <v>369</v>
      </c>
      <c r="B567" s="6">
        <v>23195.01828</v>
      </c>
      <c r="C567" s="6">
        <v>9388.5682799999995</v>
      </c>
      <c r="E567" s="23" t="s">
        <v>726</v>
      </c>
      <c r="F567" s="26">
        <v>71888.653190000012</v>
      </c>
      <c r="G567" s="26">
        <v>16704.573190000006</v>
      </c>
    </row>
    <row r="568" spans="1:7" x14ac:dyDescent="0.25">
      <c r="A568" s="24" t="s">
        <v>323</v>
      </c>
      <c r="B568" s="6">
        <v>9847.2358600000007</v>
      </c>
      <c r="C568" s="6">
        <v>4223.99586</v>
      </c>
      <c r="E568" s="24" t="s">
        <v>55</v>
      </c>
      <c r="F568" s="26">
        <v>41106.800970000004</v>
      </c>
      <c r="G568" s="26">
        <v>13458.530970000003</v>
      </c>
    </row>
    <row r="569" spans="1:7" x14ac:dyDescent="0.25">
      <c r="A569" s="24" t="s">
        <v>596</v>
      </c>
      <c r="B569" s="6">
        <v>1801.4076000000002</v>
      </c>
      <c r="C569" s="6">
        <v>671.72760000000017</v>
      </c>
      <c r="E569" s="24" t="s">
        <v>509</v>
      </c>
      <c r="F569" s="26">
        <v>4682.9519799999998</v>
      </c>
      <c r="G569" s="26">
        <v>2213.4219799999996</v>
      </c>
    </row>
    <row r="570" spans="1:7" x14ac:dyDescent="0.25">
      <c r="A570" s="23" t="s">
        <v>712</v>
      </c>
      <c r="B570" s="6">
        <v>15337.250480000001</v>
      </c>
      <c r="C570" s="6">
        <v>7138.3104800000001</v>
      </c>
      <c r="E570" s="24" t="s">
        <v>415</v>
      </c>
      <c r="F570" s="26">
        <v>17427.164800000002</v>
      </c>
      <c r="G570" s="26">
        <v>1263.8648000000012</v>
      </c>
    </row>
    <row r="571" spans="1:7" x14ac:dyDescent="0.25">
      <c r="A571" s="24" t="s">
        <v>103</v>
      </c>
      <c r="B571" s="6">
        <v>11842.8464</v>
      </c>
      <c r="C571" s="6">
        <v>6082.1463999999996</v>
      </c>
      <c r="E571" s="24" t="s">
        <v>83</v>
      </c>
      <c r="F571" s="26">
        <v>8671.7354400000004</v>
      </c>
      <c r="G571" s="26">
        <v>-231.24455999999918</v>
      </c>
    </row>
    <row r="572" spans="1:7" x14ac:dyDescent="0.25">
      <c r="A572" s="24" t="s">
        <v>148</v>
      </c>
      <c r="B572" s="6">
        <v>3494.4040799999998</v>
      </c>
      <c r="C572" s="6">
        <v>1056.16408</v>
      </c>
      <c r="E572" s="23" t="s">
        <v>719</v>
      </c>
      <c r="F572" s="26">
        <v>38031.751360000002</v>
      </c>
      <c r="G572" s="26">
        <v>15244.58136</v>
      </c>
    </row>
    <row r="573" spans="1:7" x14ac:dyDescent="0.25">
      <c r="A573" s="23" t="s">
        <v>723</v>
      </c>
      <c r="B573" s="6">
        <v>17135.038960000002</v>
      </c>
      <c r="C573" s="6">
        <v>6872.9289600000002</v>
      </c>
      <c r="E573" s="24" t="s">
        <v>429</v>
      </c>
      <c r="F573" s="26">
        <v>18411.4084</v>
      </c>
      <c r="G573" s="26">
        <v>9397.9283999999989</v>
      </c>
    </row>
    <row r="574" spans="1:7" x14ac:dyDescent="0.25">
      <c r="A574" s="24" t="s">
        <v>392</v>
      </c>
      <c r="B574" s="6">
        <v>6576.298960000001</v>
      </c>
      <c r="C574" s="6">
        <v>3551.3889600000011</v>
      </c>
      <c r="E574" s="24" t="s">
        <v>307</v>
      </c>
      <c r="F574" s="26">
        <v>7382.1450000000004</v>
      </c>
      <c r="G574" s="26">
        <v>4234.9950000000008</v>
      </c>
    </row>
    <row r="575" spans="1:7" x14ac:dyDescent="0.25">
      <c r="A575" s="24" t="s">
        <v>56</v>
      </c>
      <c r="B575" s="6">
        <v>10558.74</v>
      </c>
      <c r="C575" s="6">
        <v>3321.5399999999991</v>
      </c>
      <c r="E575" s="24" t="s">
        <v>590</v>
      </c>
      <c r="F575" s="26">
        <v>12091.190399999999</v>
      </c>
      <c r="G575" s="26">
        <v>1611.2903999999999</v>
      </c>
    </row>
    <row r="576" spans="1:7" x14ac:dyDescent="0.25">
      <c r="A576" s="23" t="s">
        <v>721</v>
      </c>
      <c r="B576" s="6">
        <v>47199.238059999996</v>
      </c>
      <c r="C576" s="6">
        <v>3707.1580599999961</v>
      </c>
      <c r="E576" s="24" t="s">
        <v>111</v>
      </c>
      <c r="F576" s="26">
        <v>147.00756000000001</v>
      </c>
      <c r="G576" s="26">
        <v>0.36755999999999744</v>
      </c>
    </row>
    <row r="577" spans="1:7" x14ac:dyDescent="0.25">
      <c r="A577" s="24" t="s">
        <v>302</v>
      </c>
      <c r="B577" s="6">
        <v>26765.040239999998</v>
      </c>
      <c r="C577" s="6">
        <v>12392.940239999998</v>
      </c>
      <c r="E577" s="23" t="s">
        <v>723</v>
      </c>
      <c r="F577" s="26">
        <v>50817.795490000004</v>
      </c>
      <c r="G577" s="26">
        <v>15041.425489999998</v>
      </c>
    </row>
    <row r="578" spans="1:7" x14ac:dyDescent="0.25">
      <c r="A578" s="24" t="s">
        <v>231</v>
      </c>
      <c r="B578" s="6">
        <v>2231.6467200000002</v>
      </c>
      <c r="C578" s="6">
        <v>1024.7667200000001</v>
      </c>
      <c r="E578" s="24" t="s">
        <v>216</v>
      </c>
      <c r="F578" s="26">
        <v>25299.040000000001</v>
      </c>
      <c r="G578" s="26">
        <v>9950.4599999999991</v>
      </c>
    </row>
    <row r="579" spans="1:7" x14ac:dyDescent="0.25">
      <c r="A579" s="24" t="s">
        <v>418</v>
      </c>
      <c r="B579" s="6">
        <v>7832.0010999999995</v>
      </c>
      <c r="C579" s="6">
        <v>-1909.0989000000009</v>
      </c>
      <c r="E579" s="24" t="s">
        <v>242</v>
      </c>
      <c r="F579" s="26">
        <v>16609.090809999998</v>
      </c>
      <c r="G579" s="26">
        <v>4476.3208099999974</v>
      </c>
    </row>
    <row r="580" spans="1:7" x14ac:dyDescent="0.25">
      <c r="A580" s="24" t="s">
        <v>26</v>
      </c>
      <c r="B580" s="6">
        <v>10370.549999999999</v>
      </c>
      <c r="C580" s="6">
        <v>-7801.4500000000007</v>
      </c>
      <c r="E580" s="24" t="s">
        <v>170</v>
      </c>
      <c r="F580" s="26">
        <v>8909.6646800000017</v>
      </c>
      <c r="G580" s="26">
        <v>614.64468000000124</v>
      </c>
    </row>
    <row r="581" spans="1:7" x14ac:dyDescent="0.25">
      <c r="A581" s="23" t="s">
        <v>1422</v>
      </c>
      <c r="B581" s="6">
        <v>17359.804799999998</v>
      </c>
      <c r="C581" s="6">
        <v>1269.9647999999979</v>
      </c>
      <c r="E581" s="23" t="s">
        <v>722</v>
      </c>
      <c r="F581" s="26">
        <v>38640.583160000002</v>
      </c>
      <c r="G581" s="26">
        <v>11400.543160000003</v>
      </c>
    </row>
    <row r="582" spans="1:7" x14ac:dyDescent="0.25">
      <c r="A582" s="24" t="s">
        <v>249</v>
      </c>
      <c r="B582" s="6">
        <v>17359.804799999998</v>
      </c>
      <c r="C582" s="6">
        <v>1269.9647999999979</v>
      </c>
      <c r="E582" s="24" t="s">
        <v>367</v>
      </c>
      <c r="F582" s="26">
        <v>34816.968000000001</v>
      </c>
      <c r="G582" s="26">
        <v>10149.768000000004</v>
      </c>
    </row>
    <row r="583" spans="1:7" x14ac:dyDescent="0.25">
      <c r="A583" s="23" t="s">
        <v>718</v>
      </c>
      <c r="B583" s="6">
        <v>34027.968659999999</v>
      </c>
      <c r="C583" s="6">
        <v>-1417.9013400000008</v>
      </c>
      <c r="E583" s="24" t="s">
        <v>598</v>
      </c>
      <c r="F583" s="26">
        <v>3823.6151599999998</v>
      </c>
      <c r="G583" s="26">
        <v>1250.7751599999997</v>
      </c>
    </row>
    <row r="584" spans="1:7" x14ac:dyDescent="0.25">
      <c r="A584" s="24" t="s">
        <v>538</v>
      </c>
      <c r="B584" s="6">
        <v>6435.2555999999995</v>
      </c>
      <c r="C584" s="6">
        <v>2189.7755999999999</v>
      </c>
      <c r="E584" s="23" t="s">
        <v>715</v>
      </c>
      <c r="F584" s="26">
        <v>21908.731650000002</v>
      </c>
      <c r="G584" s="26">
        <v>4910.9716500000031</v>
      </c>
    </row>
    <row r="585" spans="1:7" x14ac:dyDescent="0.25">
      <c r="A585" s="24" t="s">
        <v>433</v>
      </c>
      <c r="B585" s="6">
        <v>9509.2865999999995</v>
      </c>
      <c r="C585" s="6">
        <v>1935.3365999999996</v>
      </c>
      <c r="E585" s="24" t="s">
        <v>498</v>
      </c>
      <c r="F585" s="26">
        <v>21908.731650000002</v>
      </c>
      <c r="G585" s="26">
        <v>4910.9716500000031</v>
      </c>
    </row>
    <row r="586" spans="1:7" x14ac:dyDescent="0.25">
      <c r="A586" s="24" t="s">
        <v>201</v>
      </c>
      <c r="B586" s="6">
        <v>4831.9464600000001</v>
      </c>
      <c r="C586" s="6">
        <v>1263.5064600000001</v>
      </c>
      <c r="E586" s="23" t="s">
        <v>712</v>
      </c>
      <c r="F586" s="26">
        <v>32657.608799999998</v>
      </c>
      <c r="G586" s="26">
        <v>2525.9987999999985</v>
      </c>
    </row>
    <row r="587" spans="1:7" x14ac:dyDescent="0.25">
      <c r="A587" s="24" t="s">
        <v>574</v>
      </c>
      <c r="B587" s="6">
        <v>13251.48</v>
      </c>
      <c r="C587" s="6">
        <v>-6806.52</v>
      </c>
      <c r="E587" s="24" t="s">
        <v>441</v>
      </c>
      <c r="F587" s="26">
        <v>25191.3024</v>
      </c>
      <c r="G587" s="26">
        <v>4418.7623999999996</v>
      </c>
    </row>
    <row r="588" spans="1:7" x14ac:dyDescent="0.25">
      <c r="A588" s="23" t="s">
        <v>719</v>
      </c>
      <c r="B588" s="6">
        <v>8622.0403399999996</v>
      </c>
      <c r="C588" s="6">
        <v>-1553.6796599999996</v>
      </c>
      <c r="E588" s="24" t="s">
        <v>615</v>
      </c>
      <c r="F588" s="26">
        <v>7466.3063999999986</v>
      </c>
      <c r="G588" s="26">
        <v>-1892.7636000000011</v>
      </c>
    </row>
    <row r="589" spans="1:7" x14ac:dyDescent="0.25">
      <c r="A589" s="24" t="s">
        <v>22</v>
      </c>
      <c r="B589" s="6">
        <v>685.06776000000002</v>
      </c>
      <c r="C589" s="6">
        <v>174.22776000000005</v>
      </c>
      <c r="E589" s="22" t="s">
        <v>1457</v>
      </c>
      <c r="F589" s="26"/>
      <c r="G589" s="26"/>
    </row>
    <row r="590" spans="1:7" x14ac:dyDescent="0.25">
      <c r="A590" s="24" t="s">
        <v>623</v>
      </c>
      <c r="B590" s="6">
        <v>2077.46</v>
      </c>
      <c r="C590" s="6">
        <v>-7.7899999999999636</v>
      </c>
      <c r="E590" s="23" t="s">
        <v>724</v>
      </c>
      <c r="F590" s="26">
        <v>247124.54875999998</v>
      </c>
      <c r="G590" s="26">
        <v>105497.26876000001</v>
      </c>
    </row>
    <row r="591" spans="1:7" x14ac:dyDescent="0.25">
      <c r="A591" s="24" t="s">
        <v>68</v>
      </c>
      <c r="B591" s="6">
        <v>2518.8755800000004</v>
      </c>
      <c r="C591" s="6">
        <v>-134.55441999999994</v>
      </c>
      <c r="E591" s="24" t="s">
        <v>627</v>
      </c>
      <c r="F591" s="26">
        <v>82141.339799999987</v>
      </c>
      <c r="G591" s="26">
        <v>47729.039799999991</v>
      </c>
    </row>
    <row r="592" spans="1:7" x14ac:dyDescent="0.25">
      <c r="A592" s="24" t="s">
        <v>554</v>
      </c>
      <c r="B592" s="6">
        <v>3340.6370000000002</v>
      </c>
      <c r="C592" s="6">
        <v>-1585.5629999999996</v>
      </c>
      <c r="E592" s="24" t="s">
        <v>141</v>
      </c>
      <c r="F592" s="26">
        <v>65111.38614000001</v>
      </c>
      <c r="G592" s="26">
        <v>24667.226140000013</v>
      </c>
    </row>
    <row r="593" spans="1:7" x14ac:dyDescent="0.25">
      <c r="A593" s="23" t="s">
        <v>725</v>
      </c>
      <c r="B593" s="6">
        <v>16904.2821</v>
      </c>
      <c r="C593" s="6">
        <v>-6620.7379000000001</v>
      </c>
      <c r="E593" s="24" t="s">
        <v>126</v>
      </c>
      <c r="F593" s="26">
        <v>30151.675319999998</v>
      </c>
      <c r="G593" s="26">
        <v>9970.4653199999957</v>
      </c>
    </row>
    <row r="594" spans="1:7" x14ac:dyDescent="0.25">
      <c r="A594" s="24" t="s">
        <v>289</v>
      </c>
      <c r="B594" s="6">
        <v>8567.3924999999999</v>
      </c>
      <c r="C594" s="6">
        <v>101.57250000000022</v>
      </c>
      <c r="E594" s="24" t="s">
        <v>482</v>
      </c>
      <c r="F594" s="26">
        <v>25269.09</v>
      </c>
      <c r="G594" s="26">
        <v>7697.7899999999972</v>
      </c>
    </row>
    <row r="595" spans="1:7" x14ac:dyDescent="0.25">
      <c r="A595" s="24" t="s">
        <v>147</v>
      </c>
      <c r="B595" s="6">
        <v>8336.8896000000004</v>
      </c>
      <c r="C595" s="6">
        <v>-6722.3104000000003</v>
      </c>
      <c r="E595" s="24" t="s">
        <v>106</v>
      </c>
      <c r="F595" s="26">
        <v>19510.808000000001</v>
      </c>
      <c r="G595" s="26">
        <v>6327.5579999999991</v>
      </c>
    </row>
    <row r="596" spans="1:7" x14ac:dyDescent="0.25">
      <c r="A596" s="22" t="s">
        <v>1461</v>
      </c>
      <c r="C596" s="6"/>
      <c r="E596" s="24" t="s">
        <v>326</v>
      </c>
      <c r="F596" s="26">
        <v>11283.400799999999</v>
      </c>
      <c r="G596" s="26">
        <v>4212.1007999999993</v>
      </c>
    </row>
    <row r="597" spans="1:7" x14ac:dyDescent="0.25">
      <c r="A597" s="23" t="s">
        <v>712</v>
      </c>
      <c r="B597" s="6">
        <v>80241.997359999994</v>
      </c>
      <c r="C597" s="6">
        <v>28976.417360000003</v>
      </c>
      <c r="E597" s="24" t="s">
        <v>37</v>
      </c>
      <c r="F597" s="26">
        <v>10936.992</v>
      </c>
      <c r="G597" s="26">
        <v>3627.0920000000006</v>
      </c>
    </row>
    <row r="598" spans="1:7" x14ac:dyDescent="0.25">
      <c r="A598" s="24" t="s">
        <v>406</v>
      </c>
      <c r="B598" s="6">
        <v>65826.067999999999</v>
      </c>
      <c r="C598" s="6">
        <v>26205.018000000004</v>
      </c>
      <c r="E598" s="24" t="s">
        <v>480</v>
      </c>
      <c r="F598" s="26">
        <v>2719.8567000000003</v>
      </c>
      <c r="G598" s="26">
        <v>1265.9967000000001</v>
      </c>
    </row>
    <row r="599" spans="1:7" x14ac:dyDescent="0.25">
      <c r="A599" s="24" t="s">
        <v>500</v>
      </c>
      <c r="B599" s="6">
        <v>5159.7893599999998</v>
      </c>
      <c r="C599" s="6">
        <v>1993.4393599999994</v>
      </c>
      <c r="E599" s="23" t="s">
        <v>721</v>
      </c>
      <c r="F599" s="26">
        <v>113090.50041000001</v>
      </c>
      <c r="G599" s="26">
        <v>52756.840410000012</v>
      </c>
    </row>
    <row r="600" spans="1:7" x14ac:dyDescent="0.25">
      <c r="A600" s="24" t="s">
        <v>626</v>
      </c>
      <c r="B600" s="6">
        <v>9256.14</v>
      </c>
      <c r="C600" s="6">
        <v>777.95999999999913</v>
      </c>
      <c r="E600" s="24" t="s">
        <v>602</v>
      </c>
      <c r="F600" s="26">
        <v>68665.574250000005</v>
      </c>
      <c r="G600" s="26">
        <v>34487.324250000005</v>
      </c>
    </row>
    <row r="601" spans="1:7" x14ac:dyDescent="0.25">
      <c r="A601" s="23" t="s">
        <v>722</v>
      </c>
      <c r="B601" s="6">
        <v>60475.463560000004</v>
      </c>
      <c r="C601" s="6">
        <v>27047.593560000001</v>
      </c>
      <c r="E601" s="24" t="s">
        <v>292</v>
      </c>
      <c r="F601" s="26">
        <v>34840.344000000005</v>
      </c>
      <c r="G601" s="26">
        <v>14885.234000000004</v>
      </c>
    </row>
    <row r="602" spans="1:7" x14ac:dyDescent="0.25">
      <c r="A602" s="24" t="s">
        <v>57</v>
      </c>
      <c r="B602" s="6">
        <v>39479.440000000002</v>
      </c>
      <c r="C602" s="6">
        <v>19928.72</v>
      </c>
      <c r="E602" s="24" t="s">
        <v>133</v>
      </c>
      <c r="F602" s="26">
        <v>5769.2758000000003</v>
      </c>
      <c r="G602" s="26">
        <v>2373.1758</v>
      </c>
    </row>
    <row r="603" spans="1:7" x14ac:dyDescent="0.25">
      <c r="A603" s="24" t="s">
        <v>268</v>
      </c>
      <c r="B603" s="6">
        <v>6468.2751599999992</v>
      </c>
      <c r="C603" s="6">
        <v>3613.0251599999992</v>
      </c>
      <c r="E603" s="24" t="s">
        <v>311</v>
      </c>
      <c r="F603" s="26">
        <v>3190.8713200000002</v>
      </c>
      <c r="G603" s="26">
        <v>831.8713200000002</v>
      </c>
    </row>
    <row r="604" spans="1:7" x14ac:dyDescent="0.25">
      <c r="A604" s="24" t="s">
        <v>434</v>
      </c>
      <c r="B604" s="6">
        <v>14527.748400000002</v>
      </c>
      <c r="C604" s="6">
        <v>3505.8484000000008</v>
      </c>
      <c r="E604" s="24" t="s">
        <v>104</v>
      </c>
      <c r="F604" s="26">
        <v>624.43503999999996</v>
      </c>
      <c r="G604" s="26">
        <v>179.23503999999997</v>
      </c>
    </row>
    <row r="605" spans="1:7" x14ac:dyDescent="0.25">
      <c r="A605" s="23" t="s">
        <v>714</v>
      </c>
      <c r="B605" s="6">
        <v>62587.870929999997</v>
      </c>
      <c r="C605" s="6">
        <v>26034.320929999998</v>
      </c>
      <c r="E605" s="23" t="s">
        <v>716</v>
      </c>
      <c r="F605" s="26">
        <v>133989.76909000002</v>
      </c>
      <c r="G605" s="26">
        <v>51972.499090000005</v>
      </c>
    </row>
    <row r="606" spans="1:7" x14ac:dyDescent="0.25">
      <c r="A606" s="24" t="s">
        <v>343</v>
      </c>
      <c r="B606" s="6">
        <v>27756.432000000001</v>
      </c>
      <c r="C606" s="6">
        <v>12650.022000000001</v>
      </c>
      <c r="E606" s="24" t="s">
        <v>390</v>
      </c>
      <c r="F606" s="26">
        <v>43553.493060000001</v>
      </c>
      <c r="G606" s="26">
        <v>16544.093059999999</v>
      </c>
    </row>
    <row r="607" spans="1:7" x14ac:dyDescent="0.25">
      <c r="A607" s="24" t="s">
        <v>521</v>
      </c>
      <c r="B607" s="6">
        <v>15323.926799999999</v>
      </c>
      <c r="C607" s="6">
        <v>7333.3067999999994</v>
      </c>
      <c r="E607" s="24" t="s">
        <v>92</v>
      </c>
      <c r="F607" s="26">
        <v>33062.236480000007</v>
      </c>
      <c r="G607" s="26">
        <v>14141.576480000007</v>
      </c>
    </row>
    <row r="608" spans="1:7" x14ac:dyDescent="0.25">
      <c r="A608" s="24" t="s">
        <v>270</v>
      </c>
      <c r="B608" s="6">
        <v>19073.059649999999</v>
      </c>
      <c r="C608" s="6">
        <v>5840.7196499999991</v>
      </c>
      <c r="E608" s="24" t="s">
        <v>374</v>
      </c>
      <c r="F608" s="26">
        <v>35167.7448</v>
      </c>
      <c r="G608" s="26">
        <v>12333.184799999999</v>
      </c>
    </row>
    <row r="609" spans="1:7" x14ac:dyDescent="0.25">
      <c r="A609" s="24" t="s">
        <v>403</v>
      </c>
      <c r="B609" s="6">
        <v>434.45248000000004</v>
      </c>
      <c r="C609" s="6">
        <v>210.27248000000006</v>
      </c>
      <c r="E609" s="24" t="s">
        <v>363</v>
      </c>
      <c r="F609" s="26">
        <v>12236.874600000001</v>
      </c>
      <c r="G609" s="26">
        <v>6339.2946000000011</v>
      </c>
    </row>
    <row r="610" spans="1:7" x14ac:dyDescent="0.25">
      <c r="A610" s="23" t="s">
        <v>721</v>
      </c>
      <c r="B610" s="6">
        <v>76942.192849999992</v>
      </c>
      <c r="C610" s="6">
        <v>22487.402849999999</v>
      </c>
      <c r="E610" s="24" t="s">
        <v>158</v>
      </c>
      <c r="F610" s="26">
        <v>9969.4201499999999</v>
      </c>
      <c r="G610" s="26">
        <v>2614.3501500000002</v>
      </c>
    </row>
    <row r="611" spans="1:7" x14ac:dyDescent="0.25">
      <c r="A611" s="24" t="s">
        <v>108</v>
      </c>
      <c r="B611" s="6">
        <v>20079.343620000003</v>
      </c>
      <c r="C611" s="6">
        <v>10601.273620000004</v>
      </c>
      <c r="E611" s="23" t="s">
        <v>713</v>
      </c>
      <c r="F611" s="26">
        <v>109396.8438</v>
      </c>
      <c r="G611" s="26">
        <v>44306.633800000003</v>
      </c>
    </row>
    <row r="612" spans="1:7" x14ac:dyDescent="0.25">
      <c r="A612" s="24" t="s">
        <v>633</v>
      </c>
      <c r="B612" s="6">
        <v>41419.524249999995</v>
      </c>
      <c r="C612" s="6">
        <v>6301.4242499999964</v>
      </c>
      <c r="E612" s="24" t="s">
        <v>548</v>
      </c>
      <c r="F612" s="26">
        <v>42433.254400000005</v>
      </c>
      <c r="G612" s="26">
        <v>19412.054400000008</v>
      </c>
    </row>
    <row r="613" spans="1:7" x14ac:dyDescent="0.25">
      <c r="A613" s="24" t="s">
        <v>293</v>
      </c>
      <c r="B613" s="6">
        <v>8907.6924999999992</v>
      </c>
      <c r="C613" s="6">
        <v>4140.392499999999</v>
      </c>
      <c r="E613" s="24" t="s">
        <v>125</v>
      </c>
      <c r="F613" s="26">
        <v>27676.35</v>
      </c>
      <c r="G613" s="26">
        <v>12820.409999999998</v>
      </c>
    </row>
    <row r="614" spans="1:7" x14ac:dyDescent="0.25">
      <c r="A614" s="24" t="s">
        <v>232</v>
      </c>
      <c r="B614" s="6">
        <v>6535.6324800000002</v>
      </c>
      <c r="C614" s="6">
        <v>1444.3124800000005</v>
      </c>
      <c r="E614" s="24" t="s">
        <v>179</v>
      </c>
      <c r="F614" s="26">
        <v>11851.806399999999</v>
      </c>
      <c r="G614" s="26">
        <v>4504.4463999999998</v>
      </c>
    </row>
    <row r="615" spans="1:7" x14ac:dyDescent="0.25">
      <c r="A615" s="23" t="s">
        <v>718</v>
      </c>
      <c r="B615" s="6">
        <v>44468.934560000009</v>
      </c>
      <c r="C615" s="6">
        <v>19359.594560000009</v>
      </c>
      <c r="E615" s="24" t="s">
        <v>318</v>
      </c>
      <c r="F615" s="26">
        <v>5932.7856000000002</v>
      </c>
      <c r="G615" s="26">
        <v>3153.2256000000002</v>
      </c>
    </row>
    <row r="616" spans="1:7" x14ac:dyDescent="0.25">
      <c r="A616" s="24" t="s">
        <v>280</v>
      </c>
      <c r="B616" s="6">
        <v>38818.760160000005</v>
      </c>
      <c r="C616" s="6">
        <v>17764.670160000009</v>
      </c>
      <c r="E616" s="24" t="s">
        <v>61</v>
      </c>
      <c r="F616" s="26">
        <v>7135.57</v>
      </c>
      <c r="G616" s="26">
        <v>2744.8199999999997</v>
      </c>
    </row>
    <row r="617" spans="1:7" x14ac:dyDescent="0.25">
      <c r="A617" s="24" t="s">
        <v>176</v>
      </c>
      <c r="B617" s="6">
        <v>5650.1744000000008</v>
      </c>
      <c r="C617" s="6">
        <v>1594.9244000000008</v>
      </c>
      <c r="E617" s="24" t="s">
        <v>200</v>
      </c>
      <c r="F617" s="26">
        <v>10388.429999999998</v>
      </c>
      <c r="G617" s="26">
        <v>1576.3499999999985</v>
      </c>
    </row>
    <row r="618" spans="1:7" x14ac:dyDescent="0.25">
      <c r="A618" s="23" t="s">
        <v>719</v>
      </c>
      <c r="B618" s="6">
        <v>52769.967720000001</v>
      </c>
      <c r="C618" s="6">
        <v>17923.787719999997</v>
      </c>
      <c r="E618" s="24" t="s">
        <v>299</v>
      </c>
      <c r="F618" s="26">
        <v>3978.6474000000003</v>
      </c>
      <c r="G618" s="26">
        <v>95.32740000000058</v>
      </c>
    </row>
    <row r="619" spans="1:7" x14ac:dyDescent="0.25">
      <c r="A619" s="24" t="s">
        <v>63</v>
      </c>
      <c r="B619" s="6">
        <v>35621.302319999995</v>
      </c>
      <c r="C619" s="6">
        <v>14996.902319999994</v>
      </c>
      <c r="E619" s="23" t="s">
        <v>719</v>
      </c>
      <c r="F619" s="26">
        <v>122166.66639</v>
      </c>
      <c r="G619" s="26">
        <v>28681.506390000006</v>
      </c>
    </row>
    <row r="620" spans="1:7" x14ac:dyDescent="0.25">
      <c r="A620" s="24" t="s">
        <v>169</v>
      </c>
      <c r="B620" s="6">
        <v>11015.510400000003</v>
      </c>
      <c r="C620" s="6">
        <v>2336.6104000000032</v>
      </c>
      <c r="E620" s="24" t="s">
        <v>380</v>
      </c>
      <c r="F620" s="26">
        <v>19547.329920000004</v>
      </c>
      <c r="G620" s="26">
        <v>9185.8899200000033</v>
      </c>
    </row>
    <row r="621" spans="1:7" x14ac:dyDescent="0.25">
      <c r="A621" s="24" t="s">
        <v>241</v>
      </c>
      <c r="B621" s="6">
        <v>5533.6230000000005</v>
      </c>
      <c r="C621" s="6">
        <v>574.26300000000083</v>
      </c>
      <c r="E621" s="24" t="s">
        <v>556</v>
      </c>
      <c r="F621" s="26">
        <v>30652.403519999996</v>
      </c>
      <c r="G621" s="26">
        <v>8727.9235199999966</v>
      </c>
    </row>
    <row r="622" spans="1:7" x14ac:dyDescent="0.25">
      <c r="A622" s="24" t="s">
        <v>66</v>
      </c>
      <c r="B622" s="6">
        <v>599.53200000000004</v>
      </c>
      <c r="C622" s="6">
        <v>16.012000000000057</v>
      </c>
      <c r="E622" s="24" t="s">
        <v>294</v>
      </c>
      <c r="F622" s="26">
        <v>17441.021520000002</v>
      </c>
      <c r="G622" s="26">
        <v>7567.2115200000026</v>
      </c>
    </row>
    <row r="623" spans="1:7" x14ac:dyDescent="0.25">
      <c r="A623" s="23" t="s">
        <v>717</v>
      </c>
      <c r="B623" s="6">
        <v>63031.996000000006</v>
      </c>
      <c r="C623" s="6">
        <v>16470.996000000006</v>
      </c>
      <c r="E623" s="24" t="s">
        <v>291</v>
      </c>
      <c r="F623" s="26">
        <v>6066.54648</v>
      </c>
      <c r="G623" s="26">
        <v>2985.9064800000001</v>
      </c>
    </row>
    <row r="624" spans="1:7" x14ac:dyDescent="0.25">
      <c r="A624" s="24" t="s">
        <v>196</v>
      </c>
      <c r="B624" s="6">
        <v>41352.246200000009</v>
      </c>
      <c r="C624" s="6">
        <v>18700.046200000012</v>
      </c>
      <c r="E624" s="24" t="s">
        <v>397</v>
      </c>
      <c r="F624" s="26">
        <v>47693.373</v>
      </c>
      <c r="G624" s="26">
        <v>726.64300000000367</v>
      </c>
    </row>
    <row r="625" spans="1:7" x14ac:dyDescent="0.25">
      <c r="A625" s="24" t="s">
        <v>210</v>
      </c>
      <c r="B625" s="6">
        <v>21679.749799999998</v>
      </c>
      <c r="C625" s="6">
        <v>-2229.0502000000051</v>
      </c>
      <c r="E625" s="24" t="s">
        <v>131</v>
      </c>
      <c r="F625" s="26">
        <v>765.99195000000009</v>
      </c>
      <c r="G625" s="26">
        <v>-512.06805000000008</v>
      </c>
    </row>
    <row r="626" spans="1:7" x14ac:dyDescent="0.25">
      <c r="A626" s="23" t="s">
        <v>720</v>
      </c>
      <c r="B626" s="6">
        <v>41436.798380000007</v>
      </c>
      <c r="C626" s="6">
        <v>15581.588380000007</v>
      </c>
      <c r="E626" s="23" t="s">
        <v>722</v>
      </c>
      <c r="F626" s="26">
        <v>130968.97357999999</v>
      </c>
      <c r="G626" s="26">
        <v>28491.153580000006</v>
      </c>
    </row>
    <row r="627" spans="1:7" x14ac:dyDescent="0.25">
      <c r="A627" s="24" t="s">
        <v>224</v>
      </c>
      <c r="B627" s="6">
        <v>18061.204320000004</v>
      </c>
      <c r="C627" s="6">
        <v>8200.7143200000046</v>
      </c>
      <c r="E627" s="24" t="s">
        <v>428</v>
      </c>
      <c r="F627" s="26">
        <v>31513.423040000001</v>
      </c>
      <c r="G627" s="26">
        <v>17727.673040000001</v>
      </c>
    </row>
    <row r="628" spans="1:7" x14ac:dyDescent="0.25">
      <c r="A628" s="24" t="s">
        <v>306</v>
      </c>
      <c r="B628" s="6">
        <v>23375.594060000003</v>
      </c>
      <c r="C628" s="6">
        <v>7380.8740600000019</v>
      </c>
      <c r="E628" s="24" t="s">
        <v>621</v>
      </c>
      <c r="F628" s="26">
        <v>29175.036029999999</v>
      </c>
      <c r="G628" s="26">
        <v>15978.606029999999</v>
      </c>
    </row>
    <row r="629" spans="1:7" x14ac:dyDescent="0.25">
      <c r="A629" s="23" t="s">
        <v>724</v>
      </c>
      <c r="B629" s="6">
        <v>46462.078410000002</v>
      </c>
      <c r="C629" s="6">
        <v>14067.788410000001</v>
      </c>
      <c r="E629" s="24" t="s">
        <v>341</v>
      </c>
      <c r="F629" s="26">
        <v>3799.8031499999997</v>
      </c>
      <c r="G629" s="26">
        <v>1117.1131499999997</v>
      </c>
    </row>
    <row r="630" spans="1:7" x14ac:dyDescent="0.25">
      <c r="A630" s="24" t="s">
        <v>356</v>
      </c>
      <c r="B630" s="6">
        <v>20053.439999999999</v>
      </c>
      <c r="C630" s="6">
        <v>11189.529999999999</v>
      </c>
      <c r="E630" s="24" t="s">
        <v>328</v>
      </c>
      <c r="F630" s="26">
        <v>5032.4433599999993</v>
      </c>
      <c r="G630" s="26">
        <v>847.49335999999948</v>
      </c>
    </row>
    <row r="631" spans="1:7" x14ac:dyDescent="0.25">
      <c r="A631" s="24" t="s">
        <v>199</v>
      </c>
      <c r="B631" s="6">
        <v>26408.63841</v>
      </c>
      <c r="C631" s="6">
        <v>2878.2584100000022</v>
      </c>
      <c r="E631" s="24" t="s">
        <v>73</v>
      </c>
      <c r="F631" s="26">
        <v>61448.268000000004</v>
      </c>
      <c r="G631" s="26">
        <v>-7179.7319999999963</v>
      </c>
    </row>
    <row r="632" spans="1:7" x14ac:dyDescent="0.25">
      <c r="A632" s="23" t="s">
        <v>716</v>
      </c>
      <c r="B632" s="6">
        <v>58941.084999999999</v>
      </c>
      <c r="C632" s="6">
        <v>9014.4249999999993</v>
      </c>
      <c r="E632" s="23" t="s">
        <v>715</v>
      </c>
      <c r="F632" s="26">
        <v>58703.126260000005</v>
      </c>
      <c r="G632" s="26">
        <v>23524.336260000004</v>
      </c>
    </row>
    <row r="633" spans="1:7" x14ac:dyDescent="0.25">
      <c r="A633" s="24" t="s">
        <v>512</v>
      </c>
      <c r="B633" s="6">
        <v>8644.6696000000011</v>
      </c>
      <c r="C633" s="6">
        <v>4570.1896000000015</v>
      </c>
      <c r="E633" s="24" t="s">
        <v>462</v>
      </c>
      <c r="F633" s="26">
        <v>45547.183360000003</v>
      </c>
      <c r="G633" s="26">
        <v>17820.683360000003</v>
      </c>
    </row>
    <row r="634" spans="1:7" x14ac:dyDescent="0.25">
      <c r="A634" s="24" t="s">
        <v>526</v>
      </c>
      <c r="B634" s="6">
        <v>50296.415399999998</v>
      </c>
      <c r="C634" s="6">
        <v>4444.2353999999978</v>
      </c>
      <c r="E634" s="24" t="s">
        <v>329</v>
      </c>
      <c r="F634" s="26">
        <v>8780.5809000000008</v>
      </c>
      <c r="G634" s="26">
        <v>3847.7309000000014</v>
      </c>
    </row>
    <row r="635" spans="1:7" x14ac:dyDescent="0.25">
      <c r="A635" s="23" t="s">
        <v>723</v>
      </c>
      <c r="B635" s="6">
        <v>10786.32144</v>
      </c>
      <c r="C635" s="6">
        <v>6092.4014399999996</v>
      </c>
      <c r="E635" s="24" t="s">
        <v>272</v>
      </c>
      <c r="F635" s="26">
        <v>4375.3620000000001</v>
      </c>
      <c r="G635" s="26">
        <v>1855.922</v>
      </c>
    </row>
    <row r="636" spans="1:7" x14ac:dyDescent="0.25">
      <c r="A636" s="24" t="s">
        <v>630</v>
      </c>
      <c r="B636" s="6">
        <v>10786.32144</v>
      </c>
      <c r="C636" s="6">
        <v>6092.4014399999996</v>
      </c>
      <c r="E636" s="23" t="s">
        <v>712</v>
      </c>
      <c r="F636" s="26">
        <v>65722.616070000004</v>
      </c>
      <c r="G636" s="26">
        <v>22744.336070000001</v>
      </c>
    </row>
    <row r="637" spans="1:7" x14ac:dyDescent="0.25">
      <c r="A637" s="23" t="s">
        <v>715</v>
      </c>
      <c r="B637" s="6">
        <v>6824.2884000000004</v>
      </c>
      <c r="C637" s="6">
        <v>1383.4284000000007</v>
      </c>
      <c r="E637" s="24" t="s">
        <v>510</v>
      </c>
      <c r="F637" s="26">
        <v>30692.47896</v>
      </c>
      <c r="G637" s="26">
        <v>15178.158960000001</v>
      </c>
    </row>
    <row r="638" spans="1:7" x14ac:dyDescent="0.25">
      <c r="A638" s="24" t="s">
        <v>183</v>
      </c>
      <c r="B638" s="6">
        <v>6824.2884000000004</v>
      </c>
      <c r="C638" s="6">
        <v>1383.4284000000007</v>
      </c>
      <c r="E638" s="24" t="s">
        <v>608</v>
      </c>
      <c r="F638" s="26">
        <v>8366.02</v>
      </c>
      <c r="G638" s="26">
        <v>4221.2300000000005</v>
      </c>
    </row>
    <row r="639" spans="1:7" x14ac:dyDescent="0.25">
      <c r="A639" s="23" t="s">
        <v>725</v>
      </c>
      <c r="B639" s="6">
        <v>6766.9829999999993</v>
      </c>
      <c r="C639" s="6">
        <v>67.082999999998719</v>
      </c>
      <c r="E639" s="24" t="s">
        <v>40</v>
      </c>
      <c r="F639" s="26">
        <v>8596.2905599999995</v>
      </c>
      <c r="G639" s="26">
        <v>2628.8905599999998</v>
      </c>
    </row>
    <row r="640" spans="1:7" x14ac:dyDescent="0.25">
      <c r="A640" s="24" t="s">
        <v>575</v>
      </c>
      <c r="B640" s="6">
        <v>6766.9829999999993</v>
      </c>
      <c r="C640" s="6">
        <v>67.082999999998719</v>
      </c>
      <c r="E640" s="24" t="s">
        <v>459</v>
      </c>
      <c r="F640" s="26">
        <v>1925.29872</v>
      </c>
      <c r="G640" s="26">
        <v>937.01872000000003</v>
      </c>
    </row>
    <row r="641" spans="1:7" x14ac:dyDescent="0.25">
      <c r="A641" s="23" t="s">
        <v>1422</v>
      </c>
      <c r="B641" s="6">
        <v>7568.9632000000001</v>
      </c>
      <c r="C641" s="6">
        <v>-3886.0768000000007</v>
      </c>
      <c r="E641" s="24" t="s">
        <v>404</v>
      </c>
      <c r="F641" s="26">
        <v>16142.527829999999</v>
      </c>
      <c r="G641" s="26">
        <v>-220.9621700000007</v>
      </c>
    </row>
    <row r="642" spans="1:7" x14ac:dyDescent="0.25">
      <c r="A642" s="24" t="s">
        <v>273</v>
      </c>
      <c r="B642" s="6">
        <v>7568.9632000000001</v>
      </c>
      <c r="C642" s="6">
        <v>-3886.0768000000007</v>
      </c>
      <c r="E642" s="23" t="s">
        <v>720</v>
      </c>
      <c r="F642" s="26">
        <v>72114.05356</v>
      </c>
      <c r="G642" s="26">
        <v>22279.783560000003</v>
      </c>
    </row>
    <row r="643" spans="1:7" x14ac:dyDescent="0.25">
      <c r="A643" s="23" t="s">
        <v>713</v>
      </c>
      <c r="B643" s="6">
        <v>66082.145649999991</v>
      </c>
      <c r="C643" s="6">
        <v>-8907.9243500000066</v>
      </c>
      <c r="E643" s="24" t="s">
        <v>581</v>
      </c>
      <c r="F643" s="26">
        <v>44173.627960000005</v>
      </c>
      <c r="G643" s="26">
        <v>17260.177960000005</v>
      </c>
    </row>
    <row r="644" spans="1:7" x14ac:dyDescent="0.25">
      <c r="A644" s="24" t="s">
        <v>449</v>
      </c>
      <c r="B644" s="6">
        <v>27249</v>
      </c>
      <c r="C644" s="6">
        <v>4025.4000000000015</v>
      </c>
      <c r="E644" s="24" t="s">
        <v>595</v>
      </c>
      <c r="F644" s="26">
        <v>6137.8019999999988</v>
      </c>
      <c r="G644" s="26">
        <v>3556.601999999999</v>
      </c>
    </row>
    <row r="645" spans="1:7" x14ac:dyDescent="0.25">
      <c r="A645" s="24" t="s">
        <v>315</v>
      </c>
      <c r="B645" s="6">
        <v>9866.3104799999983</v>
      </c>
      <c r="C645" s="6">
        <v>4017.1204799999987</v>
      </c>
      <c r="E645" s="24" t="s">
        <v>527</v>
      </c>
      <c r="F645" s="26">
        <v>5189.8836000000001</v>
      </c>
      <c r="G645" s="26">
        <v>1169.0336000000002</v>
      </c>
    </row>
    <row r="646" spans="1:7" x14ac:dyDescent="0.25">
      <c r="A646" s="24" t="s">
        <v>123</v>
      </c>
      <c r="B646" s="6">
        <v>1660.3999999999999</v>
      </c>
      <c r="C646" s="6">
        <v>838.99999999999989</v>
      </c>
      <c r="E646" s="24" t="s">
        <v>431</v>
      </c>
      <c r="F646" s="26">
        <v>7969.4615000000003</v>
      </c>
      <c r="G646" s="26">
        <v>1163.8715000000002</v>
      </c>
    </row>
    <row r="647" spans="1:7" x14ac:dyDescent="0.25">
      <c r="A647" s="24" t="s">
        <v>184</v>
      </c>
      <c r="B647" s="6">
        <v>2316.2621999999997</v>
      </c>
      <c r="C647" s="6">
        <v>597.01219999999967</v>
      </c>
      <c r="E647" s="24" t="s">
        <v>124</v>
      </c>
      <c r="F647" s="26">
        <v>549.80010000000004</v>
      </c>
      <c r="G647" s="26">
        <v>-36.079899999999952</v>
      </c>
    </row>
    <row r="648" spans="1:7" x14ac:dyDescent="0.25">
      <c r="A648" s="24" t="s">
        <v>446</v>
      </c>
      <c r="B648" s="6">
        <v>2627.6239999999998</v>
      </c>
      <c r="C648" s="6">
        <v>-1214.2760000000003</v>
      </c>
      <c r="E648" s="24" t="s">
        <v>317</v>
      </c>
      <c r="F648" s="26">
        <v>8093.4784</v>
      </c>
      <c r="G648" s="26">
        <v>-833.82159999999931</v>
      </c>
    </row>
    <row r="649" spans="1:7" x14ac:dyDescent="0.25">
      <c r="A649" s="24" t="s">
        <v>207</v>
      </c>
      <c r="B649" s="6">
        <v>4402.1164799999997</v>
      </c>
      <c r="C649" s="6">
        <v>-1516.5235200000006</v>
      </c>
      <c r="E649" s="23" t="s">
        <v>1422</v>
      </c>
      <c r="F649" s="26">
        <v>39516.804389999998</v>
      </c>
      <c r="G649" s="26">
        <v>21088.284389999997</v>
      </c>
    </row>
    <row r="650" spans="1:7" x14ac:dyDescent="0.25">
      <c r="A650" s="24" t="s">
        <v>16</v>
      </c>
      <c r="B650" s="6">
        <v>17960.432489999999</v>
      </c>
      <c r="C650" s="6">
        <v>-15655.657510000005</v>
      </c>
      <c r="E650" s="24" t="s">
        <v>135</v>
      </c>
      <c r="F650" s="26">
        <v>39516.804389999998</v>
      </c>
      <c r="G650" s="26">
        <v>21088.284389999997</v>
      </c>
    </row>
    <row r="651" spans="1:7" x14ac:dyDescent="0.25">
      <c r="A651" s="22" t="s">
        <v>1454</v>
      </c>
      <c r="C651" s="6"/>
      <c r="E651" s="23" t="s">
        <v>725</v>
      </c>
      <c r="F651" s="26">
        <v>45572.942239999997</v>
      </c>
      <c r="G651" s="26">
        <v>20390.502239999998</v>
      </c>
    </row>
    <row r="652" spans="1:7" x14ac:dyDescent="0.25">
      <c r="A652" s="23" t="s">
        <v>715</v>
      </c>
      <c r="B652" s="6">
        <v>136384.37761000003</v>
      </c>
      <c r="C652" s="6">
        <v>32110.187610000012</v>
      </c>
      <c r="E652" s="24" t="s">
        <v>642</v>
      </c>
      <c r="F652" s="26">
        <v>33017.42</v>
      </c>
      <c r="G652" s="26">
        <v>14455.96</v>
      </c>
    </row>
    <row r="653" spans="1:7" x14ac:dyDescent="0.25">
      <c r="A653" s="24" t="s">
        <v>130</v>
      </c>
      <c r="B653" s="6">
        <v>24523.006720000001</v>
      </c>
      <c r="C653" s="6">
        <v>12734.366720000002</v>
      </c>
      <c r="E653" s="24" t="s">
        <v>52</v>
      </c>
      <c r="F653" s="26">
        <v>11995.153920000001</v>
      </c>
      <c r="G653" s="26">
        <v>5937.6339200000002</v>
      </c>
    </row>
    <row r="654" spans="1:7" x14ac:dyDescent="0.25">
      <c r="A654" s="24" t="s">
        <v>320</v>
      </c>
      <c r="B654" s="6">
        <v>43084.872000000003</v>
      </c>
      <c r="C654" s="6">
        <v>8274.5520000000033</v>
      </c>
      <c r="E654" s="24" t="s">
        <v>277</v>
      </c>
      <c r="F654" s="26">
        <v>560.36831999999993</v>
      </c>
      <c r="G654" s="26">
        <v>-3.0916800000001103</v>
      </c>
    </row>
    <row r="655" spans="1:7" x14ac:dyDescent="0.25">
      <c r="A655" s="24" t="s">
        <v>389</v>
      </c>
      <c r="B655" s="6">
        <v>38422.022320000004</v>
      </c>
      <c r="C655" s="6">
        <v>4801.8023200000025</v>
      </c>
      <c r="E655" s="23" t="s">
        <v>718</v>
      </c>
      <c r="F655" s="26">
        <v>35194.599369999996</v>
      </c>
      <c r="G655" s="26">
        <v>15879.499370000001</v>
      </c>
    </row>
    <row r="656" spans="1:7" x14ac:dyDescent="0.25">
      <c r="A656" s="24" t="s">
        <v>517</v>
      </c>
      <c r="B656" s="6">
        <v>8637.1874499999994</v>
      </c>
      <c r="C656" s="6">
        <v>2972.0374499999998</v>
      </c>
      <c r="E656" s="24" t="s">
        <v>309</v>
      </c>
      <c r="F656" s="26">
        <v>20455.985130000001</v>
      </c>
      <c r="G656" s="26">
        <v>10919.815130000001</v>
      </c>
    </row>
    <row r="657" spans="1:7" x14ac:dyDescent="0.25">
      <c r="A657" s="24" t="s">
        <v>455</v>
      </c>
      <c r="B657" s="6">
        <v>12668.50728</v>
      </c>
      <c r="C657" s="6">
        <v>2731.0472800000007</v>
      </c>
      <c r="E657" s="24" t="s">
        <v>107</v>
      </c>
      <c r="F657" s="26">
        <v>10161.46624</v>
      </c>
      <c r="G657" s="26">
        <v>3729.3862399999998</v>
      </c>
    </row>
    <row r="658" spans="1:7" x14ac:dyDescent="0.25">
      <c r="A658" s="24" t="s">
        <v>253</v>
      </c>
      <c r="B658" s="6">
        <v>3823.5108</v>
      </c>
      <c r="C658" s="6">
        <v>1089.5708</v>
      </c>
      <c r="E658" s="24" t="s">
        <v>585</v>
      </c>
      <c r="F658" s="26">
        <v>4577.1480000000001</v>
      </c>
      <c r="G658" s="26">
        <v>1230.2980000000002</v>
      </c>
    </row>
    <row r="659" spans="1:7" x14ac:dyDescent="0.25">
      <c r="A659" s="24" t="s">
        <v>18</v>
      </c>
      <c r="B659" s="6">
        <v>5225.2710400000005</v>
      </c>
      <c r="C659" s="6">
        <v>-493.1889599999995</v>
      </c>
      <c r="E659" s="23" t="s">
        <v>723</v>
      </c>
      <c r="F659" s="26">
        <v>38083.713840000004</v>
      </c>
      <c r="G659" s="26">
        <v>12645.063839999999</v>
      </c>
    </row>
    <row r="660" spans="1:7" x14ac:dyDescent="0.25">
      <c r="A660" s="23" t="s">
        <v>712</v>
      </c>
      <c r="B660" s="6">
        <v>107898.41622999999</v>
      </c>
      <c r="C660" s="6">
        <v>32086.816229999982</v>
      </c>
      <c r="E660" s="24" t="s">
        <v>609</v>
      </c>
      <c r="F660" s="26">
        <v>14910.609600000002</v>
      </c>
      <c r="G660" s="26">
        <v>8129.7396000000017</v>
      </c>
    </row>
    <row r="661" spans="1:7" x14ac:dyDescent="0.25">
      <c r="A661" s="24" t="s">
        <v>381</v>
      </c>
      <c r="B661" s="6">
        <v>18554.370299999999</v>
      </c>
      <c r="C661" s="6">
        <v>10131.900299999998</v>
      </c>
      <c r="E661" s="24" t="s">
        <v>93</v>
      </c>
      <c r="F661" s="26">
        <v>10455.7932</v>
      </c>
      <c r="G661" s="26">
        <v>3308.5931999999993</v>
      </c>
    </row>
    <row r="662" spans="1:7" x14ac:dyDescent="0.25">
      <c r="A662" s="24" t="s">
        <v>117</v>
      </c>
      <c r="B662" s="6">
        <v>13669.81</v>
      </c>
      <c r="C662" s="6">
        <v>7635.2499999999991</v>
      </c>
      <c r="E662" s="24" t="s">
        <v>378</v>
      </c>
      <c r="F662" s="26">
        <v>12717.311040000001</v>
      </c>
      <c r="G662" s="26">
        <v>1206.7310399999988</v>
      </c>
    </row>
    <row r="663" spans="1:7" x14ac:dyDescent="0.25">
      <c r="A663" s="24" t="s">
        <v>333</v>
      </c>
      <c r="B663" s="6">
        <v>53034.364139999991</v>
      </c>
      <c r="C663" s="6">
        <v>6640.2841399999888</v>
      </c>
      <c r="E663" s="23" t="s">
        <v>726</v>
      </c>
      <c r="F663" s="26">
        <v>63331.299460000002</v>
      </c>
      <c r="G663" s="26">
        <v>9081.6494599999987</v>
      </c>
    </row>
    <row r="664" spans="1:7" x14ac:dyDescent="0.25">
      <c r="A664" s="24" t="s">
        <v>419</v>
      </c>
      <c r="B664" s="6">
        <v>13437.300239999999</v>
      </c>
      <c r="C664" s="6">
        <v>5553.2702399999989</v>
      </c>
      <c r="E664" s="24" t="s">
        <v>542</v>
      </c>
      <c r="F664" s="26">
        <v>58526.83122</v>
      </c>
      <c r="G664" s="26">
        <v>11385.971219999999</v>
      </c>
    </row>
    <row r="665" spans="1:7" x14ac:dyDescent="0.25">
      <c r="A665" s="24" t="s">
        <v>15</v>
      </c>
      <c r="B665" s="6">
        <v>4866.3287999999993</v>
      </c>
      <c r="C665" s="6">
        <v>2353.1687999999995</v>
      </c>
      <c r="E665" s="24" t="s">
        <v>375</v>
      </c>
      <c r="F665" s="26">
        <v>4804.4682400000002</v>
      </c>
      <c r="G665" s="26">
        <v>-2304.3217600000007</v>
      </c>
    </row>
    <row r="666" spans="1:7" x14ac:dyDescent="0.25">
      <c r="A666" s="24" t="s">
        <v>152</v>
      </c>
      <c r="B666" s="6">
        <v>4336.2427499999994</v>
      </c>
      <c r="C666" s="6">
        <v>-227.05725000000075</v>
      </c>
      <c r="E666" s="23" t="s">
        <v>717</v>
      </c>
      <c r="F666" s="26">
        <v>12019.580310000001</v>
      </c>
      <c r="G666" s="26">
        <v>4363.9303100000006</v>
      </c>
    </row>
    <row r="667" spans="1:7" x14ac:dyDescent="0.25">
      <c r="A667" s="23" t="s">
        <v>719</v>
      </c>
      <c r="B667" s="6">
        <v>85849.642649999994</v>
      </c>
      <c r="C667" s="6">
        <v>28200.642649999994</v>
      </c>
      <c r="E667" s="24" t="s">
        <v>467</v>
      </c>
      <c r="F667" s="26">
        <v>11984.891250000001</v>
      </c>
      <c r="G667" s="26">
        <v>4377.4812500000007</v>
      </c>
    </row>
    <row r="668" spans="1:7" x14ac:dyDescent="0.25">
      <c r="A668" s="24" t="s">
        <v>290</v>
      </c>
      <c r="B668" s="6">
        <v>79548.755999999994</v>
      </c>
      <c r="C668" s="6">
        <v>26014.755999999994</v>
      </c>
      <c r="E668" s="24" t="s">
        <v>127</v>
      </c>
      <c r="F668" s="26">
        <v>34.689059999999998</v>
      </c>
      <c r="G668" s="26">
        <v>-13.550940000000004</v>
      </c>
    </row>
    <row r="669" spans="1:7" x14ac:dyDescent="0.25">
      <c r="A669" s="24" t="s">
        <v>310</v>
      </c>
      <c r="B669" s="6">
        <v>4241.88105</v>
      </c>
      <c r="C669" s="6">
        <v>1511.2410499999996</v>
      </c>
      <c r="E669" s="23" t="s">
        <v>714</v>
      </c>
      <c r="F669" s="26">
        <v>27153.40538</v>
      </c>
      <c r="G669" s="26">
        <v>1549.035380000003</v>
      </c>
    </row>
    <row r="670" spans="1:7" x14ac:dyDescent="0.25">
      <c r="A670" s="24" t="s">
        <v>426</v>
      </c>
      <c r="B670" s="6">
        <v>2059.0056</v>
      </c>
      <c r="C670" s="6">
        <v>674.64560000000006</v>
      </c>
      <c r="E670" s="24" t="s">
        <v>592</v>
      </c>
      <c r="F670" s="26">
        <v>6732.4334000000008</v>
      </c>
      <c r="G670" s="26">
        <v>1473.4734000000008</v>
      </c>
    </row>
    <row r="671" spans="1:7" x14ac:dyDescent="0.25">
      <c r="A671" s="23" t="s">
        <v>714</v>
      </c>
      <c r="B671" s="6">
        <v>78259.541340000011</v>
      </c>
      <c r="C671" s="6">
        <v>24432.001340000006</v>
      </c>
      <c r="E671" s="24" t="s">
        <v>54</v>
      </c>
      <c r="F671" s="26">
        <v>3562.1983800000003</v>
      </c>
      <c r="G671" s="26">
        <v>736.28838000000042</v>
      </c>
    </row>
    <row r="672" spans="1:7" x14ac:dyDescent="0.25">
      <c r="A672" s="24" t="s">
        <v>75</v>
      </c>
      <c r="B672" s="6">
        <v>33687.501800000005</v>
      </c>
      <c r="C672" s="6">
        <v>10156.301800000008</v>
      </c>
      <c r="E672" s="24" t="s">
        <v>383</v>
      </c>
      <c r="F672" s="26">
        <v>4569.5735999999997</v>
      </c>
      <c r="G672" s="26">
        <v>483.17359999999962</v>
      </c>
    </row>
    <row r="673" spans="1:7" x14ac:dyDescent="0.25">
      <c r="A673" s="24" t="s">
        <v>265</v>
      </c>
      <c r="B673" s="6">
        <v>17453.3436</v>
      </c>
      <c r="C673" s="6">
        <v>5892.3036000000011</v>
      </c>
      <c r="E673" s="24" t="s">
        <v>463</v>
      </c>
      <c r="F673" s="26">
        <v>12289.2</v>
      </c>
      <c r="G673" s="26">
        <v>-1143.8999999999978</v>
      </c>
    </row>
    <row r="674" spans="1:7" x14ac:dyDescent="0.25">
      <c r="A674" s="24" t="s">
        <v>178</v>
      </c>
      <c r="B674" s="6">
        <v>12194.714</v>
      </c>
      <c r="C674" s="6">
        <v>5844.0739999999996</v>
      </c>
      <c r="E674" s="22" t="s">
        <v>1458</v>
      </c>
      <c r="F674" s="26"/>
      <c r="G674" s="26"/>
    </row>
    <row r="675" spans="1:7" x14ac:dyDescent="0.25">
      <c r="A675" s="24" t="s">
        <v>259</v>
      </c>
      <c r="B675" s="6">
        <v>2909.8689199999999</v>
      </c>
      <c r="C675" s="6">
        <v>1400.1489199999999</v>
      </c>
      <c r="E675" s="23" t="s">
        <v>713</v>
      </c>
      <c r="F675" s="26">
        <v>184216.55757</v>
      </c>
      <c r="G675" s="26">
        <v>69885.537570000015</v>
      </c>
    </row>
    <row r="676" spans="1:7" x14ac:dyDescent="0.25">
      <c r="A676" s="24" t="s">
        <v>407</v>
      </c>
      <c r="B676" s="6">
        <v>11285.764020000001</v>
      </c>
      <c r="C676" s="6">
        <v>1049.07402</v>
      </c>
      <c r="E676" s="24" t="s">
        <v>360</v>
      </c>
      <c r="F676" s="26">
        <v>79082.507010000001</v>
      </c>
      <c r="G676" s="26">
        <v>36649.677010000007</v>
      </c>
    </row>
    <row r="677" spans="1:7" x14ac:dyDescent="0.25">
      <c r="A677" s="24" t="s">
        <v>507</v>
      </c>
      <c r="B677" s="6">
        <v>110.14919999999999</v>
      </c>
      <c r="C677" s="6">
        <v>56.749199999999995</v>
      </c>
      <c r="E677" s="24" t="s">
        <v>492</v>
      </c>
      <c r="F677" s="26">
        <v>41914.215840000004</v>
      </c>
      <c r="G677" s="26">
        <v>20094.585840000003</v>
      </c>
    </row>
    <row r="678" spans="1:7" x14ac:dyDescent="0.25">
      <c r="A678" s="24" t="s">
        <v>545</v>
      </c>
      <c r="B678" s="6">
        <v>618.19979999999987</v>
      </c>
      <c r="C678" s="6">
        <v>33.349799999999846</v>
      </c>
      <c r="E678" s="24" t="s">
        <v>35</v>
      </c>
      <c r="F678" s="26">
        <v>23782.310720000001</v>
      </c>
      <c r="G678" s="26">
        <v>13321.51072</v>
      </c>
    </row>
    <row r="679" spans="1:7" x14ac:dyDescent="0.25">
      <c r="A679" s="23" t="s">
        <v>718</v>
      </c>
      <c r="B679" s="6">
        <v>71775.056259999998</v>
      </c>
      <c r="C679" s="6">
        <v>22772.036260000001</v>
      </c>
      <c r="E679" s="24" t="s">
        <v>534</v>
      </c>
      <c r="F679" s="26">
        <v>7399.4832000000006</v>
      </c>
      <c r="G679" s="26">
        <v>1025.2031999999999</v>
      </c>
    </row>
    <row r="680" spans="1:7" x14ac:dyDescent="0.25">
      <c r="A680" s="24" t="s">
        <v>614</v>
      </c>
      <c r="B680" s="6">
        <v>33938.142760000002</v>
      </c>
      <c r="C680" s="6">
        <v>15214.592760000003</v>
      </c>
      <c r="E680" s="24" t="s">
        <v>478</v>
      </c>
      <c r="F680" s="26">
        <v>1808.04592</v>
      </c>
      <c r="G680" s="26">
        <v>706.32592</v>
      </c>
    </row>
    <row r="681" spans="1:7" x14ac:dyDescent="0.25">
      <c r="A681" s="24" t="s">
        <v>483</v>
      </c>
      <c r="B681" s="6">
        <v>16252.219979999998</v>
      </c>
      <c r="C681" s="6">
        <v>4970.8499799999972</v>
      </c>
      <c r="E681" s="24" t="s">
        <v>636</v>
      </c>
      <c r="F681" s="26">
        <v>30229.994880000002</v>
      </c>
      <c r="G681" s="26">
        <v>-1911.76512</v>
      </c>
    </row>
    <row r="682" spans="1:7" x14ac:dyDescent="0.25">
      <c r="A682" s="24" t="s">
        <v>379</v>
      </c>
      <c r="B682" s="6">
        <v>21584.693520000001</v>
      </c>
      <c r="C682" s="6">
        <v>2586.5935199999985</v>
      </c>
      <c r="E682" s="23" t="s">
        <v>717</v>
      </c>
      <c r="F682" s="26">
        <v>161745.93388999999</v>
      </c>
      <c r="G682" s="26">
        <v>63954.353889999984</v>
      </c>
    </row>
    <row r="683" spans="1:7" x14ac:dyDescent="0.25">
      <c r="A683" s="23" t="s">
        <v>722</v>
      </c>
      <c r="B683" s="6">
        <v>81318.048300000009</v>
      </c>
      <c r="C683" s="6">
        <v>17129.248299999999</v>
      </c>
      <c r="E683" s="24" t="s">
        <v>237</v>
      </c>
      <c r="F683" s="26">
        <v>66988.771199999988</v>
      </c>
      <c r="G683" s="26">
        <v>38215.171199999982</v>
      </c>
    </row>
    <row r="684" spans="1:7" x14ac:dyDescent="0.25">
      <c r="A684" s="24" t="s">
        <v>295</v>
      </c>
      <c r="B684" s="6">
        <v>16795.979200000002</v>
      </c>
      <c r="C684" s="6">
        <v>9047.2592000000004</v>
      </c>
      <c r="E684" s="24" t="s">
        <v>552</v>
      </c>
      <c r="F684" s="26">
        <v>20430.771599999996</v>
      </c>
      <c r="G684" s="26">
        <v>11241.921599999996</v>
      </c>
    </row>
    <row r="685" spans="1:7" x14ac:dyDescent="0.25">
      <c r="A685" s="24" t="s">
        <v>286</v>
      </c>
      <c r="B685" s="6">
        <v>34632.106319999999</v>
      </c>
      <c r="C685" s="6">
        <v>5917.8263200000001</v>
      </c>
      <c r="E685" s="24" t="s">
        <v>159</v>
      </c>
      <c r="F685" s="26">
        <v>25672.127039999999</v>
      </c>
      <c r="G685" s="26">
        <v>9464.3270399999983</v>
      </c>
    </row>
    <row r="686" spans="1:7" x14ac:dyDescent="0.25">
      <c r="A686" s="24" t="s">
        <v>99</v>
      </c>
      <c r="B686" s="6">
        <v>21062.61248</v>
      </c>
      <c r="C686" s="6">
        <v>2587.1424799999986</v>
      </c>
      <c r="E686" s="24" t="s">
        <v>64</v>
      </c>
      <c r="F686" s="26">
        <v>34444.462359999998</v>
      </c>
      <c r="G686" s="26">
        <v>5766.142359999998</v>
      </c>
    </row>
    <row r="687" spans="1:7" x14ac:dyDescent="0.25">
      <c r="A687" s="24" t="s">
        <v>612</v>
      </c>
      <c r="B687" s="6">
        <v>4409.5168800000001</v>
      </c>
      <c r="C687" s="6">
        <v>1274.63688</v>
      </c>
      <c r="E687" s="24" t="s">
        <v>220</v>
      </c>
      <c r="F687" s="26">
        <v>6702.3501999999999</v>
      </c>
      <c r="G687" s="26">
        <v>1616.3301999999994</v>
      </c>
    </row>
    <row r="688" spans="1:7" x14ac:dyDescent="0.25">
      <c r="A688" s="24" t="s">
        <v>146</v>
      </c>
      <c r="B688" s="6">
        <v>4417.8334199999999</v>
      </c>
      <c r="C688" s="6">
        <v>-1697.6165800000008</v>
      </c>
      <c r="E688" s="24" t="s">
        <v>506</v>
      </c>
      <c r="F688" s="26">
        <v>7507.4514899999995</v>
      </c>
      <c r="G688" s="26">
        <v>-2349.5385100000003</v>
      </c>
    </row>
    <row r="689" spans="1:7" x14ac:dyDescent="0.25">
      <c r="A689" s="23" t="s">
        <v>724</v>
      </c>
      <c r="B689" s="6">
        <v>30049.560869999998</v>
      </c>
      <c r="C689" s="6">
        <v>9117.7908700000007</v>
      </c>
      <c r="E689" s="23" t="s">
        <v>722</v>
      </c>
      <c r="F689" s="26">
        <v>146303.06142000001</v>
      </c>
      <c r="G689" s="26">
        <v>59182.771420000005</v>
      </c>
    </row>
    <row r="690" spans="1:7" x14ac:dyDescent="0.25">
      <c r="A690" s="24" t="s">
        <v>572</v>
      </c>
      <c r="B690" s="6">
        <v>10519.776450000001</v>
      </c>
      <c r="C690" s="6">
        <v>4120.9564500000015</v>
      </c>
      <c r="E690" s="24" t="s">
        <v>251</v>
      </c>
      <c r="F690" s="26">
        <v>139277.83032000001</v>
      </c>
      <c r="G690" s="26">
        <v>56019.54032</v>
      </c>
    </row>
    <row r="691" spans="1:7" x14ac:dyDescent="0.25">
      <c r="A691" s="24" t="s">
        <v>85</v>
      </c>
      <c r="B691" s="6">
        <v>10647.727199999999</v>
      </c>
      <c r="C691" s="6">
        <v>2452.0571999999993</v>
      </c>
      <c r="E691" s="24" t="s">
        <v>417</v>
      </c>
      <c r="F691" s="26">
        <v>5250.4239000000007</v>
      </c>
      <c r="G691" s="26">
        <v>2742.9239000000007</v>
      </c>
    </row>
    <row r="692" spans="1:7" x14ac:dyDescent="0.25">
      <c r="A692" s="24" t="s">
        <v>560</v>
      </c>
      <c r="B692" s="6">
        <v>4826.5396199999996</v>
      </c>
      <c r="C692" s="6">
        <v>2180.0596199999995</v>
      </c>
      <c r="E692" s="24" t="s">
        <v>225</v>
      </c>
      <c r="F692" s="26">
        <v>1774.8072</v>
      </c>
      <c r="G692" s="26">
        <v>420.30719999999997</v>
      </c>
    </row>
    <row r="693" spans="1:7" x14ac:dyDescent="0.25">
      <c r="A693" s="24" t="s">
        <v>476</v>
      </c>
      <c r="B693" s="6">
        <v>4055.5175999999997</v>
      </c>
      <c r="C693" s="6">
        <v>364.71759999999995</v>
      </c>
      <c r="E693" s="23" t="s">
        <v>1422</v>
      </c>
      <c r="F693" s="26">
        <v>128229.556</v>
      </c>
      <c r="G693" s="26">
        <v>55690.235999999997</v>
      </c>
    </row>
    <row r="694" spans="1:7" x14ac:dyDescent="0.25">
      <c r="A694" s="23" t="s">
        <v>716</v>
      </c>
      <c r="B694" s="6">
        <v>42243.784679999997</v>
      </c>
      <c r="C694" s="6">
        <v>4416.7646799999966</v>
      </c>
      <c r="E694" s="24" t="s">
        <v>436</v>
      </c>
      <c r="F694" s="26">
        <v>102122.94203999999</v>
      </c>
      <c r="G694" s="26">
        <v>46964.342039999996</v>
      </c>
    </row>
    <row r="695" spans="1:7" x14ac:dyDescent="0.25">
      <c r="A695" s="24" t="s">
        <v>601</v>
      </c>
      <c r="B695" s="6">
        <v>25131.155999999999</v>
      </c>
      <c r="C695" s="6">
        <v>5406.6759999999995</v>
      </c>
      <c r="E695" s="24" t="s">
        <v>353</v>
      </c>
      <c r="F695" s="26">
        <v>26106.613960000002</v>
      </c>
      <c r="G695" s="26">
        <v>8725.8939600000012</v>
      </c>
    </row>
    <row r="696" spans="1:7" x14ac:dyDescent="0.25">
      <c r="A696" s="24" t="s">
        <v>305</v>
      </c>
      <c r="B696" s="6">
        <v>1098.9470800000001</v>
      </c>
      <c r="C696" s="6">
        <v>311.12708000000009</v>
      </c>
      <c r="E696" s="23" t="s">
        <v>720</v>
      </c>
      <c r="F696" s="26">
        <v>116974.83799</v>
      </c>
      <c r="G696" s="26">
        <v>55039.457989999995</v>
      </c>
    </row>
    <row r="697" spans="1:7" x14ac:dyDescent="0.25">
      <c r="A697" s="24" t="s">
        <v>81</v>
      </c>
      <c r="B697" s="6">
        <v>16013.681599999998</v>
      </c>
      <c r="C697" s="6">
        <v>-1301.0384000000031</v>
      </c>
      <c r="E697" s="24" t="s">
        <v>376</v>
      </c>
      <c r="F697" s="26">
        <v>82514.711519999997</v>
      </c>
      <c r="G697" s="26">
        <v>43304.491519999996</v>
      </c>
    </row>
    <row r="698" spans="1:7" x14ac:dyDescent="0.25">
      <c r="A698" s="23" t="s">
        <v>723</v>
      </c>
      <c r="B698" s="6">
        <v>37694.945220000001</v>
      </c>
      <c r="C698" s="6">
        <v>4058.1452199999976</v>
      </c>
      <c r="E698" s="24" t="s">
        <v>240</v>
      </c>
      <c r="F698" s="26">
        <v>30479.418970000002</v>
      </c>
      <c r="G698" s="26">
        <v>12897.698970000001</v>
      </c>
    </row>
    <row r="699" spans="1:7" x14ac:dyDescent="0.25">
      <c r="A699" s="24" t="s">
        <v>288</v>
      </c>
      <c r="B699" s="6">
        <v>11417.429099999999</v>
      </c>
      <c r="C699" s="6">
        <v>5377.619099999999</v>
      </c>
      <c r="E699" s="24" t="s">
        <v>42</v>
      </c>
      <c r="F699" s="26">
        <v>3980.7075</v>
      </c>
      <c r="G699" s="26">
        <v>-1162.7325000000005</v>
      </c>
    </row>
    <row r="700" spans="1:7" x14ac:dyDescent="0.25">
      <c r="A700" s="24" t="s">
        <v>248</v>
      </c>
      <c r="B700" s="6">
        <v>14269.848599999999</v>
      </c>
      <c r="C700" s="6">
        <v>1172.1485999999986</v>
      </c>
      <c r="E700" s="23" t="s">
        <v>715</v>
      </c>
      <c r="F700" s="26">
        <v>99393.653259999992</v>
      </c>
      <c r="G700" s="26">
        <v>41750.473259999999</v>
      </c>
    </row>
    <row r="701" spans="1:7" x14ac:dyDescent="0.25">
      <c r="A701" s="24" t="s">
        <v>422</v>
      </c>
      <c r="B701" s="6">
        <v>4679.7141600000004</v>
      </c>
      <c r="C701" s="6">
        <v>-552.54583999999977</v>
      </c>
      <c r="E701" s="24" t="s">
        <v>33</v>
      </c>
      <c r="F701" s="26">
        <v>38096.18406</v>
      </c>
      <c r="G701" s="26">
        <v>18869.124059999998</v>
      </c>
    </row>
    <row r="702" spans="1:7" x14ac:dyDescent="0.25">
      <c r="A702" s="24" t="s">
        <v>377</v>
      </c>
      <c r="B702" s="6">
        <v>7327.9533600000004</v>
      </c>
      <c r="C702" s="6">
        <v>-1939.0766400000002</v>
      </c>
      <c r="E702" s="24" t="s">
        <v>350</v>
      </c>
      <c r="F702" s="26">
        <v>28247.74656</v>
      </c>
      <c r="G702" s="26">
        <v>14008.02656</v>
      </c>
    </row>
    <row r="703" spans="1:7" x14ac:dyDescent="0.25">
      <c r="A703" s="23" t="s">
        <v>726</v>
      </c>
      <c r="B703" s="6">
        <v>27018.083979999999</v>
      </c>
      <c r="C703" s="6">
        <v>3410.6739799999996</v>
      </c>
      <c r="E703" s="24" t="s">
        <v>628</v>
      </c>
      <c r="F703" s="26">
        <v>18500.693520000001</v>
      </c>
      <c r="G703" s="26">
        <v>7152.6135200000008</v>
      </c>
    </row>
    <row r="704" spans="1:7" x14ac:dyDescent="0.25">
      <c r="A704" s="24" t="s">
        <v>566</v>
      </c>
      <c r="B704" s="6">
        <v>18830.12472</v>
      </c>
      <c r="C704" s="6">
        <v>5947.254719999999</v>
      </c>
      <c r="E704" s="24" t="s">
        <v>185</v>
      </c>
      <c r="F704" s="26">
        <v>14549.029120000001</v>
      </c>
      <c r="G704" s="26">
        <v>1720.7091200000013</v>
      </c>
    </row>
    <row r="705" spans="1:7" x14ac:dyDescent="0.25">
      <c r="A705" s="24" t="s">
        <v>432</v>
      </c>
      <c r="B705" s="6">
        <v>741.43835999999999</v>
      </c>
      <c r="C705" s="6">
        <v>257.89835999999997</v>
      </c>
      <c r="E705" s="23" t="s">
        <v>724</v>
      </c>
      <c r="F705" s="26">
        <v>116103.09850000001</v>
      </c>
      <c r="G705" s="26">
        <v>35298.198499999991</v>
      </c>
    </row>
    <row r="706" spans="1:7" x14ac:dyDescent="0.25">
      <c r="A706" s="24" t="s">
        <v>243</v>
      </c>
      <c r="B706" s="6">
        <v>7446.5209000000004</v>
      </c>
      <c r="C706" s="6">
        <v>-2794.4790999999996</v>
      </c>
      <c r="E706" s="24" t="s">
        <v>354</v>
      </c>
      <c r="F706" s="26">
        <v>34528.243199999997</v>
      </c>
      <c r="G706" s="26">
        <v>18653.443199999994</v>
      </c>
    </row>
    <row r="707" spans="1:7" x14ac:dyDescent="0.25">
      <c r="A707" s="23" t="s">
        <v>713</v>
      </c>
      <c r="B707" s="6">
        <v>18073.401680000003</v>
      </c>
      <c r="C707" s="6">
        <v>2732.4416800000013</v>
      </c>
      <c r="E707" s="24" t="s">
        <v>486</v>
      </c>
      <c r="F707" s="26">
        <v>15374.563199999999</v>
      </c>
      <c r="G707" s="26">
        <v>7606.243199999999</v>
      </c>
    </row>
    <row r="708" spans="1:7" x14ac:dyDescent="0.25">
      <c r="A708" s="24" t="s">
        <v>27</v>
      </c>
      <c r="B708" s="6">
        <v>4968.5039999999999</v>
      </c>
      <c r="C708" s="6">
        <v>1652.8040000000001</v>
      </c>
      <c r="E708" s="24" t="s">
        <v>223</v>
      </c>
      <c r="F708" s="26">
        <v>17847.907199999998</v>
      </c>
      <c r="G708" s="26">
        <v>5798.4071999999978</v>
      </c>
    </row>
    <row r="709" spans="1:7" x14ac:dyDescent="0.25">
      <c r="A709" s="24" t="s">
        <v>461</v>
      </c>
      <c r="B709" s="6">
        <v>5565.3272500000003</v>
      </c>
      <c r="C709" s="6">
        <v>700.32725000000028</v>
      </c>
      <c r="E709" s="24" t="s">
        <v>157</v>
      </c>
      <c r="F709" s="26">
        <v>32086.37586</v>
      </c>
      <c r="G709" s="26">
        <v>3072.3358599999992</v>
      </c>
    </row>
    <row r="710" spans="1:7" x14ac:dyDescent="0.25">
      <c r="A710" s="24" t="s">
        <v>586</v>
      </c>
      <c r="B710" s="6">
        <v>841.00536</v>
      </c>
      <c r="C710" s="6">
        <v>388.23536000000001</v>
      </c>
      <c r="E710" s="24" t="s">
        <v>563</v>
      </c>
      <c r="F710" s="26">
        <v>10937.519999999999</v>
      </c>
      <c r="G710" s="26">
        <v>2501.7599999999984</v>
      </c>
    </row>
    <row r="711" spans="1:7" x14ac:dyDescent="0.25">
      <c r="A711" s="24" t="s">
        <v>50</v>
      </c>
      <c r="B711" s="6">
        <v>6631.6443100000006</v>
      </c>
      <c r="C711" s="6">
        <v>26.034310000000914</v>
      </c>
      <c r="E711" s="24" t="s">
        <v>113</v>
      </c>
      <c r="F711" s="26">
        <v>5328.4890400000004</v>
      </c>
      <c r="G711" s="26">
        <v>-2333.9909600000001</v>
      </c>
    </row>
    <row r="712" spans="1:7" x14ac:dyDescent="0.25">
      <c r="A712" s="24" t="s">
        <v>312</v>
      </c>
      <c r="B712" s="6">
        <v>66.920760000000001</v>
      </c>
      <c r="C712" s="6">
        <v>-34.959239999999994</v>
      </c>
      <c r="E712" s="23" t="s">
        <v>714</v>
      </c>
      <c r="F712" s="26">
        <v>93213.22795</v>
      </c>
      <c r="G712" s="26">
        <v>25313.617949999996</v>
      </c>
    </row>
    <row r="713" spans="1:7" x14ac:dyDescent="0.25">
      <c r="A713" s="23" t="s">
        <v>721</v>
      </c>
      <c r="B713" s="6">
        <v>31405.06266</v>
      </c>
      <c r="C713" s="6">
        <v>1572.4526600000022</v>
      </c>
      <c r="E713" s="24" t="s">
        <v>267</v>
      </c>
      <c r="F713" s="26">
        <v>25483.91488</v>
      </c>
      <c r="G713" s="26">
        <v>12700.39488</v>
      </c>
    </row>
    <row r="714" spans="1:7" x14ac:dyDescent="0.25">
      <c r="A714" s="24" t="s">
        <v>518</v>
      </c>
      <c r="B714" s="6">
        <v>10189.8891</v>
      </c>
      <c r="C714" s="6">
        <v>1219.3191000000006</v>
      </c>
      <c r="E714" s="24" t="s">
        <v>366</v>
      </c>
      <c r="F714" s="26">
        <v>26552.60298</v>
      </c>
      <c r="G714" s="26">
        <v>8381.3829799999985</v>
      </c>
    </row>
    <row r="715" spans="1:7" x14ac:dyDescent="0.25">
      <c r="A715" s="24" t="s">
        <v>525</v>
      </c>
      <c r="B715" s="6">
        <v>3525.5505600000001</v>
      </c>
      <c r="C715" s="6">
        <v>825.43056000000024</v>
      </c>
      <c r="E715" s="24" t="s">
        <v>396</v>
      </c>
      <c r="F715" s="26">
        <v>37562.28</v>
      </c>
      <c r="G715" s="26">
        <v>5584.5999999999985</v>
      </c>
    </row>
    <row r="716" spans="1:7" x14ac:dyDescent="0.25">
      <c r="A716" s="24" t="s">
        <v>266</v>
      </c>
      <c r="B716" s="6">
        <v>17689.623</v>
      </c>
      <c r="C716" s="6">
        <v>-472.29699999999866</v>
      </c>
      <c r="E716" s="24" t="s">
        <v>134</v>
      </c>
      <c r="F716" s="26">
        <v>592.92849000000001</v>
      </c>
      <c r="G716" s="26">
        <v>187.20848999999998</v>
      </c>
    </row>
    <row r="717" spans="1:7" x14ac:dyDescent="0.25">
      <c r="A717" s="23" t="s">
        <v>720</v>
      </c>
      <c r="B717" s="6">
        <v>19561.0772</v>
      </c>
      <c r="C717" s="6">
        <v>697.75719999999728</v>
      </c>
      <c r="E717" s="24" t="s">
        <v>352</v>
      </c>
      <c r="F717" s="26">
        <v>3021.5016000000001</v>
      </c>
      <c r="G717" s="26">
        <v>-1539.9684000000002</v>
      </c>
    </row>
    <row r="718" spans="1:7" x14ac:dyDescent="0.25">
      <c r="A718" s="24" t="s">
        <v>391</v>
      </c>
      <c r="B718" s="6">
        <v>15348.702599999999</v>
      </c>
      <c r="C718" s="6">
        <v>3098.002599999998</v>
      </c>
      <c r="E718" s="23" t="s">
        <v>726</v>
      </c>
      <c r="F718" s="26">
        <v>51755.915280000001</v>
      </c>
      <c r="G718" s="26">
        <v>19876.305279999997</v>
      </c>
    </row>
    <row r="719" spans="1:7" x14ac:dyDescent="0.25">
      <c r="A719" s="24" t="s">
        <v>491</v>
      </c>
      <c r="B719" s="6">
        <v>4212.3745999999992</v>
      </c>
      <c r="C719" s="6">
        <v>-2400.2454000000007</v>
      </c>
      <c r="E719" s="24" t="s">
        <v>555</v>
      </c>
      <c r="F719" s="26">
        <v>19581.87</v>
      </c>
      <c r="G719" s="26">
        <v>10770.829999999998</v>
      </c>
    </row>
    <row r="720" spans="1:7" x14ac:dyDescent="0.25">
      <c r="A720" s="23" t="s">
        <v>717</v>
      </c>
      <c r="B720" s="6">
        <v>35207.31525</v>
      </c>
      <c r="C720" s="6">
        <v>56.25525000000107</v>
      </c>
      <c r="E720" s="24" t="s">
        <v>536</v>
      </c>
      <c r="F720" s="26">
        <v>22526.66</v>
      </c>
      <c r="G720" s="26">
        <v>5313.6899999999987</v>
      </c>
    </row>
    <row r="721" spans="1:7" x14ac:dyDescent="0.25">
      <c r="A721" s="24" t="s">
        <v>629</v>
      </c>
      <c r="B721" s="6">
        <v>10464.138360000001</v>
      </c>
      <c r="C721" s="6">
        <v>2558.6583600000013</v>
      </c>
      <c r="E721" s="24" t="s">
        <v>47</v>
      </c>
      <c r="F721" s="26">
        <v>9647.3852800000004</v>
      </c>
      <c r="G721" s="26">
        <v>3791.7852800000001</v>
      </c>
    </row>
    <row r="722" spans="1:7" x14ac:dyDescent="0.25">
      <c r="A722" s="24" t="s">
        <v>51</v>
      </c>
      <c r="B722" s="6">
        <v>18957.37689</v>
      </c>
      <c r="C722" s="6">
        <v>-289.30311000000074</v>
      </c>
      <c r="E722" s="23" t="s">
        <v>712</v>
      </c>
      <c r="F722" s="26">
        <v>64782.240439999994</v>
      </c>
      <c r="G722" s="26">
        <v>17820.870439999995</v>
      </c>
    </row>
    <row r="723" spans="1:7" x14ac:dyDescent="0.25">
      <c r="A723" s="24" t="s">
        <v>67</v>
      </c>
      <c r="B723" s="6">
        <v>5785.8</v>
      </c>
      <c r="C723" s="6">
        <v>-2213.0999999999995</v>
      </c>
      <c r="E723" s="24" t="s">
        <v>202</v>
      </c>
      <c r="F723" s="26">
        <v>28072.190160000002</v>
      </c>
      <c r="G723" s="26">
        <v>9387.2301599999992</v>
      </c>
    </row>
    <row r="724" spans="1:7" x14ac:dyDescent="0.25">
      <c r="A724" s="22" t="s">
        <v>1460</v>
      </c>
      <c r="C724" s="6"/>
      <c r="E724" s="24" t="s">
        <v>287</v>
      </c>
      <c r="F724" s="26">
        <v>29536.716</v>
      </c>
      <c r="G724" s="26">
        <v>7889.1159999999982</v>
      </c>
    </row>
    <row r="725" spans="1:7" x14ac:dyDescent="0.25">
      <c r="A725" s="23" t="s">
        <v>717</v>
      </c>
      <c r="B725" s="6">
        <v>80365.452389999991</v>
      </c>
      <c r="C725" s="6">
        <v>31621.42239</v>
      </c>
      <c r="E725" s="24" t="s">
        <v>594</v>
      </c>
      <c r="F725" s="26">
        <v>7173.3342799999991</v>
      </c>
      <c r="G725" s="26">
        <v>544.52427999999873</v>
      </c>
    </row>
    <row r="726" spans="1:7" x14ac:dyDescent="0.25">
      <c r="A726" s="24" t="s">
        <v>456</v>
      </c>
      <c r="B726" s="6">
        <v>31513.085009999999</v>
      </c>
      <c r="C726" s="6">
        <v>16530.425009999999</v>
      </c>
      <c r="E726" s="23" t="s">
        <v>721</v>
      </c>
      <c r="F726" s="26">
        <v>93240.777799999996</v>
      </c>
      <c r="G726" s="26">
        <v>15883.677800000003</v>
      </c>
    </row>
    <row r="727" spans="1:7" x14ac:dyDescent="0.25">
      <c r="A727" s="24" t="s">
        <v>301</v>
      </c>
      <c r="B727" s="6">
        <v>20028.787380000002</v>
      </c>
      <c r="C727" s="6">
        <v>10428.937380000001</v>
      </c>
      <c r="E727" s="24" t="s">
        <v>316</v>
      </c>
      <c r="F727" s="26">
        <v>39686.4182</v>
      </c>
      <c r="G727" s="26">
        <v>11756.318200000002</v>
      </c>
    </row>
    <row r="728" spans="1:7" x14ac:dyDescent="0.25">
      <c r="A728" s="24" t="s">
        <v>163</v>
      </c>
      <c r="B728" s="6">
        <v>14877.464000000002</v>
      </c>
      <c r="C728" s="6">
        <v>5456.7140000000018</v>
      </c>
      <c r="E728" s="24" t="s">
        <v>166</v>
      </c>
      <c r="F728" s="26">
        <v>21572.590500000002</v>
      </c>
      <c r="G728" s="26">
        <v>3537.3105000000032</v>
      </c>
    </row>
    <row r="729" spans="1:7" x14ac:dyDescent="0.25">
      <c r="A729" s="24" t="s">
        <v>90</v>
      </c>
      <c r="B729" s="6">
        <v>6874.4828600000001</v>
      </c>
      <c r="C729" s="6">
        <v>1095.0028600000005</v>
      </c>
      <c r="E729" s="24" t="s">
        <v>358</v>
      </c>
      <c r="F729" s="26">
        <v>3175.1547799999998</v>
      </c>
      <c r="G729" s="26">
        <v>1703.3347799999999</v>
      </c>
    </row>
    <row r="730" spans="1:7" x14ac:dyDescent="0.25">
      <c r="A730" s="24" t="s">
        <v>619</v>
      </c>
      <c r="B730" s="6">
        <v>7071.6331400000008</v>
      </c>
      <c r="C730" s="6">
        <v>-1889.6568600000001</v>
      </c>
      <c r="E730" s="24" t="s">
        <v>550</v>
      </c>
      <c r="F730" s="26">
        <v>7823.4472399999995</v>
      </c>
      <c r="G730" s="26">
        <v>1110.4472399999995</v>
      </c>
    </row>
    <row r="731" spans="1:7" x14ac:dyDescent="0.25">
      <c r="A731" s="23" t="s">
        <v>725</v>
      </c>
      <c r="B731" s="6">
        <v>55998.738100000002</v>
      </c>
      <c r="C731" s="6">
        <v>24748.138099999996</v>
      </c>
      <c r="E731" s="24" t="s">
        <v>607</v>
      </c>
      <c r="F731" s="26">
        <v>5725.6496000000006</v>
      </c>
      <c r="G731" s="26">
        <v>-536.95039999999972</v>
      </c>
    </row>
    <row r="732" spans="1:7" x14ac:dyDescent="0.25">
      <c r="A732" s="24" t="s">
        <v>164</v>
      </c>
      <c r="B732" s="6">
        <v>42495.805439999996</v>
      </c>
      <c r="C732" s="6">
        <v>19149.805439999996</v>
      </c>
      <c r="E732" s="24" t="s">
        <v>398</v>
      </c>
      <c r="F732" s="26">
        <v>15257.51748</v>
      </c>
      <c r="G732" s="26">
        <v>-1686.7825199999988</v>
      </c>
    </row>
    <row r="733" spans="1:7" x14ac:dyDescent="0.25">
      <c r="A733" s="24" t="s">
        <v>345</v>
      </c>
      <c r="B733" s="6">
        <v>8764.4065599999994</v>
      </c>
      <c r="C733" s="6">
        <v>3237.4565599999996</v>
      </c>
      <c r="E733" s="23" t="s">
        <v>725</v>
      </c>
      <c r="F733" s="26">
        <v>15776.763060000001</v>
      </c>
      <c r="G733" s="26">
        <v>8062.4830600000023</v>
      </c>
    </row>
    <row r="734" spans="1:7" x14ac:dyDescent="0.25">
      <c r="A734" s="24" t="s">
        <v>495</v>
      </c>
      <c r="B734" s="6">
        <v>4738.5261</v>
      </c>
      <c r="C734" s="6">
        <v>2360.8761000000004</v>
      </c>
      <c r="E734" s="24" t="s">
        <v>558</v>
      </c>
      <c r="F734" s="26">
        <v>14114.068500000001</v>
      </c>
      <c r="G734" s="26">
        <v>7671.1285000000016</v>
      </c>
    </row>
    <row r="735" spans="1:7" x14ac:dyDescent="0.25">
      <c r="A735" s="23" t="s">
        <v>712</v>
      </c>
      <c r="B735" s="6">
        <v>51941.755780000007</v>
      </c>
      <c r="C735" s="6">
        <v>23742.495780000005</v>
      </c>
      <c r="E735" s="24" t="s">
        <v>474</v>
      </c>
      <c r="F735" s="26">
        <v>1662.6945600000001</v>
      </c>
      <c r="G735" s="26">
        <v>391.35456000000022</v>
      </c>
    </row>
    <row r="736" spans="1:7" x14ac:dyDescent="0.25">
      <c r="A736" s="24" t="s">
        <v>32</v>
      </c>
      <c r="B736" s="6">
        <v>35367.211040000002</v>
      </c>
      <c r="C736" s="6">
        <v>15758.091040000003</v>
      </c>
      <c r="E736" s="23" t="s">
        <v>718</v>
      </c>
      <c r="F736" s="26">
        <v>12462.65055</v>
      </c>
      <c r="G736" s="26">
        <v>5833.72055</v>
      </c>
    </row>
    <row r="737" spans="1:7" x14ac:dyDescent="0.25">
      <c r="A737" s="24" t="s">
        <v>513</v>
      </c>
      <c r="B737" s="6">
        <v>16574.544740000001</v>
      </c>
      <c r="C737" s="6">
        <v>7984.4047400000018</v>
      </c>
      <c r="E737" s="24" t="s">
        <v>464</v>
      </c>
      <c r="F737" s="26">
        <v>12462.65055</v>
      </c>
      <c r="G737" s="26">
        <v>5833.72055</v>
      </c>
    </row>
    <row r="738" spans="1:7" x14ac:dyDescent="0.25">
      <c r="A738" s="23" t="s">
        <v>726</v>
      </c>
      <c r="B738" s="6">
        <v>62569.144809999998</v>
      </c>
      <c r="C738" s="6">
        <v>20566.814809999996</v>
      </c>
      <c r="E738" s="23" t="s">
        <v>719</v>
      </c>
      <c r="F738" s="26">
        <v>10693.88488</v>
      </c>
      <c r="G738" s="26">
        <v>2018.9248800000005</v>
      </c>
    </row>
    <row r="739" spans="1:7" x14ac:dyDescent="0.25">
      <c r="A739" s="24" t="s">
        <v>412</v>
      </c>
      <c r="B739" s="6">
        <v>13185.543</v>
      </c>
      <c r="C739" s="6">
        <v>6634.0429999999997</v>
      </c>
      <c r="E739" s="24" t="s">
        <v>637</v>
      </c>
      <c r="F739" s="26">
        <v>10693.88488</v>
      </c>
      <c r="G739" s="26">
        <v>2018.9248800000005</v>
      </c>
    </row>
    <row r="740" spans="1:7" x14ac:dyDescent="0.25">
      <c r="A740" s="24" t="s">
        <v>186</v>
      </c>
      <c r="B740" s="6">
        <v>8928.9795999999988</v>
      </c>
      <c r="C740" s="6">
        <v>4700.8295999999991</v>
      </c>
      <c r="E740" s="23" t="s">
        <v>723</v>
      </c>
      <c r="F740" s="26">
        <v>25174.028880000002</v>
      </c>
      <c r="G740" s="26">
        <v>993.24888000000283</v>
      </c>
    </row>
    <row r="741" spans="1:7" x14ac:dyDescent="0.25">
      <c r="A741" s="24" t="s">
        <v>530</v>
      </c>
      <c r="B741" s="6">
        <v>22201.762229999997</v>
      </c>
      <c r="C741" s="6">
        <v>4675.2522299999982</v>
      </c>
      <c r="E741" s="24" t="s">
        <v>632</v>
      </c>
      <c r="F741" s="26">
        <v>25174.028880000002</v>
      </c>
      <c r="G741" s="26">
        <v>993.24888000000283</v>
      </c>
    </row>
    <row r="742" spans="1:7" x14ac:dyDescent="0.25">
      <c r="A742" s="24" t="s">
        <v>413</v>
      </c>
      <c r="B742" s="6">
        <v>12972.00222</v>
      </c>
      <c r="C742" s="6">
        <v>2404.4722199999997</v>
      </c>
      <c r="E742" s="23" t="s">
        <v>716</v>
      </c>
      <c r="F742" s="26">
        <v>10456.416880000001</v>
      </c>
      <c r="G742" s="26">
        <v>-6073.8631199999982</v>
      </c>
    </row>
    <row r="743" spans="1:7" x14ac:dyDescent="0.25">
      <c r="A743" s="24" t="s">
        <v>247</v>
      </c>
      <c r="B743" s="6">
        <v>5280.8577599999999</v>
      </c>
      <c r="C743" s="6">
        <v>2152.21776</v>
      </c>
      <c r="E743" s="24" t="s">
        <v>303</v>
      </c>
      <c r="F743" s="26">
        <v>10456.416880000001</v>
      </c>
      <c r="G743" s="26">
        <v>-6073.8631199999982</v>
      </c>
    </row>
    <row r="744" spans="1:7" x14ac:dyDescent="0.25">
      <c r="A744" s="23" t="s">
        <v>713</v>
      </c>
      <c r="B744" s="6">
        <v>61907.735390000002</v>
      </c>
      <c r="C744" s="6">
        <v>18635.865389999999</v>
      </c>
      <c r="E744" s="22" t="s">
        <v>1456</v>
      </c>
      <c r="F744" s="26"/>
      <c r="G744" s="26"/>
    </row>
    <row r="745" spans="1:7" x14ac:dyDescent="0.25">
      <c r="A745" s="24" t="s">
        <v>338</v>
      </c>
      <c r="B745" s="6">
        <v>26015.449459999996</v>
      </c>
      <c r="C745" s="6">
        <v>14901.819459999995</v>
      </c>
      <c r="E745" s="23" t="s">
        <v>717</v>
      </c>
      <c r="F745" s="26">
        <v>139810.28808</v>
      </c>
      <c r="G745" s="26">
        <v>75353.218079999991</v>
      </c>
    </row>
    <row r="746" spans="1:7" x14ac:dyDescent="0.25">
      <c r="A746" s="24" t="s">
        <v>382</v>
      </c>
      <c r="B746" s="6">
        <v>13784.586000000001</v>
      </c>
      <c r="C746" s="6">
        <v>7386.7860000000019</v>
      </c>
      <c r="E746" s="24" t="s">
        <v>62</v>
      </c>
      <c r="F746" s="26">
        <v>109244</v>
      </c>
      <c r="G746" s="26">
        <v>65188.659999999996</v>
      </c>
    </row>
    <row r="747" spans="1:7" x14ac:dyDescent="0.25">
      <c r="A747" s="24" t="s">
        <v>254</v>
      </c>
      <c r="B747" s="6">
        <v>4436.6291200000005</v>
      </c>
      <c r="C747" s="6">
        <v>1354.0691200000006</v>
      </c>
      <c r="E747" s="24" t="s">
        <v>297</v>
      </c>
      <c r="F747" s="26">
        <v>11696.156879999999</v>
      </c>
      <c r="G747" s="26">
        <v>4215.3568799999994</v>
      </c>
    </row>
    <row r="748" spans="1:7" x14ac:dyDescent="0.25">
      <c r="A748" s="24" t="s">
        <v>161</v>
      </c>
      <c r="B748" s="6">
        <v>3562.9028999999996</v>
      </c>
      <c r="C748" s="6">
        <v>-1785.8571000000006</v>
      </c>
      <c r="E748" s="24" t="s">
        <v>532</v>
      </c>
      <c r="F748" s="26">
        <v>9807.7842799999999</v>
      </c>
      <c r="G748" s="26">
        <v>3292.8142799999996</v>
      </c>
    </row>
    <row r="749" spans="1:7" x14ac:dyDescent="0.25">
      <c r="A749" s="24" t="s">
        <v>402</v>
      </c>
      <c r="B749" s="6">
        <v>14108.16791</v>
      </c>
      <c r="C749" s="6">
        <v>-3220.9520899999989</v>
      </c>
      <c r="E749" s="24" t="s">
        <v>330</v>
      </c>
      <c r="F749" s="26">
        <v>9062.34692</v>
      </c>
      <c r="G749" s="26">
        <v>2656.3869199999999</v>
      </c>
    </row>
    <row r="750" spans="1:7" x14ac:dyDescent="0.25">
      <c r="A750" s="23" t="s">
        <v>723</v>
      </c>
      <c r="B750" s="6">
        <v>69862.391999999993</v>
      </c>
      <c r="C750" s="6">
        <v>16456.452000000005</v>
      </c>
      <c r="E750" s="23" t="s">
        <v>724</v>
      </c>
      <c r="F750" s="26">
        <v>163403.33616000001</v>
      </c>
      <c r="G750" s="26">
        <v>74677.226159999991</v>
      </c>
    </row>
    <row r="751" spans="1:7" x14ac:dyDescent="0.25">
      <c r="A751" s="24" t="s">
        <v>233</v>
      </c>
      <c r="B751" s="6">
        <v>28211.92124</v>
      </c>
      <c r="C751" s="6">
        <v>12346.561240000001</v>
      </c>
      <c r="E751" s="24" t="s">
        <v>535</v>
      </c>
      <c r="F751" s="26">
        <v>64192.976999999999</v>
      </c>
      <c r="G751" s="26">
        <v>34611.296999999999</v>
      </c>
    </row>
    <row r="752" spans="1:7" x14ac:dyDescent="0.25">
      <c r="A752" s="24" t="s">
        <v>209</v>
      </c>
      <c r="B752" s="6">
        <v>31191.64716</v>
      </c>
      <c r="C752" s="6">
        <v>4994.4471599999997</v>
      </c>
      <c r="E752" s="24" t="s">
        <v>34</v>
      </c>
      <c r="F752" s="26">
        <v>39263.702919999996</v>
      </c>
      <c r="G752" s="26">
        <v>19975.662919999995</v>
      </c>
    </row>
    <row r="753" spans="1:7" x14ac:dyDescent="0.25">
      <c r="A753" s="24" t="s">
        <v>246</v>
      </c>
      <c r="B753" s="6">
        <v>2879.9836</v>
      </c>
      <c r="C753" s="6">
        <v>903.68360000000007</v>
      </c>
      <c r="E753" s="24" t="s">
        <v>489</v>
      </c>
      <c r="F753" s="26">
        <v>27194.152039999997</v>
      </c>
      <c r="G753" s="26">
        <v>12003.372039999997</v>
      </c>
    </row>
    <row r="754" spans="1:7" x14ac:dyDescent="0.25">
      <c r="A754" s="24" t="s">
        <v>29</v>
      </c>
      <c r="B754" s="6">
        <v>7578.84</v>
      </c>
      <c r="C754" s="6">
        <v>-1788.2399999999998</v>
      </c>
      <c r="E754" s="24" t="s">
        <v>454</v>
      </c>
      <c r="F754" s="26">
        <v>20672.289000000001</v>
      </c>
      <c r="G754" s="26">
        <v>9896.7990000000009</v>
      </c>
    </row>
    <row r="755" spans="1:7" x14ac:dyDescent="0.25">
      <c r="A755" s="23" t="s">
        <v>722</v>
      </c>
      <c r="B755" s="6">
        <v>24522.023450000001</v>
      </c>
      <c r="C755" s="6">
        <v>11013.063450000001</v>
      </c>
      <c r="E755" s="24" t="s">
        <v>120</v>
      </c>
      <c r="F755" s="26">
        <v>12080.215199999999</v>
      </c>
      <c r="G755" s="26">
        <v>-1809.9048000000003</v>
      </c>
    </row>
    <row r="756" spans="1:7" x14ac:dyDescent="0.25">
      <c r="A756" s="24" t="s">
        <v>264</v>
      </c>
      <c r="B756" s="6">
        <v>12186.368600000002</v>
      </c>
      <c r="C756" s="6">
        <v>5705.2086000000018</v>
      </c>
      <c r="E756" s="23" t="s">
        <v>721</v>
      </c>
      <c r="F756" s="26">
        <v>111258.32129999998</v>
      </c>
      <c r="G756" s="26">
        <v>48405.051299999992</v>
      </c>
    </row>
    <row r="757" spans="1:7" x14ac:dyDescent="0.25">
      <c r="A757" s="24" t="s">
        <v>119</v>
      </c>
      <c r="B757" s="6">
        <v>12335.654849999999</v>
      </c>
      <c r="C757" s="6">
        <v>5307.8548499999997</v>
      </c>
      <c r="E757" s="24" t="s">
        <v>571</v>
      </c>
      <c r="F757" s="26">
        <v>50545.319219999998</v>
      </c>
      <c r="G757" s="26">
        <v>26690.819219999998</v>
      </c>
    </row>
    <row r="758" spans="1:7" x14ac:dyDescent="0.25">
      <c r="A758" s="23" t="s">
        <v>720</v>
      </c>
      <c r="B758" s="6">
        <v>85721.571989999997</v>
      </c>
      <c r="C758" s="6">
        <v>10863.921989999988</v>
      </c>
      <c r="E758" s="24" t="s">
        <v>112</v>
      </c>
      <c r="F758" s="26">
        <v>34139.159999999996</v>
      </c>
      <c r="G758" s="26">
        <v>12051.719999999998</v>
      </c>
    </row>
    <row r="759" spans="1:7" x14ac:dyDescent="0.25">
      <c r="A759" s="24" t="s">
        <v>597</v>
      </c>
      <c r="B759" s="6">
        <v>40563.321749999996</v>
      </c>
      <c r="C759" s="6">
        <v>11831.751749999996</v>
      </c>
      <c r="E759" s="24" t="s">
        <v>484</v>
      </c>
      <c r="F759" s="26">
        <v>10428.057360000001</v>
      </c>
      <c r="G759" s="26">
        <v>5243.9373600000008</v>
      </c>
    </row>
    <row r="760" spans="1:7" x14ac:dyDescent="0.25">
      <c r="A760" s="24" t="s">
        <v>561</v>
      </c>
      <c r="B760" s="6">
        <v>15530.929919999999</v>
      </c>
      <c r="C760" s="6">
        <v>5138.6899199999989</v>
      </c>
      <c r="E760" s="24" t="s">
        <v>255</v>
      </c>
      <c r="F760" s="26">
        <v>9684.8756000000012</v>
      </c>
      <c r="G760" s="26">
        <v>2339.9156000000012</v>
      </c>
    </row>
    <row r="761" spans="1:7" x14ac:dyDescent="0.25">
      <c r="A761" s="24" t="s">
        <v>437</v>
      </c>
      <c r="B761" s="6">
        <v>29627.320319999999</v>
      </c>
      <c r="C761" s="6">
        <v>-6106.5196800000049</v>
      </c>
      <c r="E761" s="24" t="s">
        <v>143</v>
      </c>
      <c r="F761" s="26">
        <v>2642.1686999999997</v>
      </c>
      <c r="G761" s="26">
        <v>1222.1486999999997</v>
      </c>
    </row>
    <row r="762" spans="1:7" x14ac:dyDescent="0.25">
      <c r="A762" s="23" t="s">
        <v>718</v>
      </c>
      <c r="B762" s="6">
        <v>21664.440000000002</v>
      </c>
      <c r="C762" s="6">
        <v>9942.4500000000007</v>
      </c>
      <c r="E762" s="24" t="s">
        <v>189</v>
      </c>
      <c r="F762" s="26">
        <v>1952.6356799999999</v>
      </c>
      <c r="G762" s="26">
        <v>505.51567999999997</v>
      </c>
    </row>
    <row r="763" spans="1:7" x14ac:dyDescent="0.25">
      <c r="A763" s="24" t="s">
        <v>458</v>
      </c>
      <c r="B763" s="6">
        <v>21664.440000000002</v>
      </c>
      <c r="C763" s="6">
        <v>9942.4500000000007</v>
      </c>
      <c r="E763" s="24" t="s">
        <v>531</v>
      </c>
      <c r="F763" s="26">
        <v>1010.3759200000001</v>
      </c>
      <c r="G763" s="26">
        <v>479.17592000000002</v>
      </c>
    </row>
    <row r="764" spans="1:7" x14ac:dyDescent="0.25">
      <c r="A764" s="23" t="s">
        <v>719</v>
      </c>
      <c r="B764" s="6">
        <v>29651.573520000002</v>
      </c>
      <c r="C764" s="6">
        <v>9647.153519999998</v>
      </c>
      <c r="E764" s="24" t="s">
        <v>533</v>
      </c>
      <c r="F764" s="26">
        <v>855.72881999999993</v>
      </c>
      <c r="G764" s="26">
        <v>-128.18118000000015</v>
      </c>
    </row>
    <row r="765" spans="1:7" x14ac:dyDescent="0.25">
      <c r="A765" s="24" t="s">
        <v>76</v>
      </c>
      <c r="B765" s="6">
        <v>27701.570400000001</v>
      </c>
      <c r="C765" s="6">
        <v>10059.770399999998</v>
      </c>
      <c r="E765" s="23" t="s">
        <v>720</v>
      </c>
      <c r="F765" s="26">
        <v>124011.02946000001</v>
      </c>
      <c r="G765" s="26">
        <v>42010.559459999989</v>
      </c>
    </row>
    <row r="766" spans="1:7" x14ac:dyDescent="0.25">
      <c r="A766" s="24" t="s">
        <v>448</v>
      </c>
      <c r="B766" s="6">
        <v>1950.0031200000001</v>
      </c>
      <c r="C766" s="6">
        <v>-412.61687999999981</v>
      </c>
      <c r="E766" s="24" t="s">
        <v>24</v>
      </c>
      <c r="F766" s="26">
        <v>60928.502359999999</v>
      </c>
      <c r="G766" s="26">
        <v>19655.722359999992</v>
      </c>
    </row>
    <row r="767" spans="1:7" x14ac:dyDescent="0.25">
      <c r="A767" s="23" t="s">
        <v>716</v>
      </c>
      <c r="B767" s="6">
        <v>28316.486249999998</v>
      </c>
      <c r="C767" s="6">
        <v>1508.2362499999958</v>
      </c>
      <c r="E767" s="24" t="s">
        <v>473</v>
      </c>
      <c r="F767" s="26">
        <v>24321.57</v>
      </c>
      <c r="G767" s="26">
        <v>7889.0499999999993</v>
      </c>
    </row>
    <row r="768" spans="1:7" x14ac:dyDescent="0.25">
      <c r="A768" s="24" t="s">
        <v>222</v>
      </c>
      <c r="B768" s="6">
        <v>15825.399369999997</v>
      </c>
      <c r="C768" s="6">
        <v>2093.1093699999965</v>
      </c>
      <c r="E768" s="24" t="s">
        <v>281</v>
      </c>
      <c r="F768" s="26">
        <v>17594.028880000002</v>
      </c>
      <c r="G768" s="26">
        <v>7436.8288800000009</v>
      </c>
    </row>
    <row r="769" spans="1:7" x14ac:dyDescent="0.25">
      <c r="A769" s="24" t="s">
        <v>195</v>
      </c>
      <c r="B769" s="6">
        <v>18.659839999999999</v>
      </c>
      <c r="C769" s="6">
        <v>-3.3401600000000009</v>
      </c>
      <c r="E769" s="24" t="s">
        <v>58</v>
      </c>
      <c r="F769" s="26">
        <v>10666.229420000001</v>
      </c>
      <c r="G769" s="26">
        <v>5348.0594200000014</v>
      </c>
    </row>
    <row r="770" spans="1:7" x14ac:dyDescent="0.25">
      <c r="A770" s="24" t="s">
        <v>226</v>
      </c>
      <c r="B770" s="6">
        <v>6984.8246399999998</v>
      </c>
      <c r="C770" s="6">
        <v>-12.25536000000011</v>
      </c>
      <c r="E770" s="24" t="s">
        <v>89</v>
      </c>
      <c r="F770" s="26">
        <v>5930.848</v>
      </c>
      <c r="G770" s="26">
        <v>1341.4480000000003</v>
      </c>
    </row>
    <row r="771" spans="1:7" x14ac:dyDescent="0.25">
      <c r="A771" s="24" t="s">
        <v>109</v>
      </c>
      <c r="B771" s="6">
        <v>5487.6023999999998</v>
      </c>
      <c r="C771" s="6">
        <v>-569.27760000000035</v>
      </c>
      <c r="E771" s="24" t="s">
        <v>74</v>
      </c>
      <c r="F771" s="26">
        <v>4569.8508000000002</v>
      </c>
      <c r="G771" s="26">
        <v>339.45080000000053</v>
      </c>
    </row>
    <row r="772" spans="1:7" x14ac:dyDescent="0.25">
      <c r="A772" s="23" t="s">
        <v>714</v>
      </c>
      <c r="B772" s="6">
        <v>1938.7944</v>
      </c>
      <c r="C772" s="6">
        <v>457.80439999999987</v>
      </c>
      <c r="E772" s="23" t="s">
        <v>723</v>
      </c>
      <c r="F772" s="26">
        <v>145253.06365999999</v>
      </c>
      <c r="G772" s="26">
        <v>41301.123659999997</v>
      </c>
    </row>
    <row r="773" spans="1:7" x14ac:dyDescent="0.25">
      <c r="A773" s="24" t="s">
        <v>634</v>
      </c>
      <c r="B773" s="6">
        <v>1030.7574</v>
      </c>
      <c r="C773" s="6">
        <v>277.66739999999993</v>
      </c>
      <c r="E773" s="24" t="s">
        <v>155</v>
      </c>
      <c r="F773" s="26">
        <v>87404.929919999995</v>
      </c>
      <c r="G773" s="26">
        <v>22992.449919999992</v>
      </c>
    </row>
    <row r="774" spans="1:7" x14ac:dyDescent="0.25">
      <c r="A774" s="24" t="s">
        <v>235</v>
      </c>
      <c r="B774" s="6">
        <v>908.03700000000003</v>
      </c>
      <c r="C774" s="6">
        <v>180.13699999999994</v>
      </c>
      <c r="E774" s="24" t="s">
        <v>408</v>
      </c>
      <c r="F774" s="26">
        <v>19800.88896</v>
      </c>
      <c r="G774" s="26">
        <v>9437.7689599999994</v>
      </c>
    </row>
    <row r="775" spans="1:7" x14ac:dyDescent="0.25">
      <c r="A775" s="23" t="s">
        <v>724</v>
      </c>
      <c r="B775" s="6">
        <v>49636.103999999999</v>
      </c>
      <c r="C775" s="6">
        <v>-3029.3660000000036</v>
      </c>
      <c r="E775" s="24" t="s">
        <v>59</v>
      </c>
      <c r="F775" s="26">
        <v>17930.494560000003</v>
      </c>
      <c r="G775" s="26">
        <v>3071.0345600000037</v>
      </c>
    </row>
    <row r="776" spans="1:7" x14ac:dyDescent="0.25">
      <c r="A776" s="24" t="s">
        <v>250</v>
      </c>
      <c r="B776" s="6">
        <v>37038.581760000001</v>
      </c>
      <c r="C776" s="6">
        <v>4902.8217599999989</v>
      </c>
      <c r="E776" s="24" t="s">
        <v>97</v>
      </c>
      <c r="F776" s="26">
        <v>5331.6696000000002</v>
      </c>
      <c r="G776" s="26">
        <v>2775.8196000000003</v>
      </c>
    </row>
    <row r="777" spans="1:7" x14ac:dyDescent="0.25">
      <c r="A777" s="24" t="s">
        <v>279</v>
      </c>
      <c r="B777" s="6">
        <v>12597.52224</v>
      </c>
      <c r="C777" s="6">
        <v>-7932.1877600000025</v>
      </c>
      <c r="E777" s="24" t="s">
        <v>339</v>
      </c>
      <c r="F777" s="26">
        <v>9829.0483199999999</v>
      </c>
      <c r="G777" s="26">
        <v>1982.7283200000002</v>
      </c>
    </row>
    <row r="778" spans="1:7" x14ac:dyDescent="0.25">
      <c r="A778" s="23" t="s">
        <v>721</v>
      </c>
      <c r="B778" s="6">
        <v>37063.217380000002</v>
      </c>
      <c r="C778" s="6">
        <v>-3233.8626199999962</v>
      </c>
      <c r="E778" s="24" t="s">
        <v>502</v>
      </c>
      <c r="F778" s="26">
        <v>4025.8565599999993</v>
      </c>
      <c r="G778" s="26">
        <v>806.27655999999934</v>
      </c>
    </row>
    <row r="779" spans="1:7" x14ac:dyDescent="0.25">
      <c r="A779" s="24" t="s">
        <v>263</v>
      </c>
      <c r="B779" s="6">
        <v>11813.604160000001</v>
      </c>
      <c r="C779" s="6">
        <v>2109.6841600000007</v>
      </c>
      <c r="E779" s="24" t="s">
        <v>475</v>
      </c>
      <c r="F779" s="26">
        <v>930.17574000000002</v>
      </c>
      <c r="G779" s="26">
        <v>235.04574000000002</v>
      </c>
    </row>
    <row r="780" spans="1:7" x14ac:dyDescent="0.25">
      <c r="A780" s="24" t="s">
        <v>511</v>
      </c>
      <c r="B780" s="6">
        <v>25249.613219999999</v>
      </c>
      <c r="C780" s="6">
        <v>-5343.5467799999969</v>
      </c>
      <c r="E780" s="23" t="s">
        <v>713</v>
      </c>
      <c r="F780" s="26">
        <v>95457.117249999996</v>
      </c>
      <c r="G780" s="26">
        <v>40304.007249999995</v>
      </c>
    </row>
    <row r="781" spans="1:7" x14ac:dyDescent="0.25">
      <c r="A781" s="22" t="s">
        <v>1462</v>
      </c>
      <c r="C781" s="6"/>
      <c r="E781" s="24" t="s">
        <v>617</v>
      </c>
      <c r="F781" s="26">
        <v>39810.328000000001</v>
      </c>
      <c r="G781" s="26">
        <v>20355.867999999999</v>
      </c>
    </row>
    <row r="782" spans="1:7" x14ac:dyDescent="0.25">
      <c r="A782" s="23" t="s">
        <v>712</v>
      </c>
      <c r="B782" s="6">
        <v>116840.50600000001</v>
      </c>
      <c r="C782" s="6">
        <v>44523.546000000009</v>
      </c>
      <c r="E782" s="24" t="s">
        <v>443</v>
      </c>
      <c r="F782" s="26">
        <v>41138.261999999995</v>
      </c>
      <c r="G782" s="26">
        <v>18674.741999999995</v>
      </c>
    </row>
    <row r="783" spans="1:7" x14ac:dyDescent="0.25">
      <c r="A783" s="24" t="s">
        <v>479</v>
      </c>
      <c r="B783" s="6">
        <v>84136.119600000005</v>
      </c>
      <c r="C783" s="6">
        <v>30705.719600000004</v>
      </c>
      <c r="E783" s="24" t="s">
        <v>361</v>
      </c>
      <c r="F783" s="26">
        <v>2206.8000000000002</v>
      </c>
      <c r="G783" s="26">
        <v>1040.7000000000003</v>
      </c>
    </row>
    <row r="784" spans="1:7" x14ac:dyDescent="0.25">
      <c r="A784" s="24" t="s">
        <v>639</v>
      </c>
      <c r="B784" s="6">
        <v>32704.386400000003</v>
      </c>
      <c r="C784" s="6">
        <v>13817.826400000005</v>
      </c>
      <c r="E784" s="24" t="s">
        <v>208</v>
      </c>
      <c r="F784" s="26">
        <v>3928.3797600000003</v>
      </c>
      <c r="G784" s="26">
        <v>931.85976000000028</v>
      </c>
    </row>
    <row r="785" spans="1:7" x14ac:dyDescent="0.25">
      <c r="A785" s="23" t="s">
        <v>719</v>
      </c>
      <c r="B785" s="6">
        <v>114691.38998000001</v>
      </c>
      <c r="C785" s="6">
        <v>22860.849980000006</v>
      </c>
      <c r="E785" s="24" t="s">
        <v>121</v>
      </c>
      <c r="F785" s="26">
        <v>518.65436999999997</v>
      </c>
      <c r="G785" s="26">
        <v>17.504369999999994</v>
      </c>
    </row>
    <row r="786" spans="1:7" x14ac:dyDescent="0.25">
      <c r="A786" s="24" t="s">
        <v>582</v>
      </c>
      <c r="B786" s="6">
        <v>25079.480689999997</v>
      </c>
      <c r="C786" s="6">
        <v>12487.920689999997</v>
      </c>
      <c r="E786" s="24" t="s">
        <v>471</v>
      </c>
      <c r="F786" s="26">
        <v>7854.6931199999999</v>
      </c>
      <c r="G786" s="26">
        <v>-716.66688000000067</v>
      </c>
    </row>
    <row r="787" spans="1:7" x14ac:dyDescent="0.25">
      <c r="A787" s="24" t="s">
        <v>78</v>
      </c>
      <c r="B787" s="6">
        <v>72665.817450000002</v>
      </c>
      <c r="C787" s="6">
        <v>9753.2374500000078</v>
      </c>
      <c r="E787" s="23" t="s">
        <v>718</v>
      </c>
      <c r="F787" s="26">
        <v>74424.323960000009</v>
      </c>
      <c r="G787" s="26">
        <v>32060.363960000006</v>
      </c>
    </row>
    <row r="788" spans="1:7" x14ac:dyDescent="0.25">
      <c r="A788" s="24" t="s">
        <v>416</v>
      </c>
      <c r="B788" s="6">
        <v>16946.091840000001</v>
      </c>
      <c r="C788" s="6">
        <v>619.69184000000132</v>
      </c>
      <c r="E788" s="24" t="s">
        <v>334</v>
      </c>
      <c r="F788" s="26">
        <v>22380.204000000002</v>
      </c>
      <c r="G788" s="26">
        <v>12511.704000000002</v>
      </c>
    </row>
    <row r="789" spans="1:7" x14ac:dyDescent="0.25">
      <c r="A789" s="23" t="s">
        <v>724</v>
      </c>
      <c r="B789" s="6">
        <v>43917.35</v>
      </c>
      <c r="C789" s="6">
        <v>18005.870000000003</v>
      </c>
      <c r="E789" s="24" t="s">
        <v>274</v>
      </c>
      <c r="F789" s="26">
        <v>22882.675440000003</v>
      </c>
      <c r="G789" s="26">
        <v>9441.9554400000034</v>
      </c>
    </row>
    <row r="790" spans="1:7" x14ac:dyDescent="0.25">
      <c r="A790" s="24" t="s">
        <v>327</v>
      </c>
      <c r="B790" s="6">
        <v>40325.31</v>
      </c>
      <c r="C790" s="6">
        <v>17626.95</v>
      </c>
      <c r="E790" s="24" t="s">
        <v>36</v>
      </c>
      <c r="F790" s="26">
        <v>19903.585040000002</v>
      </c>
      <c r="G790" s="26">
        <v>9254.0650400000013</v>
      </c>
    </row>
    <row r="791" spans="1:7" x14ac:dyDescent="0.25">
      <c r="A791" s="24" t="s">
        <v>262</v>
      </c>
      <c r="B791" s="6">
        <v>3592.04</v>
      </c>
      <c r="C791" s="6">
        <v>378.92000000000007</v>
      </c>
      <c r="E791" s="24" t="s">
        <v>203</v>
      </c>
      <c r="F791" s="26">
        <v>8590.7094000000016</v>
      </c>
      <c r="G791" s="26">
        <v>1059.4094000000005</v>
      </c>
    </row>
    <row r="792" spans="1:7" x14ac:dyDescent="0.25">
      <c r="A792" s="23" t="s">
        <v>722</v>
      </c>
      <c r="B792" s="6">
        <v>36890.866629999997</v>
      </c>
      <c r="C792" s="6">
        <v>14772.086629999998</v>
      </c>
      <c r="E792" s="24" t="s">
        <v>244</v>
      </c>
      <c r="F792" s="26">
        <v>667.15008</v>
      </c>
      <c r="G792" s="26">
        <v>-206.76991999999996</v>
      </c>
    </row>
    <row r="793" spans="1:7" x14ac:dyDescent="0.25">
      <c r="A793" s="24" t="s">
        <v>136</v>
      </c>
      <c r="B793" s="6">
        <v>22983.34563</v>
      </c>
      <c r="C793" s="6">
        <v>11306.565629999999</v>
      </c>
      <c r="E793" s="23" t="s">
        <v>716</v>
      </c>
      <c r="F793" s="26">
        <v>72553.931359999988</v>
      </c>
      <c r="G793" s="26">
        <v>30954.451359999995</v>
      </c>
    </row>
    <row r="794" spans="1:7" x14ac:dyDescent="0.25">
      <c r="A794" s="24" t="s">
        <v>523</v>
      </c>
      <c r="B794" s="6">
        <v>8297.4286000000011</v>
      </c>
      <c r="C794" s="6">
        <v>3780.3786000000009</v>
      </c>
      <c r="E794" s="24" t="s">
        <v>466</v>
      </c>
      <c r="F794" s="26">
        <v>23694.405119999999</v>
      </c>
      <c r="G794" s="26">
        <v>12880.125119999999</v>
      </c>
    </row>
    <row r="795" spans="1:7" x14ac:dyDescent="0.25">
      <c r="A795" s="24" t="s">
        <v>347</v>
      </c>
      <c r="B795" s="6">
        <v>5610.0923999999995</v>
      </c>
      <c r="C795" s="6">
        <v>-314.85760000000028</v>
      </c>
      <c r="E795" s="24" t="s">
        <v>514</v>
      </c>
      <c r="F795" s="26">
        <v>20332.775539999999</v>
      </c>
      <c r="G795" s="26">
        <v>9874.6355399999993</v>
      </c>
    </row>
    <row r="796" spans="1:7" x14ac:dyDescent="0.25">
      <c r="A796" s="23" t="s">
        <v>720</v>
      </c>
      <c r="B796" s="6">
        <v>32928.275000000001</v>
      </c>
      <c r="C796" s="6">
        <v>13956.375000000004</v>
      </c>
      <c r="E796" s="24" t="s">
        <v>342</v>
      </c>
      <c r="F796" s="26">
        <v>8382.5279999999984</v>
      </c>
      <c r="G796" s="26">
        <v>4544.8279999999986</v>
      </c>
    </row>
    <row r="797" spans="1:7" x14ac:dyDescent="0.25">
      <c r="A797" s="24" t="s">
        <v>501</v>
      </c>
      <c r="B797" s="6">
        <v>28856.475000000002</v>
      </c>
      <c r="C797" s="6">
        <v>13734.075000000003</v>
      </c>
      <c r="E797" s="24" t="s">
        <v>401</v>
      </c>
      <c r="F797" s="26">
        <v>19773.362699999998</v>
      </c>
      <c r="G797" s="26">
        <v>3477.5026999999973</v>
      </c>
    </row>
    <row r="798" spans="1:7" x14ac:dyDescent="0.25">
      <c r="A798" s="24" t="s">
        <v>372</v>
      </c>
      <c r="B798" s="6">
        <v>4071.8</v>
      </c>
      <c r="C798" s="6">
        <v>222.30000000000018</v>
      </c>
      <c r="E798" s="24" t="s">
        <v>600</v>
      </c>
      <c r="F798" s="26">
        <v>370.86</v>
      </c>
      <c r="G798" s="26">
        <v>177.36</v>
      </c>
    </row>
    <row r="799" spans="1:7" x14ac:dyDescent="0.25">
      <c r="A799" s="23" t="s">
        <v>716</v>
      </c>
      <c r="B799" s="6">
        <v>49109.391360000001</v>
      </c>
      <c r="C799" s="6">
        <v>12604.911360000002</v>
      </c>
      <c r="E799" s="23" t="s">
        <v>712</v>
      </c>
      <c r="F799" s="26">
        <v>80102.70117</v>
      </c>
      <c r="G799" s="26">
        <v>28420.191169999998</v>
      </c>
    </row>
    <row r="800" spans="1:7" x14ac:dyDescent="0.25">
      <c r="A800" s="24" t="s">
        <v>576</v>
      </c>
      <c r="B800" s="6">
        <v>33071.3145</v>
      </c>
      <c r="C800" s="6">
        <v>10347.694500000001</v>
      </c>
      <c r="E800" s="24" t="s">
        <v>388</v>
      </c>
      <c r="F800" s="26">
        <v>31005.24768</v>
      </c>
      <c r="G800" s="26">
        <v>13194.487679999998</v>
      </c>
    </row>
    <row r="801" spans="1:7" x14ac:dyDescent="0.25">
      <c r="A801" s="24" t="s">
        <v>228</v>
      </c>
      <c r="B801" s="6">
        <v>7854.6693599999999</v>
      </c>
      <c r="C801" s="6">
        <v>3192.54936</v>
      </c>
      <c r="E801" s="24" t="s">
        <v>314</v>
      </c>
      <c r="F801" s="26">
        <v>25577.274079999999</v>
      </c>
      <c r="G801" s="26">
        <v>9182.3640799999994</v>
      </c>
    </row>
    <row r="802" spans="1:7" x14ac:dyDescent="0.25">
      <c r="A802" s="24" t="s">
        <v>252</v>
      </c>
      <c r="B802" s="6">
        <v>6684.1875</v>
      </c>
      <c r="C802" s="6">
        <v>-309.11250000000018</v>
      </c>
      <c r="E802" s="24" t="s">
        <v>82</v>
      </c>
      <c r="F802" s="26">
        <v>14287.896349999999</v>
      </c>
      <c r="G802" s="26">
        <v>5527.4563499999986</v>
      </c>
    </row>
    <row r="803" spans="1:7" x14ac:dyDescent="0.25">
      <c r="A803" s="24" t="s">
        <v>129</v>
      </c>
      <c r="B803" s="6">
        <v>1499.22</v>
      </c>
      <c r="C803" s="6">
        <v>-626.22</v>
      </c>
      <c r="E803" s="24" t="s">
        <v>524</v>
      </c>
      <c r="F803" s="26">
        <v>9232.2830599999998</v>
      </c>
      <c r="G803" s="26">
        <v>515.88306000000011</v>
      </c>
    </row>
    <row r="804" spans="1:7" x14ac:dyDescent="0.25">
      <c r="A804" s="23" t="s">
        <v>715</v>
      </c>
      <c r="B804" s="6">
        <v>35567.737920000007</v>
      </c>
      <c r="C804" s="6">
        <v>9088.9779200000085</v>
      </c>
      <c r="E804" s="23" t="s">
        <v>719</v>
      </c>
      <c r="F804" s="26">
        <v>64234.720739999997</v>
      </c>
      <c r="G804" s="26">
        <v>27204.02074</v>
      </c>
    </row>
    <row r="805" spans="1:7" x14ac:dyDescent="0.25">
      <c r="A805" s="24" t="s">
        <v>153</v>
      </c>
      <c r="B805" s="6">
        <v>35567.737920000007</v>
      </c>
      <c r="C805" s="6">
        <v>9088.9779200000085</v>
      </c>
      <c r="E805" s="24" t="s">
        <v>188</v>
      </c>
      <c r="F805" s="26">
        <v>31556.187599999997</v>
      </c>
      <c r="G805" s="26">
        <v>12598.587599999999</v>
      </c>
    </row>
    <row r="806" spans="1:7" x14ac:dyDescent="0.25">
      <c r="A806" s="23" t="s">
        <v>718</v>
      </c>
      <c r="B806" s="6">
        <v>17235.036720000004</v>
      </c>
      <c r="C806" s="6">
        <v>8593.7367200000008</v>
      </c>
      <c r="E806" s="24" t="s">
        <v>275</v>
      </c>
      <c r="F806" s="26">
        <v>17964.4038</v>
      </c>
      <c r="G806" s="26">
        <v>7663.3438000000006</v>
      </c>
    </row>
    <row r="807" spans="1:7" x14ac:dyDescent="0.25">
      <c r="A807" s="24" t="s">
        <v>160</v>
      </c>
      <c r="B807" s="6">
        <v>12954.358080000002</v>
      </c>
      <c r="C807" s="6">
        <v>6616.4780800000017</v>
      </c>
      <c r="E807" s="24" t="s">
        <v>23</v>
      </c>
      <c r="F807" s="26">
        <v>14714.12934</v>
      </c>
      <c r="G807" s="26">
        <v>6942.0893400000004</v>
      </c>
    </row>
    <row r="808" spans="1:7" x14ac:dyDescent="0.25">
      <c r="A808" s="24" t="s">
        <v>593</v>
      </c>
      <c r="B808" s="6">
        <v>4280.6786400000001</v>
      </c>
      <c r="C808" s="6">
        <v>1977.25864</v>
      </c>
      <c r="E808" s="23" t="s">
        <v>726</v>
      </c>
      <c r="F808" s="26">
        <v>53350.140460000002</v>
      </c>
      <c r="G808" s="26">
        <v>20070.840460000003</v>
      </c>
    </row>
    <row r="809" spans="1:7" x14ac:dyDescent="0.25">
      <c r="A809" s="23" t="s">
        <v>717</v>
      </c>
      <c r="B809" s="6">
        <v>15692.094929999997</v>
      </c>
      <c r="C809" s="6">
        <v>7087.2349299999969</v>
      </c>
      <c r="E809" s="24" t="s">
        <v>570</v>
      </c>
      <c r="F809" s="26">
        <v>46450.26</v>
      </c>
      <c r="G809" s="26">
        <v>20471.22</v>
      </c>
    </row>
    <row r="810" spans="1:7" x14ac:dyDescent="0.25">
      <c r="A810" s="24" t="s">
        <v>444</v>
      </c>
      <c r="B810" s="6">
        <v>12955.824749999998</v>
      </c>
      <c r="C810" s="6">
        <v>6357.5847499999973</v>
      </c>
      <c r="E810" s="24" t="s">
        <v>425</v>
      </c>
      <c r="F810" s="26">
        <v>6899.8804600000003</v>
      </c>
      <c r="G810" s="26">
        <v>-400.379539999999</v>
      </c>
    </row>
    <row r="811" spans="1:7" x14ac:dyDescent="0.25">
      <c r="A811" s="24" t="s">
        <v>622</v>
      </c>
      <c r="B811" s="6">
        <v>2736.27018</v>
      </c>
      <c r="C811" s="6">
        <v>729.65017999999986</v>
      </c>
      <c r="E811" s="23" t="s">
        <v>715</v>
      </c>
      <c r="F811" s="26">
        <v>33728.501009999993</v>
      </c>
      <c r="G811" s="26">
        <v>14702.991009999994</v>
      </c>
    </row>
    <row r="812" spans="1:7" x14ac:dyDescent="0.25">
      <c r="A812" s="23" t="s">
        <v>1422</v>
      </c>
      <c r="B812" s="6">
        <v>12769.38768</v>
      </c>
      <c r="C812" s="6">
        <v>6312.5076799999997</v>
      </c>
      <c r="E812" s="24" t="s">
        <v>468</v>
      </c>
      <c r="F812" s="26">
        <v>23132.398349999996</v>
      </c>
      <c r="G812" s="26">
        <v>10922.848349999995</v>
      </c>
    </row>
    <row r="813" spans="1:7" x14ac:dyDescent="0.25">
      <c r="A813" s="24" t="s">
        <v>644</v>
      </c>
      <c r="B813" s="6">
        <v>12769.38768</v>
      </c>
      <c r="C813" s="6">
        <v>6312.5076799999997</v>
      </c>
      <c r="E813" s="24" t="s">
        <v>400</v>
      </c>
      <c r="F813" s="26">
        <v>9586.8057599999993</v>
      </c>
      <c r="G813" s="26">
        <v>3824.6457599999994</v>
      </c>
    </row>
    <row r="814" spans="1:7" x14ac:dyDescent="0.25">
      <c r="A814" s="23" t="s">
        <v>726</v>
      </c>
      <c r="B814" s="6">
        <v>14894.903999999999</v>
      </c>
      <c r="C814" s="6">
        <v>3262.0239999999994</v>
      </c>
      <c r="E814" s="24" t="s">
        <v>490</v>
      </c>
      <c r="F814" s="26">
        <v>1009.2969000000002</v>
      </c>
      <c r="G814" s="26">
        <v>-44.50309999999979</v>
      </c>
    </row>
    <row r="815" spans="1:7" x14ac:dyDescent="0.25">
      <c r="A815" s="24" t="s">
        <v>65</v>
      </c>
      <c r="B815" s="6">
        <v>14894.903999999999</v>
      </c>
      <c r="C815" s="6">
        <v>3262.0239999999994</v>
      </c>
      <c r="E815" s="23" t="s">
        <v>722</v>
      </c>
      <c r="F815" s="26">
        <v>94949.116160000005</v>
      </c>
      <c r="G815" s="26">
        <v>10854.95616</v>
      </c>
    </row>
    <row r="816" spans="1:7" x14ac:dyDescent="0.25">
      <c r="A816" s="23" t="s">
        <v>721</v>
      </c>
      <c r="B816" s="6">
        <v>20293.588200000002</v>
      </c>
      <c r="C816" s="6">
        <v>1823.808199999999</v>
      </c>
      <c r="E816" s="24" t="s">
        <v>38</v>
      </c>
      <c r="F816" s="26">
        <v>20225.2248</v>
      </c>
      <c r="G816" s="26">
        <v>10028.504800000001</v>
      </c>
    </row>
    <row r="817" spans="1:7" x14ac:dyDescent="0.25">
      <c r="A817" s="24" t="s">
        <v>472</v>
      </c>
      <c r="B817" s="6">
        <v>7643.2649999999994</v>
      </c>
      <c r="C817" s="6">
        <v>3973.7249999999995</v>
      </c>
      <c r="E817" s="24" t="s">
        <v>573</v>
      </c>
      <c r="F817" s="26">
        <v>13108.78584</v>
      </c>
      <c r="G817" s="26">
        <v>5392.0058400000007</v>
      </c>
    </row>
    <row r="818" spans="1:7" x14ac:dyDescent="0.25">
      <c r="A818" s="24" t="s">
        <v>41</v>
      </c>
      <c r="B818" s="6">
        <v>1756.6999999999998</v>
      </c>
      <c r="C818" s="6">
        <v>580.29999999999973</v>
      </c>
      <c r="E818" s="24" t="s">
        <v>503</v>
      </c>
      <c r="F818" s="26">
        <v>9614.4403999999995</v>
      </c>
      <c r="G818" s="26">
        <v>3748.4403999999995</v>
      </c>
    </row>
    <row r="819" spans="1:7" x14ac:dyDescent="0.25">
      <c r="A819" s="24" t="s">
        <v>430</v>
      </c>
      <c r="B819" s="6">
        <v>10893.6232</v>
      </c>
      <c r="C819" s="6">
        <v>-2730.2168000000001</v>
      </c>
      <c r="E819" s="24" t="s">
        <v>508</v>
      </c>
      <c r="F819" s="26">
        <v>11859.695119999998</v>
      </c>
      <c r="G819" s="26">
        <v>3024.3151199999993</v>
      </c>
    </row>
    <row r="820" spans="1:7" x14ac:dyDescent="0.25">
      <c r="A820" s="23" t="s">
        <v>714</v>
      </c>
      <c r="B820" s="6">
        <v>15694.479579999999</v>
      </c>
      <c r="C820" s="6">
        <v>1418.3595800000003</v>
      </c>
      <c r="E820" s="24" t="s">
        <v>409</v>
      </c>
      <c r="F820" s="26">
        <v>14431.738420000001</v>
      </c>
      <c r="G820" s="26">
        <v>2013.3384200000019</v>
      </c>
    </row>
    <row r="821" spans="1:7" x14ac:dyDescent="0.25">
      <c r="A821" s="24" t="s">
        <v>94</v>
      </c>
      <c r="B821" s="6">
        <v>4877.1379800000004</v>
      </c>
      <c r="C821" s="6">
        <v>1509.0979800000005</v>
      </c>
      <c r="E821" s="24" t="s">
        <v>321</v>
      </c>
      <c r="F821" s="26">
        <v>3644.3212800000006</v>
      </c>
      <c r="G821" s="26">
        <v>580.64128000000073</v>
      </c>
    </row>
    <row r="822" spans="1:7" x14ac:dyDescent="0.25">
      <c r="A822" s="24" t="s">
        <v>138</v>
      </c>
      <c r="B822" s="6">
        <v>10817.3416</v>
      </c>
      <c r="C822" s="6">
        <v>-90.738400000000183</v>
      </c>
      <c r="E822" s="24" t="s">
        <v>399</v>
      </c>
      <c r="F822" s="26">
        <v>22064.910300000003</v>
      </c>
      <c r="G822" s="26">
        <v>-13932.289700000001</v>
      </c>
    </row>
    <row r="823" spans="1:7" x14ac:dyDescent="0.25">
      <c r="A823" s="23" t="s">
        <v>723</v>
      </c>
      <c r="B823" s="6">
        <v>16306.59375</v>
      </c>
      <c r="C823" s="6">
        <v>1037.7937500000007</v>
      </c>
      <c r="E823" s="23" t="s">
        <v>714</v>
      </c>
      <c r="F823" s="26">
        <v>879.05840000000001</v>
      </c>
      <c r="G823" s="26">
        <v>60.978399999999965</v>
      </c>
    </row>
    <row r="824" spans="1:7" x14ac:dyDescent="0.25">
      <c r="A824" s="24" t="s">
        <v>331</v>
      </c>
      <c r="B824" s="6">
        <v>16306.59375</v>
      </c>
      <c r="C824" s="6">
        <v>1037.7937500000007</v>
      </c>
      <c r="E824" s="24" t="s">
        <v>325</v>
      </c>
      <c r="F824" s="26">
        <v>879.05840000000001</v>
      </c>
      <c r="G824" s="26">
        <v>60.978399999999965</v>
      </c>
    </row>
    <row r="825" spans="1:7" x14ac:dyDescent="0.25">
      <c r="A825" s="23" t="s">
        <v>713</v>
      </c>
      <c r="B825" s="6">
        <v>1122.0896000000002</v>
      </c>
      <c r="C825" s="6">
        <v>568.58960000000025</v>
      </c>
      <c r="E825" s="23" t="s">
        <v>725</v>
      </c>
      <c r="F825" s="26">
        <v>12413.98458</v>
      </c>
      <c r="G825" s="26">
        <v>-921.67541999999958</v>
      </c>
    </row>
    <row r="826" spans="1:7" x14ac:dyDescent="0.25">
      <c r="A826" s="24" t="s">
        <v>368</v>
      </c>
      <c r="B826" s="6">
        <v>1122.0896000000002</v>
      </c>
      <c r="C826" s="6">
        <v>568.58960000000025</v>
      </c>
      <c r="E826" s="24" t="s">
        <v>182</v>
      </c>
      <c r="F826" s="26">
        <v>12413.98458</v>
      </c>
      <c r="G826" s="26">
        <v>-921.67541999999958</v>
      </c>
    </row>
    <row r="827" spans="1:7" x14ac:dyDescent="0.25">
      <c r="A827" s="22" t="s">
        <v>1446</v>
      </c>
      <c r="B827" s="6">
        <v>11061333.880199997</v>
      </c>
      <c r="C827" s="6">
        <v>3565138.6702000014</v>
      </c>
      <c r="E827" s="22" t="s">
        <v>1446</v>
      </c>
      <c r="F827" s="26">
        <v>11061333.880199997</v>
      </c>
      <c r="G827" s="26">
        <v>3565138.6702000014</v>
      </c>
    </row>
    <row r="828" spans="1:7" x14ac:dyDescent="0.25">
      <c r="B828"/>
    </row>
    <row r="829" spans="1:7" x14ac:dyDescent="0.25">
      <c r="B829"/>
    </row>
    <row r="830" spans="1:7" x14ac:dyDescent="0.25">
      <c r="B830"/>
    </row>
    <row r="831" spans="1:7" x14ac:dyDescent="0.25">
      <c r="B831"/>
    </row>
    <row r="832" spans="1:7"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row r="1117" spans="2:2" x14ac:dyDescent="0.25">
      <c r="B1117"/>
    </row>
    <row r="1118" spans="2:2" x14ac:dyDescent="0.25">
      <c r="B1118"/>
    </row>
    <row r="1119" spans="2:2" x14ac:dyDescent="0.25">
      <c r="B1119"/>
    </row>
    <row r="1120" spans="2:2" x14ac:dyDescent="0.25">
      <c r="B1120"/>
    </row>
    <row r="1121" spans="2:2" x14ac:dyDescent="0.25">
      <c r="B1121"/>
    </row>
    <row r="1122" spans="2:2" x14ac:dyDescent="0.25">
      <c r="B1122"/>
    </row>
    <row r="1123" spans="2:2" x14ac:dyDescent="0.25">
      <c r="B1123"/>
    </row>
    <row r="1124" spans="2:2" x14ac:dyDescent="0.25">
      <c r="B1124"/>
    </row>
    <row r="1125" spans="2:2" x14ac:dyDescent="0.25">
      <c r="B1125"/>
    </row>
    <row r="1126" spans="2:2" x14ac:dyDescent="0.25">
      <c r="B1126"/>
    </row>
    <row r="1127" spans="2:2" x14ac:dyDescent="0.25">
      <c r="B1127"/>
    </row>
    <row r="1128" spans="2:2" x14ac:dyDescent="0.25">
      <c r="B1128"/>
    </row>
    <row r="1129" spans="2:2" x14ac:dyDescent="0.25">
      <c r="B1129"/>
    </row>
    <row r="1130" spans="2:2" x14ac:dyDescent="0.25">
      <c r="B1130"/>
    </row>
    <row r="1131" spans="2:2" x14ac:dyDescent="0.25">
      <c r="B1131"/>
    </row>
    <row r="1132" spans="2:2" x14ac:dyDescent="0.25">
      <c r="B1132"/>
    </row>
    <row r="1133" spans="2:2" x14ac:dyDescent="0.25">
      <c r="B1133"/>
    </row>
    <row r="1134" spans="2:2" x14ac:dyDescent="0.25">
      <c r="B1134"/>
    </row>
    <row r="1135" spans="2:2" x14ac:dyDescent="0.25">
      <c r="B1135"/>
    </row>
    <row r="1136" spans="2:2" x14ac:dyDescent="0.25">
      <c r="B1136"/>
    </row>
    <row r="1137" spans="2:2" x14ac:dyDescent="0.25">
      <c r="B1137"/>
    </row>
    <row r="1138" spans="2:2" x14ac:dyDescent="0.25">
      <c r="B1138"/>
    </row>
    <row r="1139" spans="2:2" x14ac:dyDescent="0.25">
      <c r="B1139"/>
    </row>
    <row r="1140" spans="2:2" x14ac:dyDescent="0.25">
      <c r="B1140"/>
    </row>
    <row r="1141" spans="2:2" x14ac:dyDescent="0.25">
      <c r="B1141"/>
    </row>
    <row r="1142" spans="2:2" x14ac:dyDescent="0.25">
      <c r="B1142"/>
    </row>
    <row r="1143" spans="2:2" x14ac:dyDescent="0.25">
      <c r="B1143"/>
    </row>
    <row r="1144" spans="2:2" x14ac:dyDescent="0.25">
      <c r="B1144"/>
    </row>
    <row r="1145" spans="2:2" x14ac:dyDescent="0.25">
      <c r="B1145"/>
    </row>
    <row r="1146" spans="2:2" x14ac:dyDescent="0.25">
      <c r="B1146"/>
    </row>
    <row r="1147" spans="2:2" x14ac:dyDescent="0.25">
      <c r="B1147"/>
    </row>
    <row r="1148" spans="2:2" x14ac:dyDescent="0.25">
      <c r="B1148"/>
    </row>
    <row r="1149" spans="2:2" x14ac:dyDescent="0.25">
      <c r="B1149"/>
    </row>
    <row r="1150" spans="2:2" x14ac:dyDescent="0.25">
      <c r="B1150"/>
    </row>
    <row r="1151" spans="2:2" x14ac:dyDescent="0.25">
      <c r="B1151"/>
    </row>
    <row r="1152" spans="2:2" x14ac:dyDescent="0.25">
      <c r="B1152"/>
    </row>
    <row r="1153" spans="2:2" x14ac:dyDescent="0.25">
      <c r="B1153"/>
    </row>
    <row r="1154" spans="2:2" x14ac:dyDescent="0.25">
      <c r="B1154"/>
    </row>
    <row r="1155" spans="2:2" x14ac:dyDescent="0.25">
      <c r="B1155"/>
    </row>
    <row r="1156" spans="2:2" x14ac:dyDescent="0.25">
      <c r="B1156"/>
    </row>
    <row r="1157" spans="2:2" x14ac:dyDescent="0.25">
      <c r="B1157"/>
    </row>
    <row r="1158" spans="2:2" x14ac:dyDescent="0.25">
      <c r="B1158"/>
    </row>
    <row r="1159" spans="2:2" x14ac:dyDescent="0.25">
      <c r="B1159"/>
    </row>
    <row r="1160" spans="2:2" x14ac:dyDescent="0.25">
      <c r="B1160"/>
    </row>
    <row r="1161" spans="2:2" x14ac:dyDescent="0.25">
      <c r="B1161"/>
    </row>
    <row r="1162" spans="2:2" x14ac:dyDescent="0.25">
      <c r="B1162"/>
    </row>
    <row r="1163" spans="2:2" x14ac:dyDescent="0.25">
      <c r="B1163"/>
    </row>
    <row r="1164" spans="2:2" x14ac:dyDescent="0.25">
      <c r="B1164"/>
    </row>
    <row r="1165" spans="2:2" x14ac:dyDescent="0.25">
      <c r="B1165"/>
    </row>
    <row r="1166" spans="2:2" x14ac:dyDescent="0.25">
      <c r="B1166"/>
    </row>
    <row r="1167" spans="2:2" x14ac:dyDescent="0.25">
      <c r="B1167"/>
    </row>
    <row r="1168" spans="2:2" x14ac:dyDescent="0.25">
      <c r="B1168"/>
    </row>
    <row r="1169" spans="2:2" x14ac:dyDescent="0.25">
      <c r="B1169"/>
    </row>
    <row r="1170" spans="2:2" x14ac:dyDescent="0.25">
      <c r="B1170"/>
    </row>
    <row r="1171" spans="2:2" x14ac:dyDescent="0.25">
      <c r="B1171"/>
    </row>
    <row r="1172" spans="2:2" x14ac:dyDescent="0.25">
      <c r="B1172"/>
    </row>
    <row r="1173" spans="2:2" x14ac:dyDescent="0.25">
      <c r="B1173"/>
    </row>
    <row r="1174" spans="2:2" x14ac:dyDescent="0.25">
      <c r="B1174"/>
    </row>
    <row r="1175" spans="2:2" x14ac:dyDescent="0.25">
      <c r="B1175"/>
    </row>
    <row r="1176" spans="2:2" x14ac:dyDescent="0.25">
      <c r="B1176"/>
    </row>
    <row r="1177" spans="2:2" x14ac:dyDescent="0.25">
      <c r="B1177"/>
    </row>
    <row r="1178" spans="2:2" x14ac:dyDescent="0.25">
      <c r="B1178"/>
    </row>
    <row r="1179" spans="2:2" x14ac:dyDescent="0.25">
      <c r="B1179"/>
    </row>
    <row r="1180" spans="2:2" x14ac:dyDescent="0.25">
      <c r="B1180"/>
    </row>
    <row r="1181" spans="2:2" x14ac:dyDescent="0.25">
      <c r="B1181"/>
    </row>
    <row r="1182" spans="2:2" x14ac:dyDescent="0.25">
      <c r="B1182"/>
    </row>
    <row r="1183" spans="2:2" x14ac:dyDescent="0.25">
      <c r="B1183"/>
    </row>
    <row r="1184" spans="2:2" x14ac:dyDescent="0.25">
      <c r="B1184"/>
    </row>
    <row r="1185" spans="2:2" x14ac:dyDescent="0.25">
      <c r="B1185"/>
    </row>
    <row r="1186" spans="2:2" x14ac:dyDescent="0.25">
      <c r="B1186"/>
    </row>
    <row r="1187" spans="2:2" x14ac:dyDescent="0.25">
      <c r="B1187"/>
    </row>
    <row r="1188" spans="2:2" x14ac:dyDescent="0.25">
      <c r="B1188"/>
    </row>
    <row r="1189" spans="2:2" x14ac:dyDescent="0.25">
      <c r="B1189"/>
    </row>
    <row r="1190" spans="2:2" x14ac:dyDescent="0.25">
      <c r="B1190"/>
    </row>
    <row r="1191" spans="2:2" x14ac:dyDescent="0.25">
      <c r="B1191"/>
    </row>
    <row r="1192" spans="2:2" x14ac:dyDescent="0.25">
      <c r="B1192"/>
    </row>
    <row r="1193" spans="2:2" x14ac:dyDescent="0.25">
      <c r="B1193"/>
    </row>
    <row r="1194" spans="2:2" x14ac:dyDescent="0.25">
      <c r="B1194"/>
    </row>
    <row r="1195" spans="2:2" x14ac:dyDescent="0.25">
      <c r="B1195"/>
    </row>
    <row r="1196" spans="2:2" x14ac:dyDescent="0.25">
      <c r="B1196"/>
    </row>
    <row r="1197" spans="2:2" x14ac:dyDescent="0.25">
      <c r="B1197"/>
    </row>
    <row r="1198" spans="2:2" x14ac:dyDescent="0.25">
      <c r="B1198"/>
    </row>
    <row r="1199" spans="2:2" x14ac:dyDescent="0.25">
      <c r="B1199"/>
    </row>
    <row r="1200" spans="2:2" x14ac:dyDescent="0.25">
      <c r="B1200"/>
    </row>
    <row r="1201" spans="2:2" x14ac:dyDescent="0.25">
      <c r="B1201"/>
    </row>
    <row r="1202" spans="2:2" x14ac:dyDescent="0.25">
      <c r="B1202"/>
    </row>
    <row r="1203" spans="2:2" x14ac:dyDescent="0.25">
      <c r="B1203"/>
    </row>
    <row r="1204" spans="2:2" x14ac:dyDescent="0.25">
      <c r="B1204"/>
    </row>
    <row r="1205" spans="2:2" x14ac:dyDescent="0.25">
      <c r="B1205"/>
    </row>
    <row r="1206" spans="2:2" x14ac:dyDescent="0.25">
      <c r="B1206"/>
    </row>
    <row r="1207" spans="2:2" x14ac:dyDescent="0.25">
      <c r="B1207"/>
    </row>
    <row r="1208" spans="2:2" x14ac:dyDescent="0.25">
      <c r="B1208"/>
    </row>
    <row r="1209" spans="2:2" x14ac:dyDescent="0.25">
      <c r="B1209"/>
    </row>
    <row r="1210" spans="2:2" x14ac:dyDescent="0.25">
      <c r="B1210"/>
    </row>
    <row r="1211" spans="2:2" x14ac:dyDescent="0.25">
      <c r="B1211"/>
    </row>
    <row r="1212" spans="2:2" x14ac:dyDescent="0.25">
      <c r="B1212"/>
    </row>
    <row r="1213" spans="2:2" x14ac:dyDescent="0.25">
      <c r="B1213"/>
    </row>
    <row r="1214" spans="2:2" x14ac:dyDescent="0.25">
      <c r="B1214"/>
    </row>
    <row r="1215" spans="2:2" x14ac:dyDescent="0.25">
      <c r="B1215"/>
    </row>
    <row r="1216" spans="2:2" x14ac:dyDescent="0.25">
      <c r="B1216"/>
    </row>
    <row r="1217" spans="2:2" x14ac:dyDescent="0.25">
      <c r="B1217"/>
    </row>
    <row r="1218" spans="2:2" x14ac:dyDescent="0.25">
      <c r="B1218"/>
    </row>
    <row r="1219" spans="2:2" x14ac:dyDescent="0.25">
      <c r="B1219"/>
    </row>
    <row r="1220" spans="2:2" x14ac:dyDescent="0.25">
      <c r="B1220"/>
    </row>
    <row r="1221" spans="2:2" x14ac:dyDescent="0.25">
      <c r="B1221"/>
    </row>
    <row r="1222" spans="2:2" x14ac:dyDescent="0.25">
      <c r="B1222"/>
    </row>
    <row r="1223" spans="2:2" x14ac:dyDescent="0.25">
      <c r="B1223"/>
    </row>
    <row r="1224" spans="2:2" x14ac:dyDescent="0.25">
      <c r="B1224"/>
    </row>
    <row r="1225" spans="2:2" x14ac:dyDescent="0.25">
      <c r="B1225"/>
    </row>
    <row r="1226" spans="2:2" x14ac:dyDescent="0.25">
      <c r="B1226"/>
    </row>
    <row r="1227" spans="2:2" x14ac:dyDescent="0.25">
      <c r="B1227"/>
    </row>
    <row r="1228" spans="2:2" x14ac:dyDescent="0.25">
      <c r="B1228"/>
    </row>
    <row r="1229" spans="2:2" x14ac:dyDescent="0.25">
      <c r="B1229"/>
    </row>
    <row r="1230" spans="2:2" x14ac:dyDescent="0.25">
      <c r="B1230"/>
    </row>
    <row r="1231" spans="2:2" x14ac:dyDescent="0.25">
      <c r="B1231"/>
    </row>
    <row r="1232" spans="2:2" x14ac:dyDescent="0.25">
      <c r="B1232"/>
    </row>
    <row r="1233" spans="2:2" x14ac:dyDescent="0.25">
      <c r="B1233"/>
    </row>
    <row r="1234" spans="2:2" x14ac:dyDescent="0.25">
      <c r="B1234"/>
    </row>
    <row r="1235" spans="2:2" x14ac:dyDescent="0.25">
      <c r="B1235"/>
    </row>
    <row r="1236" spans="2:2" x14ac:dyDescent="0.25">
      <c r="B1236"/>
    </row>
    <row r="1237" spans="2:2" x14ac:dyDescent="0.25">
      <c r="B1237"/>
    </row>
    <row r="1238" spans="2:2" x14ac:dyDescent="0.25">
      <c r="B1238"/>
    </row>
    <row r="1239" spans="2:2" x14ac:dyDescent="0.25">
      <c r="B1239"/>
    </row>
    <row r="1240" spans="2:2" x14ac:dyDescent="0.25">
      <c r="B1240"/>
    </row>
    <row r="1241" spans="2:2" x14ac:dyDescent="0.25">
      <c r="B1241"/>
    </row>
    <row r="1242" spans="2:2" x14ac:dyDescent="0.25">
      <c r="B1242"/>
    </row>
    <row r="1243" spans="2:2" x14ac:dyDescent="0.25">
      <c r="B1243"/>
    </row>
    <row r="1244" spans="2:2" x14ac:dyDescent="0.25">
      <c r="B1244"/>
    </row>
    <row r="1245" spans="2:2" x14ac:dyDescent="0.25">
      <c r="B1245"/>
    </row>
    <row r="1246" spans="2:2" x14ac:dyDescent="0.25">
      <c r="B1246"/>
    </row>
    <row r="1247" spans="2:2" x14ac:dyDescent="0.25">
      <c r="B1247"/>
    </row>
    <row r="1248" spans="2:2" x14ac:dyDescent="0.25">
      <c r="B1248"/>
    </row>
    <row r="1249" spans="2:2" x14ac:dyDescent="0.25">
      <c r="B1249"/>
    </row>
    <row r="1250" spans="2:2" x14ac:dyDescent="0.25">
      <c r="B1250"/>
    </row>
    <row r="1251" spans="2:2" x14ac:dyDescent="0.25">
      <c r="B1251"/>
    </row>
    <row r="1252" spans="2:2" x14ac:dyDescent="0.25">
      <c r="B1252"/>
    </row>
    <row r="1253" spans="2:2" x14ac:dyDescent="0.25">
      <c r="B1253"/>
    </row>
    <row r="1254" spans="2:2" x14ac:dyDescent="0.25">
      <c r="B1254"/>
    </row>
    <row r="1255" spans="2:2" x14ac:dyDescent="0.25">
      <c r="B1255"/>
    </row>
    <row r="1256" spans="2:2" x14ac:dyDescent="0.25">
      <c r="B1256"/>
    </row>
    <row r="1257" spans="2:2" x14ac:dyDescent="0.25">
      <c r="B1257"/>
    </row>
    <row r="1258" spans="2:2" x14ac:dyDescent="0.25">
      <c r="B1258"/>
    </row>
    <row r="1259" spans="2:2" x14ac:dyDescent="0.25">
      <c r="B1259"/>
    </row>
    <row r="1260" spans="2:2" x14ac:dyDescent="0.25">
      <c r="B1260"/>
    </row>
    <row r="1261" spans="2:2" x14ac:dyDescent="0.25">
      <c r="B1261"/>
    </row>
    <row r="1262" spans="2:2" x14ac:dyDescent="0.25">
      <c r="B1262"/>
    </row>
    <row r="1263" spans="2:2" x14ac:dyDescent="0.25">
      <c r="B1263"/>
    </row>
    <row r="1264" spans="2:2" x14ac:dyDescent="0.25">
      <c r="B1264"/>
    </row>
    <row r="1265" spans="2:2" x14ac:dyDescent="0.25">
      <c r="B1265"/>
    </row>
    <row r="1266" spans="2:2" x14ac:dyDescent="0.25">
      <c r="B1266"/>
    </row>
  </sheetData>
  <mergeCells count="2">
    <mergeCell ref="A1:C1"/>
    <mergeCell ref="E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2E9A3-E407-482C-82F5-621C9DA4052C}">
  <dimension ref="A3:Q21"/>
  <sheetViews>
    <sheetView workbookViewId="0">
      <selection activeCell="C4" sqref="C4"/>
    </sheetView>
  </sheetViews>
  <sheetFormatPr defaultRowHeight="15" x14ac:dyDescent="0.25"/>
  <cols>
    <col min="1" max="1" width="20.7109375" bestFit="1" customWidth="1"/>
    <col min="2" max="2" width="16.28515625" bestFit="1" customWidth="1"/>
    <col min="3" max="3" width="10.5703125" bestFit="1" customWidth="1"/>
    <col min="4" max="4" width="12.140625" bestFit="1" customWidth="1"/>
    <col min="5" max="6" width="7.140625" bestFit="1" customWidth="1"/>
    <col min="7" max="7" width="9.5703125" bestFit="1" customWidth="1"/>
    <col min="8" max="8" width="11.28515625" bestFit="1" customWidth="1"/>
    <col min="10" max="10" width="37.28515625" customWidth="1"/>
  </cols>
  <sheetData>
    <row r="3" spans="1:17" x14ac:dyDescent="0.25">
      <c r="A3" s="21" t="s">
        <v>1448</v>
      </c>
      <c r="B3" s="21" t="s">
        <v>1464</v>
      </c>
      <c r="K3" t="s">
        <v>1481</v>
      </c>
      <c r="L3" t="s">
        <v>3</v>
      </c>
      <c r="M3" t="s">
        <v>708</v>
      </c>
      <c r="N3" t="s">
        <v>707</v>
      </c>
    </row>
    <row r="4" spans="1:17" x14ac:dyDescent="0.25">
      <c r="A4" s="21" t="s">
        <v>1445</v>
      </c>
      <c r="B4" t="s">
        <v>711</v>
      </c>
      <c r="C4" t="s">
        <v>710</v>
      </c>
      <c r="D4" t="s">
        <v>709</v>
      </c>
      <c r="E4" t="s">
        <v>708</v>
      </c>
      <c r="F4" t="s">
        <v>707</v>
      </c>
      <c r="G4" t="s">
        <v>1422</v>
      </c>
      <c r="H4" t="s">
        <v>1446</v>
      </c>
      <c r="K4">
        <v>2023</v>
      </c>
      <c r="L4" t="s">
        <v>646</v>
      </c>
      <c r="M4" s="36">
        <v>5.2499999999999998E-2</v>
      </c>
      <c r="N4" s="36">
        <v>0.37269999999999998</v>
      </c>
    </row>
    <row r="5" spans="1:17" ht="75" x14ac:dyDescent="0.25">
      <c r="A5" s="22" t="s">
        <v>646</v>
      </c>
      <c r="B5" s="27">
        <v>0.17831508243356528</v>
      </c>
      <c r="C5" s="27">
        <v>0.24373437521438066</v>
      </c>
      <c r="D5" s="27">
        <v>0.19998535183194963</v>
      </c>
      <c r="E5" s="27">
        <v>0.1643226494456258</v>
      </c>
      <c r="F5" s="27">
        <v>0.20123817311471667</v>
      </c>
      <c r="G5" s="27">
        <v>1.2404367959761927E-2</v>
      </c>
      <c r="H5" s="27">
        <v>1</v>
      </c>
      <c r="J5" s="38" t="s">
        <v>1482</v>
      </c>
      <c r="K5">
        <v>2024</v>
      </c>
      <c r="M5" s="36">
        <v>0.21629999999999999</v>
      </c>
      <c r="N5" s="36">
        <v>0.1139</v>
      </c>
      <c r="P5" s="27"/>
      <c r="Q5" s="27"/>
    </row>
    <row r="6" spans="1:17" ht="75" x14ac:dyDescent="0.25">
      <c r="A6" s="23" t="s">
        <v>1449</v>
      </c>
      <c r="B6" s="27">
        <v>0.10945264204966441</v>
      </c>
      <c r="C6" s="27">
        <v>0.20998031749186205</v>
      </c>
      <c r="D6" s="27">
        <v>0.2552004382139258</v>
      </c>
      <c r="E6" s="36">
        <v>5.2630599455616704E-2</v>
      </c>
      <c r="F6" s="36">
        <v>0.37273600278893099</v>
      </c>
      <c r="G6" s="27">
        <v>0</v>
      </c>
      <c r="H6" s="27">
        <v>1</v>
      </c>
      <c r="J6" s="34" t="s">
        <v>1483</v>
      </c>
      <c r="K6">
        <v>2025</v>
      </c>
      <c r="M6" s="36">
        <v>0.2303</v>
      </c>
      <c r="N6" s="36">
        <v>0.11070000000000001</v>
      </c>
    </row>
    <row r="7" spans="1:17" ht="60" x14ac:dyDescent="0.25">
      <c r="A7" s="23" t="s">
        <v>1450</v>
      </c>
      <c r="B7" s="27">
        <v>0.27126485318940902</v>
      </c>
      <c r="C7" s="27">
        <v>0.29738312933214245</v>
      </c>
      <c r="D7" s="27">
        <v>0.10108686235692689</v>
      </c>
      <c r="E7" s="36">
        <v>0.21634739154731109</v>
      </c>
      <c r="F7" s="36">
        <v>0.1139177635742105</v>
      </c>
      <c r="G7" s="27">
        <v>0</v>
      </c>
      <c r="H7" s="27">
        <v>1</v>
      </c>
      <c r="J7" s="38" t="s">
        <v>1484</v>
      </c>
      <c r="M7" s="37"/>
      <c r="N7" s="37"/>
    </row>
    <row r="8" spans="1:17" ht="45" x14ac:dyDescent="0.25">
      <c r="A8" s="23" t="s">
        <v>1451</v>
      </c>
      <c r="B8" s="27">
        <v>0.13127779807112067</v>
      </c>
      <c r="C8" s="27">
        <v>0.20902590632161466</v>
      </c>
      <c r="D8" s="27">
        <v>0.27281059953247278</v>
      </c>
      <c r="E8" s="36">
        <v>0.23028072076645345</v>
      </c>
      <c r="F8" s="36">
        <v>0.11068003348849628</v>
      </c>
      <c r="G8" s="27">
        <v>4.5924941819842122E-2</v>
      </c>
      <c r="H8" s="27">
        <v>1</v>
      </c>
      <c r="J8" s="34" t="s">
        <v>1485</v>
      </c>
      <c r="K8">
        <v>2023</v>
      </c>
      <c r="L8" t="s">
        <v>647</v>
      </c>
      <c r="M8" s="36">
        <v>7.9199999999999993E-2</v>
      </c>
      <c r="N8" s="36">
        <v>0.32150000000000001</v>
      </c>
    </row>
    <row r="9" spans="1:17" x14ac:dyDescent="0.25">
      <c r="A9" s="22" t="s">
        <v>648</v>
      </c>
      <c r="B9" s="27">
        <v>0.27941837362941407</v>
      </c>
      <c r="C9" s="27">
        <v>0.21203962419171923</v>
      </c>
      <c r="D9" s="27">
        <v>0.13615353426184493</v>
      </c>
      <c r="E9" s="27">
        <v>0.25640147707697719</v>
      </c>
      <c r="F9" s="27">
        <v>0.1125472010504885</v>
      </c>
      <c r="G9" s="27">
        <v>3.4397897895560767E-3</v>
      </c>
      <c r="H9" s="27">
        <v>1</v>
      </c>
      <c r="J9" s="38"/>
      <c r="K9">
        <v>2024</v>
      </c>
      <c r="M9" s="36">
        <v>0.2205</v>
      </c>
      <c r="N9" s="36">
        <v>0.18899999999999997</v>
      </c>
      <c r="P9" s="27"/>
      <c r="Q9" s="27"/>
    </row>
    <row r="10" spans="1:17" x14ac:dyDescent="0.25">
      <c r="A10" s="23" t="s">
        <v>1449</v>
      </c>
      <c r="B10" s="27">
        <v>0.28983717490129995</v>
      </c>
      <c r="C10" s="27">
        <v>0.14463833432493142</v>
      </c>
      <c r="D10" s="27">
        <v>0.16281887674309622</v>
      </c>
      <c r="E10" s="36">
        <v>0.22311550068044989</v>
      </c>
      <c r="F10" s="36">
        <v>0.17959011335022251</v>
      </c>
      <c r="G10" s="27">
        <v>0</v>
      </c>
      <c r="H10" s="27">
        <v>1</v>
      </c>
      <c r="J10" s="34"/>
      <c r="K10">
        <v>2025</v>
      </c>
      <c r="M10" s="36">
        <v>0.11199999999999999</v>
      </c>
      <c r="N10" s="36">
        <v>0.188</v>
      </c>
    </row>
    <row r="11" spans="1:17" x14ac:dyDescent="0.25">
      <c r="A11" s="23" t="s">
        <v>1450</v>
      </c>
      <c r="B11" s="27">
        <v>0.32815949578979897</v>
      </c>
      <c r="C11" s="27">
        <v>0.2406549523693417</v>
      </c>
      <c r="D11" s="27">
        <v>0.12420559689865052</v>
      </c>
      <c r="E11" s="36">
        <v>0.21021753384569442</v>
      </c>
      <c r="F11" s="36">
        <v>8.8024369809627565E-2</v>
      </c>
      <c r="G11" s="27">
        <v>8.7380512868868842E-3</v>
      </c>
      <c r="H11" s="27">
        <v>1</v>
      </c>
      <c r="J11" s="38"/>
      <c r="M11" s="37"/>
      <c r="N11" s="37"/>
    </row>
    <row r="12" spans="1:17" x14ac:dyDescent="0.25">
      <c r="A12" s="23" t="s">
        <v>1451</v>
      </c>
      <c r="B12" s="27">
        <v>0.19407712822194609</v>
      </c>
      <c r="C12" s="27">
        <v>0.25578894339898972</v>
      </c>
      <c r="D12" s="27">
        <v>0.11977230450411169</v>
      </c>
      <c r="E12" s="36">
        <v>0.36715506722909125</v>
      </c>
      <c r="F12" s="36">
        <v>6.3206556645861153E-2</v>
      </c>
      <c r="G12" s="27">
        <v>0</v>
      </c>
      <c r="H12" s="27">
        <v>1</v>
      </c>
      <c r="K12">
        <v>2023</v>
      </c>
      <c r="L12" t="s">
        <v>648</v>
      </c>
      <c r="M12" s="36">
        <v>0.22309999999999999</v>
      </c>
      <c r="N12" s="36">
        <v>0.17960000000000001</v>
      </c>
    </row>
    <row r="13" spans="1:17" x14ac:dyDescent="0.25">
      <c r="A13" s="22" t="s">
        <v>647</v>
      </c>
      <c r="B13" s="27">
        <v>0.22739080224756694</v>
      </c>
      <c r="C13" s="27">
        <v>0.17926208472115773</v>
      </c>
      <c r="D13" s="27">
        <v>0.19872352285419603</v>
      </c>
      <c r="E13" s="27">
        <v>0.14556554199411798</v>
      </c>
      <c r="F13" s="27">
        <v>0.23449683329882856</v>
      </c>
      <c r="G13" s="27">
        <v>1.456121488413265E-2</v>
      </c>
      <c r="H13" s="27">
        <v>1</v>
      </c>
      <c r="K13">
        <v>2024</v>
      </c>
      <c r="M13" s="36">
        <v>0.2102</v>
      </c>
      <c r="N13" s="36">
        <v>8.8000000000000009E-2</v>
      </c>
      <c r="P13" s="27"/>
      <c r="Q13" s="27"/>
    </row>
    <row r="14" spans="1:17" x14ac:dyDescent="0.25">
      <c r="A14" s="23" t="s">
        <v>1449</v>
      </c>
      <c r="B14" s="27">
        <v>0.16388709139311641</v>
      </c>
      <c r="C14" s="27">
        <v>0.11583685792878474</v>
      </c>
      <c r="D14" s="27">
        <v>0.27707521173141247</v>
      </c>
      <c r="E14" s="36">
        <v>7.9499884989806036E-2</v>
      </c>
      <c r="F14" s="36">
        <v>0.32149427109255974</v>
      </c>
      <c r="G14" s="27">
        <v>4.2206682864320583E-2</v>
      </c>
      <c r="H14" s="27">
        <v>1</v>
      </c>
      <c r="K14">
        <v>2025</v>
      </c>
      <c r="M14" s="36">
        <v>0.36719999999999997</v>
      </c>
      <c r="N14" s="36">
        <v>6.3200000000000006E-2</v>
      </c>
    </row>
    <row r="15" spans="1:17" x14ac:dyDescent="0.25">
      <c r="A15" s="23" t="s">
        <v>1450</v>
      </c>
      <c r="B15" s="27">
        <v>0.20412982618414199</v>
      </c>
      <c r="C15" s="27">
        <v>0.21947167159755795</v>
      </c>
      <c r="D15" s="27">
        <v>0.1668056934342057</v>
      </c>
      <c r="E15" s="36">
        <v>0.22054486306333676</v>
      </c>
      <c r="F15" s="36">
        <v>0.18904794572075748</v>
      </c>
      <c r="G15" s="27">
        <v>0</v>
      </c>
      <c r="H15" s="27">
        <v>1</v>
      </c>
      <c r="M15" s="37"/>
      <c r="N15" s="37"/>
    </row>
    <row r="16" spans="1:17" x14ac:dyDescent="0.25">
      <c r="A16" s="23" t="s">
        <v>1451</v>
      </c>
      <c r="B16" s="27">
        <v>0.35732010560592137</v>
      </c>
      <c r="C16" s="27">
        <v>0.20109525976379383</v>
      </c>
      <c r="D16" s="27">
        <v>0.14154557554137781</v>
      </c>
      <c r="E16" s="36">
        <v>0.11200074829092022</v>
      </c>
      <c r="F16" s="36">
        <v>0.1880383107979868</v>
      </c>
      <c r="G16" s="27">
        <v>0</v>
      </c>
      <c r="H16" s="27">
        <v>1</v>
      </c>
      <c r="K16">
        <v>2023</v>
      </c>
      <c r="L16" t="s">
        <v>649</v>
      </c>
      <c r="M16" s="36">
        <v>9.6999999999999989E-2</v>
      </c>
      <c r="N16" s="36">
        <v>0.12859999999999999</v>
      </c>
    </row>
    <row r="17" spans="1:17" x14ac:dyDescent="0.25">
      <c r="A17" s="22" t="s">
        <v>649</v>
      </c>
      <c r="B17" s="27">
        <v>0.29144670620444335</v>
      </c>
      <c r="C17" s="27">
        <v>0.11024585803667837</v>
      </c>
      <c r="D17" s="27">
        <v>0.21820143523320248</v>
      </c>
      <c r="E17" s="27">
        <v>0.20248271404340326</v>
      </c>
      <c r="F17" s="27">
        <v>0.17137992909200922</v>
      </c>
      <c r="G17" s="27">
        <v>6.2433573902633717E-3</v>
      </c>
      <c r="H17" s="27">
        <v>1</v>
      </c>
      <c r="K17">
        <v>2024</v>
      </c>
      <c r="M17" s="36">
        <v>0.24559999999999998</v>
      </c>
      <c r="N17" s="36">
        <v>0.22820000000000001</v>
      </c>
      <c r="P17" s="27"/>
      <c r="Q17" s="27"/>
    </row>
    <row r="18" spans="1:17" x14ac:dyDescent="0.25">
      <c r="A18" s="23" t="s">
        <v>1449</v>
      </c>
      <c r="B18" s="27">
        <v>0.47438913427027213</v>
      </c>
      <c r="C18" s="27">
        <v>0.14481623862707504</v>
      </c>
      <c r="D18" s="27">
        <v>0.15516650912312333</v>
      </c>
      <c r="E18" s="36">
        <v>9.7020802347422108E-2</v>
      </c>
      <c r="F18" s="36">
        <v>0.12860731563210745</v>
      </c>
      <c r="G18" s="27">
        <v>0</v>
      </c>
      <c r="H18" s="27">
        <v>1</v>
      </c>
      <c r="K18">
        <v>2025</v>
      </c>
      <c r="M18" s="36">
        <v>0.26129999999999998</v>
      </c>
      <c r="N18" s="36">
        <v>0.12710000000000002</v>
      </c>
    </row>
    <row r="19" spans="1:17" x14ac:dyDescent="0.25">
      <c r="A19" s="23" t="s">
        <v>1450</v>
      </c>
      <c r="B19" s="27">
        <v>0.21421113784086157</v>
      </c>
      <c r="C19" s="27">
        <v>0.11782100590537045</v>
      </c>
      <c r="D19" s="27">
        <v>0.18361569600899869</v>
      </c>
      <c r="E19" s="36">
        <v>0.2456449164532673</v>
      </c>
      <c r="F19" s="36">
        <v>0.22815673609660611</v>
      </c>
      <c r="G19" s="27">
        <v>1.0550507694895997E-2</v>
      </c>
      <c r="H19" s="27">
        <v>1</v>
      </c>
    </row>
    <row r="20" spans="1:17" x14ac:dyDescent="0.25">
      <c r="A20" s="23" t="s">
        <v>1451</v>
      </c>
      <c r="B20" s="27">
        <v>0.19355657303918253</v>
      </c>
      <c r="C20" s="27">
        <v>5.3310144293548328E-2</v>
      </c>
      <c r="D20" s="27">
        <v>0.35803257174703251</v>
      </c>
      <c r="E20" s="36">
        <v>0.26127580912586285</v>
      </c>
      <c r="F20" s="36">
        <v>0.12713840809503638</v>
      </c>
      <c r="G20" s="27">
        <v>6.6864936993373206E-3</v>
      </c>
      <c r="H20" s="27">
        <v>1</v>
      </c>
    </row>
    <row r="21" spans="1:17" x14ac:dyDescent="0.25">
      <c r="A21" s="22" t="s">
        <v>1446</v>
      </c>
      <c r="B21" s="27">
        <v>0.24508823244751218</v>
      </c>
      <c r="C21" s="27">
        <v>0.18457004081890038</v>
      </c>
      <c r="D21" s="27">
        <v>0.18889394977942942</v>
      </c>
      <c r="E21" s="27">
        <v>0.19187794583248075</v>
      </c>
      <c r="F21" s="27">
        <v>0.18040250037492941</v>
      </c>
      <c r="G21" s="27">
        <v>9.1673307467477448E-3</v>
      </c>
      <c r="H21" s="27">
        <v>1</v>
      </c>
    </row>
  </sheetData>
  <conditionalFormatting sqref="M4">
    <cfRule type="cellIs" dxfId="1025" priority="5" operator="greaterThan">
      <formula>0.2</formula>
    </cfRule>
  </conditionalFormatting>
  <conditionalFormatting sqref="N4 N16:N18">
    <cfRule type="cellIs" dxfId="1024" priority="4" operator="lessThan">
      <formula>0.12</formula>
    </cfRule>
  </conditionalFormatting>
  <conditionalFormatting pivot="1" sqref="E14">
    <cfRule type="cellIs" dxfId="1023" priority="2" operator="greaterThan">
      <formula>0.2</formula>
    </cfRule>
  </conditionalFormatting>
  <conditionalFormatting pivot="1" sqref="E14">
    <cfRule type="cellIs" dxfId="1022" priority="1" operator="greaterThan">
      <formula>0.2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D7C7-BD67-4D3E-AF08-A998027DD533}">
  <dimension ref="A3:D101"/>
  <sheetViews>
    <sheetView workbookViewId="0">
      <selection activeCell="C3" sqref="C3"/>
    </sheetView>
  </sheetViews>
  <sheetFormatPr defaultRowHeight="15" x14ac:dyDescent="0.25"/>
  <cols>
    <col min="1" max="1" width="23" bestFit="1" customWidth="1"/>
    <col min="2" max="2" width="20.42578125" bestFit="1" customWidth="1"/>
    <col min="3" max="3" width="12.7109375" bestFit="1" customWidth="1"/>
    <col min="4" max="4" width="11.28515625" bestFit="1" customWidth="1"/>
    <col min="5" max="5" width="9.140625" bestFit="1" customWidth="1"/>
    <col min="6" max="6" width="11.42578125" bestFit="1" customWidth="1"/>
    <col min="7" max="8" width="8.140625" bestFit="1" customWidth="1"/>
    <col min="9" max="9" width="11.28515625" bestFit="1" customWidth="1"/>
    <col min="10" max="10" width="25.140625" bestFit="1" customWidth="1"/>
    <col min="11" max="11" width="16.140625" bestFit="1" customWidth="1"/>
    <col min="12" max="12" width="25.140625" bestFit="1" customWidth="1"/>
    <col min="13" max="13" width="16.140625" bestFit="1" customWidth="1"/>
    <col min="14" max="14" width="25.140625" bestFit="1" customWidth="1"/>
    <col min="15" max="15" width="16.140625" bestFit="1" customWidth="1"/>
    <col min="16" max="16" width="30.28515625" bestFit="1" customWidth="1"/>
    <col min="17" max="17" width="21.140625" bestFit="1" customWidth="1"/>
    <col min="18" max="18" width="25.140625" bestFit="1" customWidth="1"/>
    <col min="19" max="19" width="24.28515625" bestFit="1" customWidth="1"/>
    <col min="20" max="20" width="16.140625" bestFit="1" customWidth="1"/>
    <col min="21" max="21" width="25.140625" bestFit="1" customWidth="1"/>
    <col min="22" max="22" width="24.28515625" bestFit="1" customWidth="1"/>
    <col min="23" max="23" width="21.140625" bestFit="1" customWidth="1"/>
    <col min="24" max="24" width="30.28515625" bestFit="1" customWidth="1"/>
    <col min="25" max="25" width="29.28515625" bestFit="1" customWidth="1"/>
    <col min="26" max="26" width="6.140625" bestFit="1" customWidth="1"/>
    <col min="27" max="27" width="17.42578125" bestFit="1" customWidth="1"/>
    <col min="28" max="28" width="9.7109375" bestFit="1" customWidth="1"/>
    <col min="29" max="29" width="7.42578125" bestFit="1" customWidth="1"/>
    <col min="30" max="30" width="6.140625" bestFit="1" customWidth="1"/>
    <col min="31" max="31" width="6.85546875" bestFit="1" customWidth="1"/>
    <col min="32" max="32" width="9.140625" bestFit="1" customWidth="1"/>
    <col min="33" max="34" width="6.140625" bestFit="1" customWidth="1"/>
    <col min="35" max="35" width="6.42578125" bestFit="1" customWidth="1"/>
    <col min="36" max="36" width="7.42578125" bestFit="1" customWidth="1"/>
    <col min="37" max="37" width="11.7109375" bestFit="1" customWidth="1"/>
    <col min="38" max="38" width="15.5703125" bestFit="1" customWidth="1"/>
    <col min="39" max="39" width="6.140625" bestFit="1" customWidth="1"/>
    <col min="40" max="40" width="12.7109375" bestFit="1" customWidth="1"/>
    <col min="41" max="41" width="11" bestFit="1" customWidth="1"/>
    <col min="42" max="42" width="7.42578125" bestFit="1" customWidth="1"/>
    <col min="43" max="43" width="6.140625" bestFit="1" customWidth="1"/>
    <col min="44" max="44" width="6.85546875" bestFit="1" customWidth="1"/>
    <col min="45" max="45" width="9.140625" bestFit="1" customWidth="1"/>
    <col min="46" max="47" width="6.140625" bestFit="1" customWidth="1"/>
    <col min="48" max="48" width="6.42578125" bestFit="1" customWidth="1"/>
    <col min="49" max="49" width="7.42578125" bestFit="1" customWidth="1"/>
    <col min="50" max="50" width="11.7109375" bestFit="1" customWidth="1"/>
    <col min="51" max="51" width="15.5703125" bestFit="1" customWidth="1"/>
    <col min="52" max="52" width="6.140625" bestFit="1" customWidth="1"/>
    <col min="53" max="53" width="14.140625" bestFit="1" customWidth="1"/>
    <col min="54" max="54" width="13.28515625" bestFit="1" customWidth="1"/>
    <col min="55" max="55" width="7.42578125" bestFit="1" customWidth="1"/>
    <col min="56" max="56" width="6.140625" bestFit="1" customWidth="1"/>
    <col min="57" max="57" width="6.85546875" bestFit="1" customWidth="1"/>
    <col min="58" max="58" width="9.140625" bestFit="1" customWidth="1"/>
    <col min="59" max="60" width="6.140625" bestFit="1" customWidth="1"/>
    <col min="61" max="61" width="6.42578125" bestFit="1" customWidth="1"/>
    <col min="62" max="62" width="7.42578125" bestFit="1" customWidth="1"/>
    <col min="63" max="63" width="11.7109375" bestFit="1" customWidth="1"/>
    <col min="64" max="64" width="15.5703125" bestFit="1" customWidth="1"/>
    <col min="65" max="65" width="6.140625" bestFit="1" customWidth="1"/>
    <col min="66" max="66" width="16.42578125" bestFit="1" customWidth="1"/>
    <col min="67" max="67" width="9.42578125" bestFit="1" customWidth="1"/>
    <col min="68" max="68" width="7.42578125" bestFit="1" customWidth="1"/>
    <col min="69" max="69" width="6.140625" bestFit="1" customWidth="1"/>
    <col min="70" max="70" width="6.85546875" bestFit="1" customWidth="1"/>
    <col min="71" max="71" width="9.140625" bestFit="1" customWidth="1"/>
    <col min="72" max="73" width="6.140625" bestFit="1" customWidth="1"/>
    <col min="74" max="74" width="6.42578125" bestFit="1" customWidth="1"/>
    <col min="75" max="75" width="7.42578125" bestFit="1" customWidth="1"/>
    <col min="76" max="76" width="11.7109375" bestFit="1" customWidth="1"/>
    <col min="77" max="77" width="15.5703125" bestFit="1" customWidth="1"/>
    <col min="78" max="78" width="6.140625" bestFit="1" customWidth="1"/>
    <col min="79" max="79" width="12.42578125" bestFit="1" customWidth="1"/>
    <col min="80" max="80" width="9.85546875" bestFit="1" customWidth="1"/>
    <col min="81" max="81" width="7.42578125" bestFit="1" customWidth="1"/>
    <col min="82" max="82" width="6.140625" bestFit="1" customWidth="1"/>
    <col min="83" max="83" width="6.85546875" bestFit="1" customWidth="1"/>
    <col min="84" max="84" width="9.140625" bestFit="1" customWidth="1"/>
    <col min="85" max="86" width="6.140625" bestFit="1" customWidth="1"/>
    <col min="87" max="87" width="6.42578125" bestFit="1" customWidth="1"/>
    <col min="88" max="88" width="7.42578125" bestFit="1" customWidth="1"/>
    <col min="89" max="89" width="11.7109375" bestFit="1" customWidth="1"/>
    <col min="90" max="90" width="15.5703125" bestFit="1" customWidth="1"/>
    <col min="91" max="91" width="6.140625" bestFit="1" customWidth="1"/>
    <col min="92" max="92" width="12.85546875" bestFit="1" customWidth="1"/>
    <col min="93" max="93" width="11.28515625" bestFit="1" customWidth="1"/>
    <col min="94" max="94" width="8.140625" bestFit="1" customWidth="1"/>
    <col min="95" max="95" width="17.85546875" bestFit="1" customWidth="1"/>
    <col min="96" max="96" width="10.28515625" bestFit="1" customWidth="1"/>
    <col min="97" max="97" width="21.85546875" bestFit="1" customWidth="1"/>
    <col min="98" max="98" width="12.28515625" bestFit="1" customWidth="1"/>
    <col min="99" max="99" width="8.140625" bestFit="1" customWidth="1"/>
    <col min="101" max="101" width="11.42578125" bestFit="1" customWidth="1"/>
    <col min="102" max="103" width="8.140625" bestFit="1" customWidth="1"/>
    <col min="104" max="104" width="25" bestFit="1" customWidth="1"/>
    <col min="105" max="105" width="14.5703125" bestFit="1" customWidth="1"/>
    <col min="106" max="106" width="12.28515625" bestFit="1" customWidth="1"/>
    <col min="107" max="107" width="8.140625" bestFit="1" customWidth="1"/>
    <col min="109" max="110" width="8.140625" bestFit="1" customWidth="1"/>
    <col min="111" max="111" width="17.85546875" bestFit="1" customWidth="1"/>
    <col min="112" max="112" width="10.85546875" bestFit="1" customWidth="1"/>
    <col min="113" max="113" width="21.85546875" bestFit="1" customWidth="1"/>
    <col min="114" max="114" width="12.28515625" bestFit="1" customWidth="1"/>
    <col min="115" max="115" width="8.140625" bestFit="1" customWidth="1"/>
    <col min="117" max="117" width="11.42578125" bestFit="1" customWidth="1"/>
    <col min="118" max="119" width="8.140625" bestFit="1" customWidth="1"/>
    <col min="120" max="120" width="25" bestFit="1" customWidth="1"/>
    <col min="121" max="121" width="14.5703125" bestFit="1" customWidth="1"/>
    <col min="122" max="122" width="12.28515625" bestFit="1" customWidth="1"/>
    <col min="123" max="123" width="8.140625" bestFit="1" customWidth="1"/>
    <col min="124" max="124" width="11.42578125" bestFit="1" customWidth="1"/>
    <col min="125" max="126" width="8.140625" bestFit="1" customWidth="1"/>
    <col min="127" max="127" width="17.85546875" bestFit="1" customWidth="1"/>
    <col min="128" max="128" width="11.28515625" bestFit="1" customWidth="1"/>
    <col min="129" max="129" width="21.85546875" bestFit="1" customWidth="1"/>
    <col min="130" max="130" width="12.28515625" bestFit="1" customWidth="1"/>
    <col min="131" max="131" width="8.140625" bestFit="1" customWidth="1"/>
    <col min="133" max="133" width="11.42578125" bestFit="1" customWidth="1"/>
    <col min="134" max="135" width="8.140625" bestFit="1" customWidth="1"/>
    <col min="136" max="136" width="25" bestFit="1" customWidth="1"/>
    <col min="137" max="137" width="14.5703125" bestFit="1" customWidth="1"/>
    <col min="138" max="138" width="12.28515625" bestFit="1" customWidth="1"/>
    <col min="139" max="139" width="8.140625" bestFit="1" customWidth="1"/>
    <col min="141" max="141" width="11.42578125" bestFit="1" customWidth="1"/>
    <col min="142" max="143" width="8.140625" bestFit="1" customWidth="1"/>
    <col min="144" max="144" width="17.85546875" bestFit="1" customWidth="1"/>
    <col min="145" max="145" width="12.28515625" bestFit="1" customWidth="1"/>
    <col min="146" max="146" width="21.85546875" bestFit="1" customWidth="1"/>
    <col min="147" max="147" width="12.28515625" bestFit="1" customWidth="1"/>
    <col min="148" max="148" width="8.140625" bestFit="1" customWidth="1"/>
    <col min="150" max="150" width="11.42578125" bestFit="1" customWidth="1"/>
    <col min="151" max="152" width="8.140625" bestFit="1" customWidth="1"/>
    <col min="153" max="153" width="25" bestFit="1" customWidth="1"/>
    <col min="154" max="154" width="14.5703125" bestFit="1" customWidth="1"/>
    <col min="155" max="155" width="12.28515625" bestFit="1" customWidth="1"/>
    <col min="157" max="157" width="11.42578125" bestFit="1" customWidth="1"/>
    <col min="158" max="159" width="8.140625" bestFit="1" customWidth="1"/>
    <col min="160" max="160" width="17.85546875" bestFit="1" customWidth="1"/>
    <col min="161" max="161" width="16.7109375" bestFit="1" customWidth="1"/>
    <col min="162" max="162" width="21.85546875" bestFit="1" customWidth="1"/>
    <col min="163" max="163" width="12.28515625" bestFit="1" customWidth="1"/>
    <col min="164" max="164" width="8.140625" bestFit="1" customWidth="1"/>
    <col min="166" max="166" width="11.42578125" bestFit="1" customWidth="1"/>
    <col min="167" max="168" width="8.140625" bestFit="1" customWidth="1"/>
    <col min="169" max="169" width="25" bestFit="1" customWidth="1"/>
    <col min="170" max="170" width="14.5703125" bestFit="1" customWidth="1"/>
    <col min="171" max="171" width="12.28515625" bestFit="1" customWidth="1"/>
    <col min="172" max="172" width="8.140625" bestFit="1" customWidth="1"/>
    <col min="174" max="174" width="11.42578125" bestFit="1" customWidth="1"/>
    <col min="175" max="175" width="8.140625" bestFit="1" customWidth="1"/>
    <col min="176" max="176" width="17.85546875" bestFit="1" customWidth="1"/>
    <col min="177" max="177" width="20.5703125" bestFit="1" customWidth="1"/>
    <col min="178" max="178" width="21.85546875" bestFit="1" customWidth="1"/>
    <col min="179" max="179" width="12.28515625" bestFit="1" customWidth="1"/>
    <col min="180" max="180" width="8.140625" bestFit="1" customWidth="1"/>
    <col min="182" max="182" width="11.42578125" bestFit="1" customWidth="1"/>
    <col min="183" max="184" width="8.140625" bestFit="1" customWidth="1"/>
    <col min="185" max="185" width="25" bestFit="1" customWidth="1"/>
    <col min="186" max="186" width="14.5703125" bestFit="1" customWidth="1"/>
    <col min="187" max="187" width="12.28515625" bestFit="1" customWidth="1"/>
    <col min="188" max="188" width="8.140625" bestFit="1" customWidth="1"/>
    <col min="189" max="189" width="11.42578125" bestFit="1" customWidth="1"/>
    <col min="190" max="191" width="8.140625" bestFit="1" customWidth="1"/>
    <col min="192" max="192" width="17.85546875" bestFit="1" customWidth="1"/>
    <col min="193" max="193" width="9.5703125" bestFit="1" customWidth="1"/>
    <col min="194" max="194" width="11.28515625" bestFit="1" customWidth="1"/>
  </cols>
  <sheetData>
    <row r="3" spans="1:4" x14ac:dyDescent="0.25">
      <c r="A3" s="21" t="s">
        <v>1489</v>
      </c>
      <c r="B3" s="21" t="s">
        <v>1464</v>
      </c>
    </row>
    <row r="4" spans="1:4" x14ac:dyDescent="0.25">
      <c r="A4" s="21" t="s">
        <v>1445</v>
      </c>
      <c r="B4" t="s">
        <v>1490</v>
      </c>
      <c r="C4" t="s">
        <v>1487</v>
      </c>
      <c r="D4" t="s">
        <v>1446</v>
      </c>
    </row>
    <row r="5" spans="1:4" x14ac:dyDescent="0.25">
      <c r="A5" s="22" t="s">
        <v>655</v>
      </c>
      <c r="B5" s="27">
        <v>0.79032258064516125</v>
      </c>
      <c r="C5" s="27">
        <v>0.20967741935483872</v>
      </c>
      <c r="D5" s="27">
        <v>1</v>
      </c>
    </row>
    <row r="6" spans="1:4" x14ac:dyDescent="0.25">
      <c r="A6" s="23" t="s">
        <v>733</v>
      </c>
      <c r="B6" s="27">
        <v>0.7</v>
      </c>
      <c r="C6" s="27">
        <v>0.3</v>
      </c>
      <c r="D6" s="27">
        <v>1</v>
      </c>
    </row>
    <row r="7" spans="1:4" x14ac:dyDescent="0.25">
      <c r="A7" s="23" t="s">
        <v>727</v>
      </c>
      <c r="B7" s="27">
        <v>0.8571428571428571</v>
      </c>
      <c r="C7" s="27">
        <v>0.14285714285714285</v>
      </c>
      <c r="D7" s="27">
        <v>1</v>
      </c>
    </row>
    <row r="8" spans="1:4" x14ac:dyDescent="0.25">
      <c r="A8" s="23" t="s">
        <v>731</v>
      </c>
      <c r="B8" s="27">
        <v>0.8</v>
      </c>
      <c r="C8" s="27">
        <v>0.2</v>
      </c>
      <c r="D8" s="27">
        <v>1</v>
      </c>
    </row>
    <row r="9" spans="1:4" x14ac:dyDescent="0.25">
      <c r="A9" s="23" t="s">
        <v>732</v>
      </c>
      <c r="B9" s="27">
        <v>0.91666666666666663</v>
      </c>
      <c r="C9" s="27">
        <v>8.3333333333333329E-2</v>
      </c>
      <c r="D9" s="27">
        <v>1</v>
      </c>
    </row>
    <row r="10" spans="1:4" x14ac:dyDescent="0.25">
      <c r="A10" s="23" t="s">
        <v>729</v>
      </c>
      <c r="B10" s="27">
        <v>0.83333333333333337</v>
      </c>
      <c r="C10" s="27">
        <v>0.16666666666666666</v>
      </c>
      <c r="D10" s="27">
        <v>1</v>
      </c>
    </row>
    <row r="11" spans="1:4" x14ac:dyDescent="0.25">
      <c r="A11" s="23" t="s">
        <v>730</v>
      </c>
      <c r="B11" s="27">
        <v>0.55555555555555558</v>
      </c>
      <c r="C11" s="27">
        <v>0.44444444444444442</v>
      </c>
      <c r="D11" s="27">
        <v>1</v>
      </c>
    </row>
    <row r="12" spans="1:4" x14ac:dyDescent="0.25">
      <c r="A12" s="23" t="s">
        <v>728</v>
      </c>
      <c r="B12" s="27">
        <v>0.8571428571428571</v>
      </c>
      <c r="C12" s="27">
        <v>0.14285714285714285</v>
      </c>
      <c r="D12" s="27">
        <v>1</v>
      </c>
    </row>
    <row r="13" spans="1:4" x14ac:dyDescent="0.25">
      <c r="A13" s="22" t="s">
        <v>653</v>
      </c>
      <c r="B13" s="27">
        <v>0.86363636363636365</v>
      </c>
      <c r="C13" s="27">
        <v>0.13636363636363635</v>
      </c>
      <c r="D13" s="27">
        <v>1</v>
      </c>
    </row>
    <row r="14" spans="1:4" x14ac:dyDescent="0.25">
      <c r="A14" s="23" t="s">
        <v>733</v>
      </c>
      <c r="B14" s="27">
        <v>0.83333333333333337</v>
      </c>
      <c r="C14" s="27">
        <v>0.16666666666666666</v>
      </c>
      <c r="D14" s="27">
        <v>1</v>
      </c>
    </row>
    <row r="15" spans="1:4" x14ac:dyDescent="0.25">
      <c r="A15" s="23" t="s">
        <v>727</v>
      </c>
      <c r="B15" s="27">
        <v>0.66666666666666663</v>
      </c>
      <c r="C15" s="27">
        <v>0.33333333333333331</v>
      </c>
      <c r="D15" s="27">
        <v>1</v>
      </c>
    </row>
    <row r="16" spans="1:4" x14ac:dyDescent="0.25">
      <c r="A16" s="23" t="s">
        <v>731</v>
      </c>
      <c r="B16" s="27">
        <v>0.66666666666666663</v>
      </c>
      <c r="C16" s="27">
        <v>0.33333333333333331</v>
      </c>
      <c r="D16" s="27">
        <v>1</v>
      </c>
    </row>
    <row r="17" spans="1:4" x14ac:dyDescent="0.25">
      <c r="A17" s="23" t="s">
        <v>732</v>
      </c>
      <c r="B17" s="27">
        <v>1</v>
      </c>
      <c r="C17" s="27">
        <v>0</v>
      </c>
      <c r="D17" s="27">
        <v>1</v>
      </c>
    </row>
    <row r="18" spans="1:4" x14ac:dyDescent="0.25">
      <c r="A18" s="23" t="s">
        <v>729</v>
      </c>
      <c r="B18" s="27">
        <v>1</v>
      </c>
      <c r="C18" s="27">
        <v>0</v>
      </c>
      <c r="D18" s="27">
        <v>1</v>
      </c>
    </row>
    <row r="19" spans="1:4" x14ac:dyDescent="0.25">
      <c r="A19" s="23" t="s">
        <v>730</v>
      </c>
      <c r="B19" s="27">
        <v>1</v>
      </c>
      <c r="C19" s="27">
        <v>0</v>
      </c>
      <c r="D19" s="27">
        <v>1</v>
      </c>
    </row>
    <row r="20" spans="1:4" x14ac:dyDescent="0.25">
      <c r="A20" s="23" t="s">
        <v>728</v>
      </c>
      <c r="B20" s="27">
        <v>0.92307692307692313</v>
      </c>
      <c r="C20" s="27">
        <v>7.6923076923076927E-2</v>
      </c>
      <c r="D20" s="27">
        <v>1</v>
      </c>
    </row>
    <row r="21" spans="1:4" x14ac:dyDescent="0.25">
      <c r="A21" s="22" t="s">
        <v>659</v>
      </c>
      <c r="B21" s="27">
        <v>0.82352941176470584</v>
      </c>
      <c r="C21" s="27">
        <v>0.17647058823529413</v>
      </c>
      <c r="D21" s="27">
        <v>1</v>
      </c>
    </row>
    <row r="22" spans="1:4" x14ac:dyDescent="0.25">
      <c r="A22" s="23" t="s">
        <v>733</v>
      </c>
      <c r="B22" s="27">
        <v>0.25</v>
      </c>
      <c r="C22" s="27">
        <v>0.75</v>
      </c>
      <c r="D22" s="27">
        <v>1</v>
      </c>
    </row>
    <row r="23" spans="1:4" x14ac:dyDescent="0.25">
      <c r="A23" s="23" t="s">
        <v>727</v>
      </c>
      <c r="B23" s="27">
        <v>1</v>
      </c>
      <c r="C23" s="27">
        <v>0</v>
      </c>
      <c r="D23" s="27">
        <v>1</v>
      </c>
    </row>
    <row r="24" spans="1:4" x14ac:dyDescent="0.25">
      <c r="A24" s="23" t="s">
        <v>731</v>
      </c>
      <c r="B24" s="27">
        <v>0.8</v>
      </c>
      <c r="C24" s="27">
        <v>0.2</v>
      </c>
      <c r="D24" s="27">
        <v>1</v>
      </c>
    </row>
    <row r="25" spans="1:4" x14ac:dyDescent="0.25">
      <c r="A25" s="23" t="s">
        <v>732</v>
      </c>
      <c r="B25" s="27">
        <v>0.83333333333333337</v>
      </c>
      <c r="C25" s="27">
        <v>0.16666666666666666</v>
      </c>
      <c r="D25" s="27">
        <v>1</v>
      </c>
    </row>
    <row r="26" spans="1:4" x14ac:dyDescent="0.25">
      <c r="A26" s="23" t="s">
        <v>729</v>
      </c>
      <c r="B26" s="27">
        <v>0.625</v>
      </c>
      <c r="C26" s="27">
        <v>0.375</v>
      </c>
      <c r="D26" s="27">
        <v>1</v>
      </c>
    </row>
    <row r="27" spans="1:4" x14ac:dyDescent="0.25">
      <c r="A27" s="23" t="s">
        <v>730</v>
      </c>
      <c r="B27" s="27">
        <v>0.8571428571428571</v>
      </c>
      <c r="C27" s="27">
        <v>0.14285714285714285</v>
      </c>
      <c r="D27" s="27">
        <v>1</v>
      </c>
    </row>
    <row r="28" spans="1:4" x14ac:dyDescent="0.25">
      <c r="A28" s="23" t="s">
        <v>728</v>
      </c>
      <c r="B28" s="27">
        <v>1</v>
      </c>
      <c r="C28" s="27">
        <v>0</v>
      </c>
      <c r="D28" s="27">
        <v>1</v>
      </c>
    </row>
    <row r="29" spans="1:4" x14ac:dyDescent="0.25">
      <c r="A29" s="22" t="s">
        <v>657</v>
      </c>
      <c r="B29" s="27">
        <v>0.77777777777777779</v>
      </c>
      <c r="C29" s="27">
        <v>0.22222222222222221</v>
      </c>
      <c r="D29" s="27">
        <v>1</v>
      </c>
    </row>
    <row r="30" spans="1:4" x14ac:dyDescent="0.25">
      <c r="A30" s="23" t="s">
        <v>733</v>
      </c>
      <c r="B30" s="27">
        <v>0.8571428571428571</v>
      </c>
      <c r="C30" s="27">
        <v>0.14285714285714285</v>
      </c>
      <c r="D30" s="27">
        <v>1</v>
      </c>
    </row>
    <row r="31" spans="1:4" x14ac:dyDescent="0.25">
      <c r="A31" s="23" t="s">
        <v>727</v>
      </c>
      <c r="B31" s="27">
        <v>0.7</v>
      </c>
      <c r="C31" s="27">
        <v>0.3</v>
      </c>
      <c r="D31" s="27">
        <v>1</v>
      </c>
    </row>
    <row r="32" spans="1:4" x14ac:dyDescent="0.25">
      <c r="A32" s="23" t="s">
        <v>731</v>
      </c>
      <c r="B32" s="27">
        <v>0.66666666666666663</v>
      </c>
      <c r="C32" s="27">
        <v>0.33333333333333331</v>
      </c>
      <c r="D32" s="27">
        <v>1</v>
      </c>
    </row>
    <row r="33" spans="1:4" x14ac:dyDescent="0.25">
      <c r="A33" s="23" t="s">
        <v>732</v>
      </c>
      <c r="B33" s="27">
        <v>0.7</v>
      </c>
      <c r="C33" s="27">
        <v>0.3</v>
      </c>
      <c r="D33" s="27">
        <v>1</v>
      </c>
    </row>
    <row r="34" spans="1:4" x14ac:dyDescent="0.25">
      <c r="A34" s="23" t="s">
        <v>729</v>
      </c>
      <c r="B34" s="27">
        <v>0.83333333333333337</v>
      </c>
      <c r="C34" s="27">
        <v>0.16666666666666666</v>
      </c>
      <c r="D34" s="27">
        <v>1</v>
      </c>
    </row>
    <row r="35" spans="1:4" x14ac:dyDescent="0.25">
      <c r="A35" s="23" t="s">
        <v>730</v>
      </c>
      <c r="B35" s="27">
        <v>1</v>
      </c>
      <c r="C35" s="27">
        <v>0</v>
      </c>
      <c r="D35" s="27">
        <v>1</v>
      </c>
    </row>
    <row r="36" spans="1:4" x14ac:dyDescent="0.25">
      <c r="A36" s="23" t="s">
        <v>728</v>
      </c>
      <c r="B36" s="27">
        <v>0.83333333333333337</v>
      </c>
      <c r="C36" s="27">
        <v>0.16666666666666666</v>
      </c>
      <c r="D36" s="27">
        <v>1</v>
      </c>
    </row>
    <row r="37" spans="1:4" x14ac:dyDescent="0.25">
      <c r="A37" s="22" t="s">
        <v>656</v>
      </c>
      <c r="B37" s="27">
        <v>0.78431372549019607</v>
      </c>
      <c r="C37" s="27">
        <v>0.21568627450980393</v>
      </c>
      <c r="D37" s="27">
        <v>1</v>
      </c>
    </row>
    <row r="38" spans="1:4" x14ac:dyDescent="0.25">
      <c r="A38" s="23" t="s">
        <v>733</v>
      </c>
      <c r="B38" s="27">
        <v>0.55555555555555558</v>
      </c>
      <c r="C38" s="27">
        <v>0.44444444444444442</v>
      </c>
      <c r="D38" s="27">
        <v>1</v>
      </c>
    </row>
    <row r="39" spans="1:4" x14ac:dyDescent="0.25">
      <c r="A39" s="23" t="s">
        <v>727</v>
      </c>
      <c r="B39" s="27">
        <v>0.66666666666666663</v>
      </c>
      <c r="C39" s="27">
        <v>0.33333333333333331</v>
      </c>
      <c r="D39" s="27">
        <v>1</v>
      </c>
    </row>
    <row r="40" spans="1:4" x14ac:dyDescent="0.25">
      <c r="A40" s="23" t="s">
        <v>731</v>
      </c>
      <c r="B40" s="27">
        <v>0.7142857142857143</v>
      </c>
      <c r="C40" s="27">
        <v>0.2857142857142857</v>
      </c>
      <c r="D40" s="27">
        <v>1</v>
      </c>
    </row>
    <row r="41" spans="1:4" x14ac:dyDescent="0.25">
      <c r="A41" s="23" t="s">
        <v>732</v>
      </c>
      <c r="B41" s="27">
        <v>1</v>
      </c>
      <c r="C41" s="27">
        <v>0</v>
      </c>
      <c r="D41" s="27">
        <v>1</v>
      </c>
    </row>
    <row r="42" spans="1:4" x14ac:dyDescent="0.25">
      <c r="A42" s="23" t="s">
        <v>729</v>
      </c>
      <c r="B42" s="27">
        <v>0.75</v>
      </c>
      <c r="C42" s="27">
        <v>0.25</v>
      </c>
      <c r="D42" s="27">
        <v>1</v>
      </c>
    </row>
    <row r="43" spans="1:4" x14ac:dyDescent="0.25">
      <c r="A43" s="23" t="s">
        <v>730</v>
      </c>
      <c r="B43" s="27">
        <v>0.8571428571428571</v>
      </c>
      <c r="C43" s="27">
        <v>0.14285714285714285</v>
      </c>
      <c r="D43" s="27">
        <v>1</v>
      </c>
    </row>
    <row r="44" spans="1:4" x14ac:dyDescent="0.25">
      <c r="A44" s="23" t="s">
        <v>728</v>
      </c>
      <c r="B44" s="27">
        <v>0.875</v>
      </c>
      <c r="C44" s="27">
        <v>0.125</v>
      </c>
      <c r="D44" s="27">
        <v>1</v>
      </c>
    </row>
    <row r="45" spans="1:4" x14ac:dyDescent="0.25">
      <c r="A45" s="22" t="s">
        <v>654</v>
      </c>
      <c r="B45" s="27">
        <v>0.81666666666666665</v>
      </c>
      <c r="C45" s="27">
        <v>0.18333333333333332</v>
      </c>
      <c r="D45" s="27">
        <v>1</v>
      </c>
    </row>
    <row r="46" spans="1:4" x14ac:dyDescent="0.25">
      <c r="A46" s="23" t="s">
        <v>733</v>
      </c>
      <c r="B46" s="27">
        <v>0.7142857142857143</v>
      </c>
      <c r="C46" s="27">
        <v>0.2857142857142857</v>
      </c>
      <c r="D46" s="27">
        <v>1</v>
      </c>
    </row>
    <row r="47" spans="1:4" x14ac:dyDescent="0.25">
      <c r="A47" s="23" t="s">
        <v>727</v>
      </c>
      <c r="B47" s="27">
        <v>0.8</v>
      </c>
      <c r="C47" s="27">
        <v>0.2</v>
      </c>
      <c r="D47" s="27">
        <v>1</v>
      </c>
    </row>
    <row r="48" spans="1:4" x14ac:dyDescent="0.25">
      <c r="A48" s="23" t="s">
        <v>731</v>
      </c>
      <c r="B48" s="27">
        <v>0.88888888888888884</v>
      </c>
      <c r="C48" s="27">
        <v>0.1111111111111111</v>
      </c>
      <c r="D48" s="27">
        <v>1</v>
      </c>
    </row>
    <row r="49" spans="1:4" x14ac:dyDescent="0.25">
      <c r="A49" s="23" t="s">
        <v>732</v>
      </c>
      <c r="B49" s="27">
        <v>0.83333333333333337</v>
      </c>
      <c r="C49" s="27">
        <v>0.16666666666666666</v>
      </c>
      <c r="D49" s="27">
        <v>1</v>
      </c>
    </row>
    <row r="50" spans="1:4" x14ac:dyDescent="0.25">
      <c r="A50" s="23" t="s">
        <v>729</v>
      </c>
      <c r="B50" s="27">
        <v>0.8571428571428571</v>
      </c>
      <c r="C50" s="27">
        <v>0.14285714285714285</v>
      </c>
      <c r="D50" s="27">
        <v>1</v>
      </c>
    </row>
    <row r="51" spans="1:4" x14ac:dyDescent="0.25">
      <c r="A51" s="23" t="s">
        <v>730</v>
      </c>
      <c r="B51" s="27">
        <v>0.77777777777777779</v>
      </c>
      <c r="C51" s="27">
        <v>0.22222222222222221</v>
      </c>
      <c r="D51" s="27">
        <v>1</v>
      </c>
    </row>
    <row r="52" spans="1:4" x14ac:dyDescent="0.25">
      <c r="A52" s="23" t="s">
        <v>728</v>
      </c>
      <c r="B52" s="27">
        <v>0.83333333333333337</v>
      </c>
      <c r="C52" s="27">
        <v>0.16666666666666666</v>
      </c>
      <c r="D52" s="27">
        <v>1</v>
      </c>
    </row>
    <row r="53" spans="1:4" x14ac:dyDescent="0.25">
      <c r="A53" s="22" t="s">
        <v>652</v>
      </c>
      <c r="B53" s="27">
        <v>0.83050847457627119</v>
      </c>
      <c r="C53" s="27">
        <v>0.16949152542372881</v>
      </c>
      <c r="D53" s="27">
        <v>1</v>
      </c>
    </row>
    <row r="54" spans="1:4" x14ac:dyDescent="0.25">
      <c r="A54" s="23" t="s">
        <v>733</v>
      </c>
      <c r="B54" s="27">
        <v>0.8</v>
      </c>
      <c r="C54" s="27">
        <v>0.2</v>
      </c>
      <c r="D54" s="27">
        <v>1</v>
      </c>
    </row>
    <row r="55" spans="1:4" x14ac:dyDescent="0.25">
      <c r="A55" s="23" t="s">
        <v>727</v>
      </c>
      <c r="B55" s="27">
        <v>0.75</v>
      </c>
      <c r="C55" s="27">
        <v>0.25</v>
      </c>
      <c r="D55" s="27">
        <v>1</v>
      </c>
    </row>
    <row r="56" spans="1:4" x14ac:dyDescent="0.25">
      <c r="A56" s="23" t="s">
        <v>731</v>
      </c>
      <c r="B56" s="27">
        <v>0.7142857142857143</v>
      </c>
      <c r="C56" s="27">
        <v>0.2857142857142857</v>
      </c>
      <c r="D56" s="27">
        <v>1</v>
      </c>
    </row>
    <row r="57" spans="1:4" x14ac:dyDescent="0.25">
      <c r="A57" s="23" t="s">
        <v>732</v>
      </c>
      <c r="B57" s="27">
        <v>0.7142857142857143</v>
      </c>
      <c r="C57" s="27">
        <v>0.2857142857142857</v>
      </c>
      <c r="D57" s="27">
        <v>1</v>
      </c>
    </row>
    <row r="58" spans="1:4" x14ac:dyDescent="0.25">
      <c r="A58" s="23" t="s">
        <v>729</v>
      </c>
      <c r="B58" s="27">
        <v>1</v>
      </c>
      <c r="C58" s="27">
        <v>0</v>
      </c>
      <c r="D58" s="27">
        <v>1</v>
      </c>
    </row>
    <row r="59" spans="1:4" x14ac:dyDescent="0.25">
      <c r="A59" s="23" t="s">
        <v>730</v>
      </c>
      <c r="B59" s="27">
        <v>0.90909090909090906</v>
      </c>
      <c r="C59" s="27">
        <v>9.0909090909090912E-2</v>
      </c>
      <c r="D59" s="27">
        <v>1</v>
      </c>
    </row>
    <row r="60" spans="1:4" x14ac:dyDescent="0.25">
      <c r="A60" s="23" t="s">
        <v>728</v>
      </c>
      <c r="B60" s="27">
        <v>0.77777777777777779</v>
      </c>
      <c r="C60" s="27">
        <v>0.22222222222222221</v>
      </c>
      <c r="D60" s="27">
        <v>1</v>
      </c>
    </row>
    <row r="61" spans="1:4" x14ac:dyDescent="0.25">
      <c r="A61" s="22" t="s">
        <v>650</v>
      </c>
      <c r="B61" s="27">
        <v>0.7321428571428571</v>
      </c>
      <c r="C61" s="27">
        <v>0.26785714285714285</v>
      </c>
      <c r="D61" s="27">
        <v>1</v>
      </c>
    </row>
    <row r="62" spans="1:4" x14ac:dyDescent="0.25">
      <c r="A62" s="23" t="s">
        <v>733</v>
      </c>
      <c r="B62" s="27">
        <v>0.6</v>
      </c>
      <c r="C62" s="27">
        <v>0.4</v>
      </c>
      <c r="D62" s="27">
        <v>1</v>
      </c>
    </row>
    <row r="63" spans="1:4" x14ac:dyDescent="0.25">
      <c r="A63" s="23" t="s">
        <v>727</v>
      </c>
      <c r="B63" s="27">
        <v>0.8</v>
      </c>
      <c r="C63" s="27">
        <v>0.2</v>
      </c>
      <c r="D63" s="27">
        <v>1</v>
      </c>
    </row>
    <row r="64" spans="1:4" x14ac:dyDescent="0.25">
      <c r="A64" s="23" t="s">
        <v>731</v>
      </c>
      <c r="B64" s="27">
        <v>0.5</v>
      </c>
      <c r="C64" s="27">
        <v>0.5</v>
      </c>
      <c r="D64" s="27">
        <v>1</v>
      </c>
    </row>
    <row r="65" spans="1:4" x14ac:dyDescent="0.25">
      <c r="A65" s="23" t="s">
        <v>732</v>
      </c>
      <c r="B65" s="27">
        <v>1</v>
      </c>
      <c r="C65" s="27">
        <v>0</v>
      </c>
      <c r="D65" s="27">
        <v>1</v>
      </c>
    </row>
    <row r="66" spans="1:4" x14ac:dyDescent="0.25">
      <c r="A66" s="23" t="s">
        <v>729</v>
      </c>
      <c r="B66" s="27">
        <v>0.66666666666666663</v>
      </c>
      <c r="C66" s="27">
        <v>0.33333333333333331</v>
      </c>
      <c r="D66" s="27">
        <v>1</v>
      </c>
    </row>
    <row r="67" spans="1:4" x14ac:dyDescent="0.25">
      <c r="A67" s="23" t="s">
        <v>730</v>
      </c>
      <c r="B67" s="27">
        <v>0.8666666666666667</v>
      </c>
      <c r="C67" s="27">
        <v>0.13333333333333333</v>
      </c>
      <c r="D67" s="27">
        <v>1</v>
      </c>
    </row>
    <row r="68" spans="1:4" x14ac:dyDescent="0.25">
      <c r="A68" s="23" t="s">
        <v>728</v>
      </c>
      <c r="B68" s="27">
        <v>0.875</v>
      </c>
      <c r="C68" s="27">
        <v>0.125</v>
      </c>
      <c r="D68" s="27">
        <v>1</v>
      </c>
    </row>
    <row r="69" spans="1:4" x14ac:dyDescent="0.25">
      <c r="A69" s="22" t="s">
        <v>651</v>
      </c>
      <c r="B69" s="27">
        <v>0.68181818181818177</v>
      </c>
      <c r="C69" s="27">
        <v>0.31818181818181818</v>
      </c>
      <c r="D69" s="27">
        <v>1</v>
      </c>
    </row>
    <row r="70" spans="1:4" x14ac:dyDescent="0.25">
      <c r="A70" s="23" t="s">
        <v>733</v>
      </c>
      <c r="B70" s="27">
        <v>0.69230769230769229</v>
      </c>
      <c r="C70" s="27">
        <v>0.30769230769230771</v>
      </c>
      <c r="D70" s="27">
        <v>1</v>
      </c>
    </row>
    <row r="71" spans="1:4" x14ac:dyDescent="0.25">
      <c r="A71" s="23" t="s">
        <v>727</v>
      </c>
      <c r="B71" s="27">
        <v>0.83333333333333337</v>
      </c>
      <c r="C71" s="27">
        <v>0.16666666666666666</v>
      </c>
      <c r="D71" s="27">
        <v>1</v>
      </c>
    </row>
    <row r="72" spans="1:4" x14ac:dyDescent="0.25">
      <c r="A72" s="23" t="s">
        <v>731</v>
      </c>
      <c r="B72" s="27">
        <v>0.5</v>
      </c>
      <c r="C72" s="27">
        <v>0.5</v>
      </c>
      <c r="D72" s="27">
        <v>1</v>
      </c>
    </row>
    <row r="73" spans="1:4" x14ac:dyDescent="0.25">
      <c r="A73" s="23" t="s">
        <v>732</v>
      </c>
      <c r="B73" s="27">
        <v>0.4</v>
      </c>
      <c r="C73" s="27">
        <v>0.6</v>
      </c>
      <c r="D73" s="27">
        <v>1</v>
      </c>
    </row>
    <row r="74" spans="1:4" x14ac:dyDescent="0.25">
      <c r="A74" s="23" t="s">
        <v>729</v>
      </c>
      <c r="B74" s="27">
        <v>0.5</v>
      </c>
      <c r="C74" s="27">
        <v>0.5</v>
      </c>
      <c r="D74" s="27">
        <v>1</v>
      </c>
    </row>
    <row r="75" spans="1:4" x14ac:dyDescent="0.25">
      <c r="A75" s="23" t="s">
        <v>730</v>
      </c>
      <c r="B75" s="27">
        <v>0.83333333333333337</v>
      </c>
      <c r="C75" s="27">
        <v>0.16666666666666666</v>
      </c>
      <c r="D75" s="27">
        <v>1</v>
      </c>
    </row>
    <row r="76" spans="1:4" x14ac:dyDescent="0.25">
      <c r="A76" s="23" t="s">
        <v>728</v>
      </c>
      <c r="B76" s="27">
        <v>0.83333333333333337</v>
      </c>
      <c r="C76" s="27">
        <v>0.16666666666666666</v>
      </c>
      <c r="D76" s="27">
        <v>1</v>
      </c>
    </row>
    <row r="77" spans="1:4" x14ac:dyDescent="0.25">
      <c r="A77" s="22" t="s">
        <v>661</v>
      </c>
      <c r="B77" s="27">
        <v>0.77777777777777779</v>
      </c>
      <c r="C77" s="27">
        <v>0.22222222222222221</v>
      </c>
      <c r="D77" s="27">
        <v>1</v>
      </c>
    </row>
    <row r="78" spans="1:4" x14ac:dyDescent="0.25">
      <c r="A78" s="23" t="s">
        <v>733</v>
      </c>
      <c r="B78" s="27">
        <v>0.5</v>
      </c>
      <c r="C78" s="27">
        <v>0.5</v>
      </c>
      <c r="D78" s="27">
        <v>1</v>
      </c>
    </row>
    <row r="79" spans="1:4" x14ac:dyDescent="0.25">
      <c r="A79" s="23" t="s">
        <v>727</v>
      </c>
      <c r="B79" s="27">
        <v>0.81818181818181823</v>
      </c>
      <c r="C79" s="27">
        <v>0.18181818181818182</v>
      </c>
      <c r="D79" s="27">
        <v>1</v>
      </c>
    </row>
    <row r="80" spans="1:4" x14ac:dyDescent="0.25">
      <c r="A80" s="23" t="s">
        <v>731</v>
      </c>
      <c r="B80" s="27">
        <v>1</v>
      </c>
      <c r="C80" s="27">
        <v>0</v>
      </c>
      <c r="D80" s="27">
        <v>1</v>
      </c>
    </row>
    <row r="81" spans="1:4" x14ac:dyDescent="0.25">
      <c r="A81" s="23" t="s">
        <v>732</v>
      </c>
      <c r="B81" s="27">
        <v>0.8571428571428571</v>
      </c>
      <c r="C81" s="27">
        <v>0.14285714285714285</v>
      </c>
      <c r="D81" s="27">
        <v>1</v>
      </c>
    </row>
    <row r="82" spans="1:4" x14ac:dyDescent="0.25">
      <c r="A82" s="23" t="s">
        <v>729</v>
      </c>
      <c r="B82" s="27">
        <v>0.7142857142857143</v>
      </c>
      <c r="C82" s="27">
        <v>0.2857142857142857</v>
      </c>
      <c r="D82" s="27">
        <v>1</v>
      </c>
    </row>
    <row r="83" spans="1:4" x14ac:dyDescent="0.25">
      <c r="A83" s="23" t="s">
        <v>730</v>
      </c>
      <c r="B83" s="27">
        <v>0.5</v>
      </c>
      <c r="C83" s="27">
        <v>0.5</v>
      </c>
      <c r="D83" s="27">
        <v>1</v>
      </c>
    </row>
    <row r="84" spans="1:4" x14ac:dyDescent="0.25">
      <c r="A84" s="23" t="s">
        <v>728</v>
      </c>
      <c r="B84" s="27">
        <v>0.8</v>
      </c>
      <c r="C84" s="27">
        <v>0.2</v>
      </c>
      <c r="D84" s="27">
        <v>1</v>
      </c>
    </row>
    <row r="85" spans="1:4" x14ac:dyDescent="0.25">
      <c r="A85" s="22" t="s">
        <v>658</v>
      </c>
      <c r="B85" s="27">
        <v>0.7592592592592593</v>
      </c>
      <c r="C85" s="27">
        <v>0.24074074074074073</v>
      </c>
      <c r="D85" s="27">
        <v>1</v>
      </c>
    </row>
    <row r="86" spans="1:4" x14ac:dyDescent="0.25">
      <c r="A86" s="23" t="s">
        <v>733</v>
      </c>
      <c r="B86" s="27">
        <v>0.875</v>
      </c>
      <c r="C86" s="27">
        <v>0.125</v>
      </c>
      <c r="D86" s="27">
        <v>1</v>
      </c>
    </row>
    <row r="87" spans="1:4" x14ac:dyDescent="0.25">
      <c r="A87" s="23" t="s">
        <v>727</v>
      </c>
      <c r="B87" s="27">
        <v>0.7142857142857143</v>
      </c>
      <c r="C87" s="27">
        <v>0.2857142857142857</v>
      </c>
      <c r="D87" s="27">
        <v>1</v>
      </c>
    </row>
    <row r="88" spans="1:4" x14ac:dyDescent="0.25">
      <c r="A88" s="23" t="s">
        <v>731</v>
      </c>
      <c r="B88" s="27">
        <v>0.66666666666666663</v>
      </c>
      <c r="C88" s="27">
        <v>0.33333333333333331</v>
      </c>
      <c r="D88" s="27">
        <v>1</v>
      </c>
    </row>
    <row r="89" spans="1:4" x14ac:dyDescent="0.25">
      <c r="A89" s="23" t="s">
        <v>732</v>
      </c>
      <c r="B89" s="27">
        <v>0.7142857142857143</v>
      </c>
      <c r="C89" s="27">
        <v>0.2857142857142857</v>
      </c>
      <c r="D89" s="27">
        <v>1</v>
      </c>
    </row>
    <row r="90" spans="1:4" x14ac:dyDescent="0.25">
      <c r="A90" s="23" t="s">
        <v>729</v>
      </c>
      <c r="B90" s="27">
        <v>0.77777777777777779</v>
      </c>
      <c r="C90" s="27">
        <v>0.22222222222222221</v>
      </c>
      <c r="D90" s="27">
        <v>1</v>
      </c>
    </row>
    <row r="91" spans="1:4" x14ac:dyDescent="0.25">
      <c r="A91" s="23" t="s">
        <v>730</v>
      </c>
      <c r="B91" s="27">
        <v>1</v>
      </c>
      <c r="C91" s="27">
        <v>0</v>
      </c>
      <c r="D91" s="27">
        <v>1</v>
      </c>
    </row>
    <row r="92" spans="1:4" x14ac:dyDescent="0.25">
      <c r="A92" s="23" t="s">
        <v>728</v>
      </c>
      <c r="B92" s="27">
        <v>0.7</v>
      </c>
      <c r="C92" s="27">
        <v>0.3</v>
      </c>
      <c r="D92" s="27">
        <v>1</v>
      </c>
    </row>
    <row r="93" spans="1:4" x14ac:dyDescent="0.25">
      <c r="A93" s="22" t="s">
        <v>660</v>
      </c>
      <c r="B93" s="27">
        <v>0.72549019607843135</v>
      </c>
      <c r="C93" s="27">
        <v>0.27450980392156865</v>
      </c>
      <c r="D93" s="27">
        <v>1</v>
      </c>
    </row>
    <row r="94" spans="1:4" x14ac:dyDescent="0.25">
      <c r="A94" s="23" t="s">
        <v>733</v>
      </c>
      <c r="B94" s="27">
        <v>0.5</v>
      </c>
      <c r="C94" s="27">
        <v>0.5</v>
      </c>
      <c r="D94" s="27">
        <v>1</v>
      </c>
    </row>
    <row r="95" spans="1:4" x14ac:dyDescent="0.25">
      <c r="A95" s="23" t="s">
        <v>727</v>
      </c>
      <c r="B95" s="27">
        <v>0.6</v>
      </c>
      <c r="C95" s="27">
        <v>0.4</v>
      </c>
      <c r="D95" s="27">
        <v>1</v>
      </c>
    </row>
    <row r="96" spans="1:4" x14ac:dyDescent="0.25">
      <c r="A96" s="23" t="s">
        <v>731</v>
      </c>
      <c r="B96" s="27">
        <v>0.8</v>
      </c>
      <c r="C96" s="27">
        <v>0.2</v>
      </c>
      <c r="D96" s="27">
        <v>1</v>
      </c>
    </row>
    <row r="97" spans="1:4" x14ac:dyDescent="0.25">
      <c r="A97" s="23" t="s">
        <v>732</v>
      </c>
      <c r="B97" s="27">
        <v>1</v>
      </c>
      <c r="C97" s="27">
        <v>0</v>
      </c>
      <c r="D97" s="27">
        <v>1</v>
      </c>
    </row>
    <row r="98" spans="1:4" x14ac:dyDescent="0.25">
      <c r="A98" s="23" t="s">
        <v>729</v>
      </c>
      <c r="B98" s="27">
        <v>0.8</v>
      </c>
      <c r="C98" s="27">
        <v>0.2</v>
      </c>
      <c r="D98" s="27">
        <v>1</v>
      </c>
    </row>
    <row r="99" spans="1:4" x14ac:dyDescent="0.25">
      <c r="A99" s="23" t="s">
        <v>730</v>
      </c>
      <c r="B99" s="27">
        <v>0.9</v>
      </c>
      <c r="C99" s="27">
        <v>0.1</v>
      </c>
      <c r="D99" s="27">
        <v>1</v>
      </c>
    </row>
    <row r="100" spans="1:4" x14ac:dyDescent="0.25">
      <c r="A100" s="23" t="s">
        <v>728</v>
      </c>
      <c r="B100" s="27">
        <v>0.25</v>
      </c>
      <c r="C100" s="27">
        <v>0.75</v>
      </c>
      <c r="D100" s="27">
        <v>1</v>
      </c>
    </row>
    <row r="101" spans="1:4" x14ac:dyDescent="0.25">
      <c r="A101" s="22" t="s">
        <v>1446</v>
      </c>
      <c r="B101" s="27">
        <v>0.78129952456418383</v>
      </c>
      <c r="C101" s="27">
        <v>0.21870047543581617</v>
      </c>
      <c r="D101" s="27">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C95C1-1C11-476B-8250-450A453CE448}">
  <dimension ref="A3:B54"/>
  <sheetViews>
    <sheetView workbookViewId="0">
      <selection activeCell="B3" sqref="B3"/>
    </sheetView>
  </sheetViews>
  <sheetFormatPr defaultRowHeight="15" x14ac:dyDescent="0.25"/>
  <cols>
    <col min="1" max="1" width="16.140625" bestFit="1" customWidth="1"/>
    <col min="2" max="2" width="16.42578125" bestFit="1" customWidth="1"/>
    <col min="3" max="4" width="11.28515625" bestFit="1" customWidth="1"/>
    <col min="5" max="74" width="3.5703125" bestFit="1" customWidth="1"/>
    <col min="75" max="221" width="4.5703125" bestFit="1" customWidth="1"/>
    <col min="222" max="222" width="11.28515625" bestFit="1" customWidth="1"/>
    <col min="223" max="244" width="3.5703125" bestFit="1" customWidth="1"/>
    <col min="245" max="323" width="4.5703125" bestFit="1" customWidth="1"/>
    <col min="324" max="324" width="9.5703125" bestFit="1" customWidth="1"/>
    <col min="325" max="325" width="9.140625" bestFit="1" customWidth="1"/>
    <col min="326" max="367" width="3.5703125" bestFit="1" customWidth="1"/>
    <col min="368" max="436" width="4.5703125" bestFit="1" customWidth="1"/>
    <col min="437" max="437" width="12.140625" bestFit="1" customWidth="1"/>
    <col min="438" max="438" width="11.28515625" bestFit="1" customWidth="1"/>
    <col min="439" max="439" width="9.42578125" bestFit="1" customWidth="1"/>
    <col min="440" max="440" width="6.140625" bestFit="1" customWidth="1"/>
    <col min="441" max="441" width="4.7109375" bestFit="1" customWidth="1"/>
    <col min="442" max="442" width="7.28515625" bestFit="1" customWidth="1"/>
    <col min="443" max="443" width="9.42578125" bestFit="1" customWidth="1"/>
    <col min="444" max="444" width="6.140625" bestFit="1" customWidth="1"/>
    <col min="445" max="445" width="7.28515625" bestFit="1" customWidth="1"/>
    <col min="446" max="446" width="9.42578125" bestFit="1" customWidth="1"/>
    <col min="448" max="448" width="4.7109375" bestFit="1" customWidth="1"/>
    <col min="449" max="449" width="9.42578125" bestFit="1" customWidth="1"/>
    <col min="451" max="451" width="4.7109375" bestFit="1" customWidth="1"/>
    <col min="452" max="452" width="9.42578125" bestFit="1" customWidth="1"/>
    <col min="454" max="454" width="7.28515625" bestFit="1" customWidth="1"/>
    <col min="455" max="455" width="9.42578125" bestFit="1" customWidth="1"/>
    <col min="456" max="456" width="7.28515625" bestFit="1" customWidth="1"/>
    <col min="457" max="457" width="9.42578125" bestFit="1" customWidth="1"/>
    <col min="459" max="459" width="9.42578125" bestFit="1" customWidth="1"/>
    <col min="460" max="460" width="4.7109375" bestFit="1" customWidth="1"/>
    <col min="461" max="461" width="9.42578125" bestFit="1" customWidth="1"/>
    <col min="462" max="462" width="4.7109375" bestFit="1" customWidth="1"/>
    <col min="463" max="463" width="7.28515625" bestFit="1" customWidth="1"/>
    <col min="464" max="464" width="9.42578125" bestFit="1" customWidth="1"/>
    <col min="465" max="465" width="6.140625" bestFit="1" customWidth="1"/>
    <col min="467" max="467" width="4.7109375" bestFit="1" customWidth="1"/>
    <col min="468" max="468" width="9.42578125" bestFit="1" customWidth="1"/>
    <col min="469" max="469" width="6.140625" bestFit="1" customWidth="1"/>
    <col min="471" max="471" width="9.42578125" bestFit="1" customWidth="1"/>
    <col min="472" max="472" width="7.28515625" bestFit="1" customWidth="1"/>
    <col min="473" max="473" width="9.42578125" bestFit="1" customWidth="1"/>
    <col min="474" max="474" width="4.7109375" bestFit="1" customWidth="1"/>
    <col min="475" max="475" width="7.28515625" bestFit="1" customWidth="1"/>
    <col min="476" max="476" width="9.42578125" bestFit="1" customWidth="1"/>
    <col min="478" max="478" width="7.28515625" bestFit="1" customWidth="1"/>
    <col min="479" max="479" width="9.42578125" bestFit="1" customWidth="1"/>
    <col min="480" max="480" width="4.7109375" bestFit="1" customWidth="1"/>
    <col min="481" max="481" width="9.42578125" bestFit="1" customWidth="1"/>
    <col min="483" max="483" width="7.28515625" bestFit="1" customWidth="1"/>
    <col min="484" max="484" width="9.42578125" bestFit="1" customWidth="1"/>
    <col min="485" max="485" width="4.7109375" bestFit="1" customWidth="1"/>
    <col min="486" max="486" width="9.42578125" bestFit="1" customWidth="1"/>
    <col min="487" max="487" width="6.140625" bestFit="1" customWidth="1"/>
    <col min="489" max="489" width="4.7109375" bestFit="1" customWidth="1"/>
    <col min="490" max="490" width="7.28515625" bestFit="1" customWidth="1"/>
    <col min="491" max="491" width="9.42578125" bestFit="1" customWidth="1"/>
    <col min="492" max="492" width="6.140625" bestFit="1" customWidth="1"/>
    <col min="493" max="493" width="4.7109375" bestFit="1" customWidth="1"/>
    <col min="494" max="494" width="7.28515625" bestFit="1" customWidth="1"/>
    <col min="495" max="495" width="9.42578125" bestFit="1" customWidth="1"/>
    <col min="497" max="497" width="7.28515625" bestFit="1" customWidth="1"/>
    <col min="498" max="498" width="9.42578125" bestFit="1" customWidth="1"/>
    <col min="499" max="499" width="6.140625" bestFit="1" customWidth="1"/>
    <col min="501" max="501" width="4.7109375" bestFit="1" customWidth="1"/>
    <col min="502" max="502" width="9.42578125" bestFit="1" customWidth="1"/>
    <col min="503" max="503" width="6.140625" bestFit="1" customWidth="1"/>
    <col min="504" max="504" width="7.28515625" bestFit="1" customWidth="1"/>
    <col min="505" max="505" width="9.42578125" bestFit="1" customWidth="1"/>
    <col min="506" max="506" width="6.140625" bestFit="1" customWidth="1"/>
    <col min="507" max="507" width="7.28515625" bestFit="1" customWidth="1"/>
    <col min="508" max="508" width="9.42578125" bestFit="1" customWidth="1"/>
    <col min="510" max="510" width="4.7109375" bestFit="1" customWidth="1"/>
    <col min="511" max="511" width="7.28515625" bestFit="1" customWidth="1"/>
    <col min="512" max="512" width="9.42578125" bestFit="1" customWidth="1"/>
    <col min="513" max="513" width="6.140625" bestFit="1" customWidth="1"/>
    <col min="515" max="515" width="4.7109375" bestFit="1" customWidth="1"/>
    <col min="516" max="516" width="9.42578125" bestFit="1" customWidth="1"/>
    <col min="517" max="517" width="6.140625" bestFit="1" customWidth="1"/>
    <col min="519" max="519" width="4.7109375" bestFit="1" customWidth="1"/>
    <col min="520" max="520" width="9.42578125" bestFit="1" customWidth="1"/>
    <col min="522" max="522" width="4.7109375" bestFit="1" customWidth="1"/>
    <col min="523" max="523" width="7.28515625" bestFit="1" customWidth="1"/>
    <col min="524" max="524" width="9.42578125" bestFit="1" customWidth="1"/>
    <col min="525" max="525" width="4.7109375" bestFit="1" customWidth="1"/>
    <col min="526" max="526" width="7.28515625" bestFit="1" customWidth="1"/>
    <col min="527" max="527" width="9.42578125" bestFit="1" customWidth="1"/>
    <col min="529" max="529" width="7.28515625" bestFit="1" customWidth="1"/>
    <col min="530" max="530" width="9.42578125" bestFit="1" customWidth="1"/>
    <col min="531" max="531" width="4.7109375" bestFit="1" customWidth="1"/>
    <col min="532" max="532" width="9.42578125" bestFit="1" customWidth="1"/>
    <col min="533" max="533" width="6.140625" bestFit="1" customWidth="1"/>
    <col min="535" max="535" width="9.42578125" bestFit="1" customWidth="1"/>
    <col min="536" max="536" width="6.140625" bestFit="1" customWidth="1"/>
    <col min="538" max="538" width="9.42578125" bestFit="1" customWidth="1"/>
    <col min="539" max="539" width="6.140625" bestFit="1" customWidth="1"/>
    <col min="540" max="540" width="7.28515625" bestFit="1" customWidth="1"/>
    <col min="541" max="541" width="9.42578125" bestFit="1" customWidth="1"/>
    <col min="543" max="543" width="7.28515625" bestFit="1" customWidth="1"/>
    <col min="544" max="544" width="9.42578125" bestFit="1" customWidth="1"/>
    <col min="546" max="546" width="9.42578125" bestFit="1" customWidth="1"/>
    <col min="547" max="547" width="4.7109375" bestFit="1" customWidth="1"/>
    <col min="548" max="548" width="9.42578125" bestFit="1" customWidth="1"/>
    <col min="550" max="550" width="9.42578125" bestFit="1" customWidth="1"/>
    <col min="551" max="551" width="6.140625" bestFit="1" customWidth="1"/>
    <col min="553" max="553" width="7.28515625" bestFit="1" customWidth="1"/>
    <col min="554" max="554" width="9.42578125" bestFit="1" customWidth="1"/>
    <col min="556" max="556" width="9.42578125" bestFit="1" customWidth="1"/>
    <col min="557" max="557" width="4.7109375" bestFit="1" customWidth="1"/>
    <col min="558" max="558" width="9.42578125" bestFit="1" customWidth="1"/>
    <col min="560" max="560" width="4.7109375" bestFit="1" customWidth="1"/>
    <col min="561" max="561" width="9.42578125" bestFit="1" customWidth="1"/>
    <col min="562" max="562" width="6.140625" bestFit="1" customWidth="1"/>
    <col min="564" max="564" width="7.28515625" bestFit="1" customWidth="1"/>
    <col min="565" max="565" width="9.42578125" bestFit="1" customWidth="1"/>
    <col min="566" max="566" width="4.7109375" bestFit="1" customWidth="1"/>
    <col min="567" max="567" width="9.42578125" bestFit="1" customWidth="1"/>
    <col min="569" max="569" width="9.42578125" bestFit="1" customWidth="1"/>
    <col min="570" max="570" width="4.7109375" bestFit="1" customWidth="1"/>
    <col min="571" max="571" width="7.28515625" bestFit="1" customWidth="1"/>
    <col min="572" max="572" width="9.42578125" bestFit="1" customWidth="1"/>
    <col min="573" max="573" width="7.28515625" bestFit="1" customWidth="1"/>
    <col min="574" max="574" width="9.42578125" bestFit="1" customWidth="1"/>
    <col min="575" max="575" width="6.140625" bestFit="1" customWidth="1"/>
    <col min="577" max="577" width="9.42578125" bestFit="1" customWidth="1"/>
    <col min="579" max="579" width="7.28515625" bestFit="1" customWidth="1"/>
    <col min="580" max="580" width="9.42578125" bestFit="1" customWidth="1"/>
    <col min="581" max="581" width="6.140625" bestFit="1" customWidth="1"/>
    <col min="582" max="582" width="9.42578125" bestFit="1" customWidth="1"/>
    <col min="583" max="583" width="7.28515625" bestFit="1" customWidth="1"/>
    <col min="584" max="584" width="9.42578125" bestFit="1" customWidth="1"/>
    <col min="586" max="586" width="4.7109375" bestFit="1" customWidth="1"/>
    <col min="587" max="587" width="9.42578125" bestFit="1" customWidth="1"/>
    <col min="589" max="589" width="9.42578125" bestFit="1" customWidth="1"/>
    <col min="590" max="590" width="6.140625" bestFit="1" customWidth="1"/>
    <col min="591" max="591" width="9.42578125" bestFit="1" customWidth="1"/>
    <col min="592" max="592" width="7.28515625" bestFit="1" customWidth="1"/>
    <col min="593" max="593" width="9.42578125" bestFit="1" customWidth="1"/>
    <col min="594" max="594" width="7.28515625" bestFit="1" customWidth="1"/>
    <col min="595" max="595" width="9.42578125" bestFit="1" customWidth="1"/>
    <col min="596" max="596" width="6.140625" bestFit="1" customWidth="1"/>
    <col min="597" max="597" width="9.42578125" bestFit="1" customWidth="1"/>
    <col min="599" max="599" width="4.7109375" bestFit="1" customWidth="1"/>
    <col min="600" max="600" width="9.42578125" bestFit="1" customWidth="1"/>
    <col min="601" max="601" width="6.140625" bestFit="1" customWidth="1"/>
    <col min="602" max="602" width="4.7109375" bestFit="1" customWidth="1"/>
    <col min="603" max="603" width="7.28515625" bestFit="1" customWidth="1"/>
    <col min="604" max="604" width="9.42578125" bestFit="1" customWidth="1"/>
    <col min="606" max="606" width="4.7109375" bestFit="1" customWidth="1"/>
    <col min="607" max="607" width="9.42578125" bestFit="1" customWidth="1"/>
    <col min="608" max="608" width="6.140625" bestFit="1" customWidth="1"/>
    <col min="609" max="609" width="9.42578125" bestFit="1" customWidth="1"/>
    <col min="610" max="610" width="6.140625" bestFit="1" customWidth="1"/>
    <col min="611" max="611" width="4.7109375" bestFit="1" customWidth="1"/>
    <col min="612" max="612" width="9.42578125" bestFit="1" customWidth="1"/>
    <col min="614" max="614" width="4.7109375" bestFit="1" customWidth="1"/>
    <col min="615" max="615" width="7.28515625" bestFit="1" customWidth="1"/>
    <col min="616" max="616" width="9.42578125" bestFit="1" customWidth="1"/>
    <col min="617" max="617" width="4.7109375" bestFit="1" customWidth="1"/>
    <col min="618" max="618" width="7.28515625" bestFit="1" customWidth="1"/>
    <col min="619" max="619" width="9.42578125" bestFit="1" customWidth="1"/>
    <col min="621" max="621" width="9.42578125" bestFit="1" customWidth="1"/>
    <col min="622" max="622" width="4.7109375" bestFit="1" customWidth="1"/>
    <col min="623" max="623" width="7.28515625" bestFit="1" customWidth="1"/>
    <col min="624" max="624" width="9.42578125" bestFit="1" customWidth="1"/>
    <col min="626" max="626" width="9.42578125" bestFit="1" customWidth="1"/>
    <col min="627" max="627" width="4.7109375" bestFit="1" customWidth="1"/>
    <col min="628" max="628" width="9.42578125" bestFit="1" customWidth="1"/>
    <col min="629" max="629" width="4.7109375" bestFit="1" customWidth="1"/>
    <col min="630" max="630" width="9.42578125" bestFit="1" customWidth="1"/>
    <col min="632" max="632" width="9.42578125" bestFit="1" customWidth="1"/>
    <col min="633" max="633" width="6.140625" bestFit="1" customWidth="1"/>
    <col min="634" max="634" width="9.42578125" bestFit="1" customWidth="1"/>
    <col min="636" max="636" width="9.42578125" bestFit="1" customWidth="1"/>
    <col min="637" max="637" width="4.7109375" bestFit="1" customWidth="1"/>
    <col min="638" max="638" width="9.42578125" bestFit="1" customWidth="1"/>
    <col min="639" max="639" width="4.7109375" bestFit="1" customWidth="1"/>
    <col min="640" max="640" width="9.42578125" bestFit="1" customWidth="1"/>
    <col min="641" max="641" width="6.140625" bestFit="1" customWidth="1"/>
    <col min="642" max="642" width="9.42578125" bestFit="1" customWidth="1"/>
    <col min="644" max="644" width="9.42578125" bestFit="1" customWidth="1"/>
    <col min="646" max="646" width="7.28515625" bestFit="1" customWidth="1"/>
    <col min="647" max="647" width="9.42578125" bestFit="1" customWidth="1"/>
    <col min="648" max="648" width="6.140625" bestFit="1" customWidth="1"/>
    <col min="649" max="649" width="9.42578125" bestFit="1" customWidth="1"/>
    <col min="650" max="650" width="4.7109375" bestFit="1" customWidth="1"/>
    <col min="651" max="651" width="9.42578125" bestFit="1" customWidth="1"/>
    <col min="652" max="652" width="6.140625" bestFit="1" customWidth="1"/>
    <col min="653" max="653" width="9.42578125" bestFit="1" customWidth="1"/>
    <col min="654" max="654" width="11.28515625" bestFit="1" customWidth="1"/>
  </cols>
  <sheetData>
    <row r="3" spans="1:2" x14ac:dyDescent="0.25">
      <c r="A3" s="21" t="s">
        <v>1486</v>
      </c>
      <c r="B3" s="21" t="s">
        <v>1464</v>
      </c>
    </row>
    <row r="4" spans="1:2" x14ac:dyDescent="0.25">
      <c r="A4" s="21" t="s">
        <v>1445</v>
      </c>
      <c r="B4" t="s">
        <v>1492</v>
      </c>
    </row>
    <row r="5" spans="1:2" x14ac:dyDescent="0.25">
      <c r="A5" s="22" t="s">
        <v>646</v>
      </c>
      <c r="B5" s="26">
        <v>19</v>
      </c>
    </row>
    <row r="6" spans="1:2" x14ac:dyDescent="0.25">
      <c r="A6" s="23" t="s">
        <v>720</v>
      </c>
      <c r="B6" s="26">
        <v>2</v>
      </c>
    </row>
    <row r="7" spans="1:2" x14ac:dyDescent="0.25">
      <c r="A7" s="23" t="s">
        <v>712</v>
      </c>
      <c r="B7" s="26">
        <v>2</v>
      </c>
    </row>
    <row r="8" spans="1:2" x14ac:dyDescent="0.25">
      <c r="A8" s="23" t="s">
        <v>726</v>
      </c>
      <c r="B8" s="26">
        <v>2</v>
      </c>
    </row>
    <row r="9" spans="1:2" x14ac:dyDescent="0.25">
      <c r="A9" s="23" t="s">
        <v>718</v>
      </c>
      <c r="B9" s="26">
        <v>1</v>
      </c>
    </row>
    <row r="10" spans="1:2" x14ac:dyDescent="0.25">
      <c r="A10" s="23" t="s">
        <v>714</v>
      </c>
      <c r="B10" s="26">
        <v>2</v>
      </c>
    </row>
    <row r="11" spans="1:2" x14ac:dyDescent="0.25">
      <c r="A11" s="23" t="s">
        <v>713</v>
      </c>
      <c r="B11" s="26">
        <v>3</v>
      </c>
    </row>
    <row r="12" spans="1:2" x14ac:dyDescent="0.25">
      <c r="A12" s="23" t="s">
        <v>716</v>
      </c>
      <c r="B12" s="26">
        <v>2</v>
      </c>
    </row>
    <row r="13" spans="1:2" x14ac:dyDescent="0.25">
      <c r="A13" s="23" t="s">
        <v>724</v>
      </c>
      <c r="B13" s="26">
        <v>4</v>
      </c>
    </row>
    <row r="14" spans="1:2" x14ac:dyDescent="0.25">
      <c r="A14" s="23" t="s">
        <v>1422</v>
      </c>
      <c r="B14" s="26">
        <v>1</v>
      </c>
    </row>
    <row r="15" spans="1:2" x14ac:dyDescent="0.25">
      <c r="A15" s="22" t="s">
        <v>648</v>
      </c>
      <c r="B15" s="26">
        <v>26</v>
      </c>
    </row>
    <row r="16" spans="1:2" x14ac:dyDescent="0.25">
      <c r="A16" s="23" t="s">
        <v>720</v>
      </c>
      <c r="B16" s="26">
        <v>5</v>
      </c>
    </row>
    <row r="17" spans="1:2" x14ac:dyDescent="0.25">
      <c r="A17" s="23" t="s">
        <v>717</v>
      </c>
      <c r="B17" s="26">
        <v>1</v>
      </c>
    </row>
    <row r="18" spans="1:2" x14ac:dyDescent="0.25">
      <c r="A18" s="23" t="s">
        <v>712</v>
      </c>
      <c r="B18" s="26">
        <v>2</v>
      </c>
    </row>
    <row r="19" spans="1:2" x14ac:dyDescent="0.25">
      <c r="A19" s="23" t="s">
        <v>726</v>
      </c>
      <c r="B19" s="26">
        <v>4</v>
      </c>
    </row>
    <row r="20" spans="1:2" x14ac:dyDescent="0.25">
      <c r="A20" s="23" t="s">
        <v>721</v>
      </c>
      <c r="B20" s="26">
        <v>1</v>
      </c>
    </row>
    <row r="21" spans="1:2" x14ac:dyDescent="0.25">
      <c r="A21" s="23" t="s">
        <v>715</v>
      </c>
      <c r="B21" s="26">
        <v>1</v>
      </c>
    </row>
    <row r="22" spans="1:2" x14ac:dyDescent="0.25">
      <c r="A22" s="23" t="s">
        <v>714</v>
      </c>
      <c r="B22" s="26">
        <v>5</v>
      </c>
    </row>
    <row r="23" spans="1:2" x14ac:dyDescent="0.25">
      <c r="A23" s="23" t="s">
        <v>723</v>
      </c>
      <c r="B23" s="26">
        <v>1</v>
      </c>
    </row>
    <row r="24" spans="1:2" x14ac:dyDescent="0.25">
      <c r="A24" s="23" t="s">
        <v>716</v>
      </c>
      <c r="B24" s="26">
        <v>2</v>
      </c>
    </row>
    <row r="25" spans="1:2" x14ac:dyDescent="0.25">
      <c r="A25" s="23" t="s">
        <v>724</v>
      </c>
      <c r="B25" s="26">
        <v>2</v>
      </c>
    </row>
    <row r="26" spans="1:2" x14ac:dyDescent="0.25">
      <c r="A26" s="23" t="s">
        <v>725</v>
      </c>
      <c r="B26" s="26">
        <v>1</v>
      </c>
    </row>
    <row r="27" spans="1:2" x14ac:dyDescent="0.25">
      <c r="A27" s="23" t="s">
        <v>1422</v>
      </c>
      <c r="B27" s="26">
        <v>1</v>
      </c>
    </row>
    <row r="28" spans="1:2" x14ac:dyDescent="0.25">
      <c r="A28" s="22" t="s">
        <v>647</v>
      </c>
      <c r="B28" s="26">
        <v>20</v>
      </c>
    </row>
    <row r="29" spans="1:2" x14ac:dyDescent="0.25">
      <c r="A29" s="23" t="s">
        <v>717</v>
      </c>
      <c r="B29" s="26">
        <v>1</v>
      </c>
    </row>
    <row r="30" spans="1:2" x14ac:dyDescent="0.25">
      <c r="A30" s="23" t="s">
        <v>712</v>
      </c>
      <c r="B30" s="26">
        <v>1</v>
      </c>
    </row>
    <row r="31" spans="1:2" x14ac:dyDescent="0.25">
      <c r="A31" s="23" t="s">
        <v>726</v>
      </c>
      <c r="B31" s="26">
        <v>1</v>
      </c>
    </row>
    <row r="32" spans="1:2" x14ac:dyDescent="0.25">
      <c r="A32" s="23" t="s">
        <v>721</v>
      </c>
      <c r="B32" s="26">
        <v>3</v>
      </c>
    </row>
    <row r="33" spans="1:2" x14ac:dyDescent="0.25">
      <c r="A33" s="23" t="s">
        <v>715</v>
      </c>
      <c r="B33" s="26">
        <v>1</v>
      </c>
    </row>
    <row r="34" spans="1:2" x14ac:dyDescent="0.25">
      <c r="A34" s="23" t="s">
        <v>722</v>
      </c>
      <c r="B34" s="26">
        <v>1</v>
      </c>
    </row>
    <row r="35" spans="1:2" x14ac:dyDescent="0.25">
      <c r="A35" s="23" t="s">
        <v>714</v>
      </c>
      <c r="B35" s="26">
        <v>1</v>
      </c>
    </row>
    <row r="36" spans="1:2" x14ac:dyDescent="0.25">
      <c r="A36" s="23" t="s">
        <v>713</v>
      </c>
      <c r="B36" s="26">
        <v>2</v>
      </c>
    </row>
    <row r="37" spans="1:2" x14ac:dyDescent="0.25">
      <c r="A37" s="23" t="s">
        <v>723</v>
      </c>
      <c r="B37" s="26">
        <v>1</v>
      </c>
    </row>
    <row r="38" spans="1:2" x14ac:dyDescent="0.25">
      <c r="A38" s="23" t="s">
        <v>716</v>
      </c>
      <c r="B38" s="26">
        <v>3</v>
      </c>
    </row>
    <row r="39" spans="1:2" x14ac:dyDescent="0.25">
      <c r="A39" s="23" t="s">
        <v>725</v>
      </c>
      <c r="B39" s="26">
        <v>1</v>
      </c>
    </row>
    <row r="40" spans="1:2" x14ac:dyDescent="0.25">
      <c r="A40" s="23" t="s">
        <v>719</v>
      </c>
      <c r="B40" s="26">
        <v>4</v>
      </c>
    </row>
    <row r="41" spans="1:2" x14ac:dyDescent="0.25">
      <c r="A41" s="22" t="s">
        <v>649</v>
      </c>
      <c r="B41" s="26">
        <v>17</v>
      </c>
    </row>
    <row r="42" spans="1:2" x14ac:dyDescent="0.25">
      <c r="A42" s="23" t="s">
        <v>720</v>
      </c>
      <c r="B42" s="26">
        <v>1</v>
      </c>
    </row>
    <row r="43" spans="1:2" x14ac:dyDescent="0.25">
      <c r="A43" s="23" t="s">
        <v>717</v>
      </c>
      <c r="B43" s="26">
        <v>2</v>
      </c>
    </row>
    <row r="44" spans="1:2" x14ac:dyDescent="0.25">
      <c r="A44" s="23" t="s">
        <v>712</v>
      </c>
      <c r="B44" s="26">
        <v>1</v>
      </c>
    </row>
    <row r="45" spans="1:2" x14ac:dyDescent="0.25">
      <c r="A45" s="23" t="s">
        <v>726</v>
      </c>
      <c r="B45" s="26">
        <v>1</v>
      </c>
    </row>
    <row r="46" spans="1:2" x14ac:dyDescent="0.25">
      <c r="A46" s="23" t="s">
        <v>718</v>
      </c>
      <c r="B46" s="26">
        <v>2</v>
      </c>
    </row>
    <row r="47" spans="1:2" x14ac:dyDescent="0.25">
      <c r="A47" s="23" t="s">
        <v>715</v>
      </c>
      <c r="B47" s="26">
        <v>1</v>
      </c>
    </row>
    <row r="48" spans="1:2" x14ac:dyDescent="0.25">
      <c r="A48" s="23" t="s">
        <v>722</v>
      </c>
      <c r="B48" s="26">
        <v>1</v>
      </c>
    </row>
    <row r="49" spans="1:2" x14ac:dyDescent="0.25">
      <c r="A49" s="23" t="s">
        <v>714</v>
      </c>
      <c r="B49" s="26">
        <v>1</v>
      </c>
    </row>
    <row r="50" spans="1:2" x14ac:dyDescent="0.25">
      <c r="A50" s="23" t="s">
        <v>713</v>
      </c>
      <c r="B50" s="26">
        <v>1</v>
      </c>
    </row>
    <row r="51" spans="1:2" x14ac:dyDescent="0.25">
      <c r="A51" s="23" t="s">
        <v>723</v>
      </c>
      <c r="B51" s="26">
        <v>2</v>
      </c>
    </row>
    <row r="52" spans="1:2" x14ac:dyDescent="0.25">
      <c r="A52" s="23" t="s">
        <v>724</v>
      </c>
      <c r="B52" s="26">
        <v>1</v>
      </c>
    </row>
    <row r="53" spans="1:2" x14ac:dyDescent="0.25">
      <c r="A53" s="23" t="s">
        <v>725</v>
      </c>
      <c r="B53" s="26">
        <v>3</v>
      </c>
    </row>
    <row r="54" spans="1:2" x14ac:dyDescent="0.25">
      <c r="A54" s="22" t="s">
        <v>1446</v>
      </c>
      <c r="B54" s="26">
        <v>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BFC8-2C6B-4E1E-A208-3FF84EEEB490}">
  <dimension ref="A2:N632"/>
  <sheetViews>
    <sheetView workbookViewId="0">
      <selection activeCell="C16" sqref="C16"/>
    </sheetView>
  </sheetViews>
  <sheetFormatPr defaultRowHeight="15" x14ac:dyDescent="0.25"/>
  <cols>
    <col min="1" max="1" width="13.140625" bestFit="1" customWidth="1"/>
    <col min="2" max="2" width="20.7109375" bestFit="1" customWidth="1"/>
    <col min="3" max="3" width="29.42578125" bestFit="1" customWidth="1"/>
    <col min="4" max="4" width="24.5703125" bestFit="1" customWidth="1"/>
    <col min="5" max="5" width="17.85546875" bestFit="1" customWidth="1"/>
    <col min="6" max="6" width="27" bestFit="1" customWidth="1"/>
    <col min="7" max="7" width="21.7109375" bestFit="1" customWidth="1"/>
    <col min="9" max="9" width="22.85546875" bestFit="1" customWidth="1"/>
    <col min="14" max="14" width="85.42578125" bestFit="1" customWidth="1"/>
  </cols>
  <sheetData>
    <row r="2" spans="1:14" x14ac:dyDescent="0.25">
      <c r="A2" t="s">
        <v>1493</v>
      </c>
      <c r="B2" s="9">
        <v>0.25</v>
      </c>
      <c r="C2" s="11">
        <v>25</v>
      </c>
      <c r="D2" s="40"/>
      <c r="E2" s="7">
        <f>C2/100</f>
        <v>0.25</v>
      </c>
      <c r="J2" s="9"/>
      <c r="N2" t="s">
        <v>1400</v>
      </c>
    </row>
    <row r="3" spans="1:14" x14ac:dyDescent="0.25">
      <c r="A3" t="s">
        <v>1494</v>
      </c>
      <c r="B3" s="9">
        <v>0.15</v>
      </c>
      <c r="C3" s="11"/>
      <c r="J3" s="9"/>
      <c r="N3" t="s">
        <v>1401</v>
      </c>
    </row>
    <row r="4" spans="1:14" x14ac:dyDescent="0.25">
      <c r="A4" t="s">
        <v>14</v>
      </c>
      <c r="B4" s="9">
        <v>0.2</v>
      </c>
      <c r="C4" s="11"/>
      <c r="J4" s="9"/>
      <c r="N4" t="s">
        <v>1402</v>
      </c>
    </row>
    <row r="5" spans="1:14" x14ac:dyDescent="0.25">
      <c r="A5" s="6"/>
      <c r="B5" s="7"/>
      <c r="C5" s="11"/>
      <c r="N5" t="s">
        <v>1403</v>
      </c>
    </row>
    <row r="6" spans="1:14" x14ac:dyDescent="0.25">
      <c r="A6" s="6"/>
      <c r="B6" s="7"/>
      <c r="C6" s="11"/>
      <c r="N6" t="s">
        <v>1404</v>
      </c>
    </row>
    <row r="7" spans="1:14" x14ac:dyDescent="0.25">
      <c r="A7" s="21" t="s">
        <v>1445</v>
      </c>
      <c r="B7" t="s">
        <v>1448</v>
      </c>
      <c r="C7" t="s">
        <v>1506</v>
      </c>
      <c r="D7" t="s">
        <v>1507</v>
      </c>
      <c r="E7" t="s">
        <v>1478</v>
      </c>
      <c r="F7" t="s">
        <v>1508</v>
      </c>
      <c r="G7" t="s">
        <v>1509</v>
      </c>
      <c r="N7" t="s">
        <v>1405</v>
      </c>
    </row>
    <row r="8" spans="1:14" x14ac:dyDescent="0.25">
      <c r="A8" s="22" t="s">
        <v>646</v>
      </c>
      <c r="B8" s="26">
        <v>2637532.5479000011</v>
      </c>
      <c r="C8" s="26">
        <v>3092102.3188692015</v>
      </c>
      <c r="D8" s="26">
        <v>454569.77096919972</v>
      </c>
      <c r="E8" s="26">
        <v>877560.55789999955</v>
      </c>
      <c r="F8" s="26">
        <v>1026131.2343802</v>
      </c>
      <c r="G8" s="26">
        <v>877560.55789999955</v>
      </c>
    </row>
    <row r="9" spans="1:14" x14ac:dyDescent="0.25">
      <c r="A9" s="22" t="s">
        <v>648</v>
      </c>
      <c r="B9" s="26">
        <v>2690902.8069399996</v>
      </c>
      <c r="C9" s="26">
        <v>3185653.2296120985</v>
      </c>
      <c r="D9" s="26">
        <v>494750.42267209961</v>
      </c>
      <c r="E9" s="26">
        <v>864493.55694000004</v>
      </c>
      <c r="F9" s="26">
        <v>1048754.4071120997</v>
      </c>
      <c r="G9" s="26">
        <v>864493.55694000004</v>
      </c>
    </row>
    <row r="10" spans="1:14" x14ac:dyDescent="0.25">
      <c r="A10" s="22" t="s">
        <v>647</v>
      </c>
      <c r="B10" s="26">
        <v>2841754.3329500011</v>
      </c>
      <c r="C10" s="26">
        <v>3330695.3534829011</v>
      </c>
      <c r="D10" s="26">
        <v>488941.02053289994</v>
      </c>
      <c r="E10" s="26">
        <v>863092.64294999978</v>
      </c>
      <c r="F10" s="26">
        <v>1015661.1761829002</v>
      </c>
      <c r="G10" s="26">
        <v>863092.64294999978</v>
      </c>
    </row>
    <row r="11" spans="1:14" x14ac:dyDescent="0.25">
      <c r="A11" s="22" t="s">
        <v>649</v>
      </c>
      <c r="B11" s="26">
        <v>2891144.1924100006</v>
      </c>
      <c r="C11" s="26">
        <v>3423290.7016736991</v>
      </c>
      <c r="D11" s="26">
        <v>532146.50926369999</v>
      </c>
      <c r="E11" s="26">
        <v>959991.91240999976</v>
      </c>
      <c r="F11" s="26">
        <v>1163842.5340736995</v>
      </c>
      <c r="G11" s="26">
        <v>959991.91240999976</v>
      </c>
    </row>
    <row r="12" spans="1:14" x14ac:dyDescent="0.25">
      <c r="A12" s="22" t="s">
        <v>1446</v>
      </c>
      <c r="B12" s="26">
        <v>11061333.880200002</v>
      </c>
      <c r="C12" s="26">
        <v>13031741.603637902</v>
      </c>
      <c r="D12" s="26">
        <v>1970407.7234378993</v>
      </c>
      <c r="E12" s="26">
        <v>3565138.6701999991</v>
      </c>
      <c r="F12" s="26">
        <v>4254389.3517488996</v>
      </c>
      <c r="G12" s="26">
        <v>3565138.6701999991</v>
      </c>
    </row>
    <row r="15" spans="1:14" x14ac:dyDescent="0.25">
      <c r="A15" t="s">
        <v>1517</v>
      </c>
      <c r="B15" s="35" t="s">
        <v>1512</v>
      </c>
      <c r="C15" s="35" t="s">
        <v>1511</v>
      </c>
      <c r="D15" s="35" t="s">
        <v>1510</v>
      </c>
    </row>
    <row r="16" spans="1:14" x14ac:dyDescent="0.25">
      <c r="A16" s="22" t="s">
        <v>1429</v>
      </c>
      <c r="B16" s="6">
        <f>SUM(StagingData!X2:X632)</f>
        <v>11061333.880199999</v>
      </c>
      <c r="C16" s="6">
        <f>SUM(StagingData!AF2:AF632)</f>
        <v>13031741.603637904</v>
      </c>
      <c r="D16" s="6">
        <f>C16-B16</f>
        <v>1970407.7234379053</v>
      </c>
      <c r="F16" s="7">
        <f>G16/100</f>
        <v>0.17</v>
      </c>
      <c r="G16">
        <v>17</v>
      </c>
    </row>
    <row r="17" spans="1:7" x14ac:dyDescent="0.25">
      <c r="A17" s="22" t="s">
        <v>1431</v>
      </c>
      <c r="B17" s="6">
        <f>SUM(StagingData!Z2:Z632)</f>
        <v>3565138.6702000024</v>
      </c>
      <c r="C17" s="6">
        <f>SUM(StagingData!AH2:AH632)</f>
        <v>4254389.3517488986</v>
      </c>
      <c r="D17" s="6">
        <f>C17-B17</f>
        <v>689250.68154889625</v>
      </c>
      <c r="F17" s="7">
        <f>G17/100</f>
        <v>0.04</v>
      </c>
      <c r="G17">
        <v>4</v>
      </c>
    </row>
    <row r="18" spans="1:7" x14ac:dyDescent="0.25">
      <c r="A18" s="22" t="s">
        <v>1432</v>
      </c>
      <c r="B18" s="12">
        <f>B17/B16</f>
        <v>0.32230639711379377</v>
      </c>
      <c r="C18" s="12">
        <f>C17/C16</f>
        <v>0.32646360564433347</v>
      </c>
      <c r="D18" s="12">
        <f>D17/D16</f>
        <v>0.34980104541323731</v>
      </c>
      <c r="F18" s="7">
        <f>G18/100</f>
        <v>0.17</v>
      </c>
      <c r="G18">
        <v>17</v>
      </c>
    </row>
    <row r="25" spans="1:7" x14ac:dyDescent="0.25">
      <c r="A25" s="6"/>
      <c r="B25" s="7"/>
      <c r="C25" s="11"/>
    </row>
    <row r="26" spans="1:7" x14ac:dyDescent="0.25">
      <c r="A26" s="6"/>
      <c r="B26" s="7"/>
      <c r="C26" s="11"/>
    </row>
    <row r="27" spans="1:7" x14ac:dyDescent="0.25">
      <c r="A27" s="6"/>
      <c r="B27" s="7"/>
      <c r="C27" s="11"/>
    </row>
    <row r="28" spans="1:7" x14ac:dyDescent="0.25">
      <c r="A28" s="6"/>
      <c r="B28" s="7"/>
      <c r="C28" s="11"/>
    </row>
    <row r="29" spans="1:7" x14ac:dyDescent="0.25">
      <c r="A29" s="6"/>
      <c r="B29" s="7"/>
      <c r="C29" s="11"/>
    </row>
    <row r="30" spans="1:7" x14ac:dyDescent="0.25">
      <c r="A30" s="6"/>
      <c r="B30" s="7"/>
      <c r="C30" s="11"/>
    </row>
    <row r="31" spans="1:7" x14ac:dyDescent="0.25">
      <c r="A31" s="6"/>
      <c r="B31" s="7"/>
      <c r="C31" s="11"/>
    </row>
    <row r="32" spans="1:7" x14ac:dyDescent="0.25">
      <c r="A32" s="6"/>
      <c r="B32" s="7"/>
      <c r="C32" s="11"/>
    </row>
    <row r="33" spans="1:3" x14ac:dyDescent="0.25">
      <c r="A33" s="6"/>
      <c r="B33" s="7"/>
      <c r="C33" s="11"/>
    </row>
    <row r="34" spans="1:3" x14ac:dyDescent="0.25">
      <c r="A34" s="6"/>
      <c r="B34" s="7"/>
      <c r="C34" s="11"/>
    </row>
    <row r="35" spans="1:3" x14ac:dyDescent="0.25">
      <c r="A35" s="6"/>
      <c r="B35" s="7"/>
      <c r="C35" s="11"/>
    </row>
    <row r="36" spans="1:3" x14ac:dyDescent="0.25">
      <c r="A36" s="6"/>
      <c r="B36" s="7"/>
      <c r="C36" s="11"/>
    </row>
    <row r="37" spans="1:3" x14ac:dyDescent="0.25">
      <c r="A37" s="6"/>
      <c r="B37" s="7"/>
      <c r="C37" s="11"/>
    </row>
    <row r="38" spans="1:3" x14ac:dyDescent="0.25">
      <c r="A38" s="6"/>
      <c r="B38" s="7"/>
      <c r="C38" s="11"/>
    </row>
    <row r="39" spans="1:3" x14ac:dyDescent="0.25">
      <c r="A39" s="6"/>
      <c r="B39" s="7"/>
      <c r="C39" s="11"/>
    </row>
    <row r="40" spans="1:3" x14ac:dyDescent="0.25">
      <c r="A40" s="6"/>
      <c r="B40" s="7"/>
      <c r="C40" s="11"/>
    </row>
    <row r="41" spans="1:3" x14ac:dyDescent="0.25">
      <c r="A41" s="6"/>
      <c r="B41" s="7"/>
      <c r="C41" s="11"/>
    </row>
    <row r="42" spans="1:3" x14ac:dyDescent="0.25">
      <c r="A42" s="6"/>
      <c r="B42" s="7"/>
      <c r="C42" s="11"/>
    </row>
    <row r="43" spans="1:3" x14ac:dyDescent="0.25">
      <c r="A43" s="6"/>
      <c r="B43" s="7"/>
      <c r="C43" s="11"/>
    </row>
    <row r="44" spans="1:3" x14ac:dyDescent="0.25">
      <c r="A44" s="6"/>
      <c r="B44" s="7"/>
      <c r="C44" s="11"/>
    </row>
    <row r="45" spans="1:3" x14ac:dyDescent="0.25">
      <c r="A45" s="6"/>
      <c r="B45" s="7"/>
      <c r="C45" s="11"/>
    </row>
    <row r="46" spans="1:3" x14ac:dyDescent="0.25">
      <c r="A46" s="6"/>
      <c r="B46" s="7"/>
      <c r="C46" s="11"/>
    </row>
    <row r="47" spans="1:3" x14ac:dyDescent="0.25">
      <c r="A47" s="6"/>
      <c r="B47" s="7"/>
      <c r="C47" s="11"/>
    </row>
    <row r="48" spans="1:3" x14ac:dyDescent="0.25">
      <c r="A48" s="6"/>
      <c r="B48" s="7"/>
      <c r="C48" s="11"/>
    </row>
    <row r="49" spans="1:3" x14ac:dyDescent="0.25">
      <c r="A49" s="6"/>
      <c r="B49" s="7"/>
      <c r="C49" s="11"/>
    </row>
    <row r="50" spans="1:3" x14ac:dyDescent="0.25">
      <c r="A50" s="6"/>
      <c r="B50" s="7"/>
      <c r="C50" s="11"/>
    </row>
    <row r="51" spans="1:3" x14ac:dyDescent="0.25">
      <c r="A51" s="6"/>
      <c r="B51" s="7"/>
      <c r="C51" s="11"/>
    </row>
    <row r="52" spans="1:3" x14ac:dyDescent="0.25">
      <c r="A52" s="6"/>
      <c r="B52" s="7"/>
      <c r="C52" s="11"/>
    </row>
    <row r="53" spans="1:3" x14ac:dyDescent="0.25">
      <c r="A53" s="6"/>
      <c r="B53" s="7"/>
      <c r="C53" s="11"/>
    </row>
    <row r="54" spans="1:3" x14ac:dyDescent="0.25">
      <c r="A54" s="6"/>
      <c r="B54" s="7"/>
      <c r="C54" s="11"/>
    </row>
    <row r="55" spans="1:3" x14ac:dyDescent="0.25">
      <c r="A55" s="6"/>
      <c r="B55" s="7"/>
      <c r="C55" s="11"/>
    </row>
    <row r="56" spans="1:3" x14ac:dyDescent="0.25">
      <c r="A56" s="6"/>
      <c r="B56" s="7"/>
      <c r="C56" s="11"/>
    </row>
    <row r="57" spans="1:3" x14ac:dyDescent="0.25">
      <c r="A57" s="6"/>
      <c r="B57" s="7"/>
      <c r="C57" s="11"/>
    </row>
    <row r="58" spans="1:3" x14ac:dyDescent="0.25">
      <c r="A58" s="6"/>
      <c r="B58" s="7"/>
      <c r="C58" s="11"/>
    </row>
    <row r="59" spans="1:3" x14ac:dyDescent="0.25">
      <c r="A59" s="6"/>
      <c r="B59" s="7"/>
      <c r="C59" s="11"/>
    </row>
    <row r="60" spans="1:3" x14ac:dyDescent="0.25">
      <c r="A60" s="6"/>
      <c r="B60" s="7"/>
      <c r="C60" s="11"/>
    </row>
    <row r="61" spans="1:3" x14ac:dyDescent="0.25">
      <c r="A61" s="6"/>
      <c r="B61" s="7"/>
      <c r="C61" s="11"/>
    </row>
    <row r="62" spans="1:3" x14ac:dyDescent="0.25">
      <c r="A62" s="6"/>
      <c r="B62" s="7"/>
      <c r="C62" s="11"/>
    </row>
    <row r="63" spans="1:3" x14ac:dyDescent="0.25">
      <c r="A63" s="6"/>
      <c r="B63" s="7"/>
      <c r="C63" s="11"/>
    </row>
    <row r="64" spans="1:3" x14ac:dyDescent="0.25">
      <c r="A64" s="6"/>
      <c r="B64" s="7"/>
      <c r="C64" s="11"/>
    </row>
    <row r="65" spans="1:3" x14ac:dyDescent="0.25">
      <c r="A65" s="6"/>
      <c r="B65" s="7"/>
      <c r="C65" s="11"/>
    </row>
    <row r="66" spans="1:3" x14ac:dyDescent="0.25">
      <c r="A66" s="6"/>
      <c r="B66" s="7"/>
      <c r="C66" s="11"/>
    </row>
    <row r="67" spans="1:3" x14ac:dyDescent="0.25">
      <c r="A67" s="6"/>
      <c r="B67" s="7"/>
      <c r="C67" s="11"/>
    </row>
    <row r="68" spans="1:3" x14ac:dyDescent="0.25">
      <c r="A68" s="6"/>
      <c r="B68" s="7"/>
      <c r="C68" s="11"/>
    </row>
    <row r="69" spans="1:3" x14ac:dyDescent="0.25">
      <c r="A69" s="6"/>
      <c r="B69" s="7"/>
      <c r="C69" s="11"/>
    </row>
    <row r="70" spans="1:3" x14ac:dyDescent="0.25">
      <c r="A70" s="6"/>
      <c r="B70" s="7"/>
      <c r="C70" s="11"/>
    </row>
    <row r="71" spans="1:3" x14ac:dyDescent="0.25">
      <c r="A71" s="6"/>
      <c r="B71" s="7"/>
      <c r="C71" s="11"/>
    </row>
    <row r="72" spans="1:3" x14ac:dyDescent="0.25">
      <c r="A72" s="6"/>
      <c r="B72" s="7"/>
      <c r="C72" s="11"/>
    </row>
    <row r="73" spans="1:3" x14ac:dyDescent="0.25">
      <c r="A73" s="6"/>
      <c r="B73" s="7"/>
      <c r="C73" s="11"/>
    </row>
    <row r="74" spans="1:3" x14ac:dyDescent="0.25">
      <c r="A74" s="6"/>
      <c r="B74" s="7"/>
      <c r="C74" s="11"/>
    </row>
    <row r="75" spans="1:3" x14ac:dyDescent="0.25">
      <c r="A75" s="6"/>
      <c r="B75" s="7"/>
      <c r="C75" s="11"/>
    </row>
    <row r="76" spans="1:3" x14ac:dyDescent="0.25">
      <c r="A76" s="6"/>
      <c r="B76" s="7"/>
      <c r="C76" s="11"/>
    </row>
    <row r="77" spans="1:3" x14ac:dyDescent="0.25">
      <c r="A77" s="6"/>
      <c r="B77" s="7"/>
      <c r="C77" s="11"/>
    </row>
    <row r="78" spans="1:3" x14ac:dyDescent="0.25">
      <c r="A78" s="6"/>
      <c r="B78" s="7"/>
      <c r="C78" s="11"/>
    </row>
    <row r="79" spans="1:3" x14ac:dyDescent="0.25">
      <c r="A79" s="6"/>
      <c r="B79" s="7"/>
      <c r="C79" s="11"/>
    </row>
    <row r="80" spans="1:3" x14ac:dyDescent="0.25">
      <c r="A80" s="6"/>
      <c r="B80" s="7"/>
      <c r="C80" s="11"/>
    </row>
    <row r="81" spans="1:3" x14ac:dyDescent="0.25">
      <c r="A81" s="6"/>
      <c r="B81" s="7"/>
      <c r="C81" s="11"/>
    </row>
    <row r="82" spans="1:3" x14ac:dyDescent="0.25">
      <c r="A82" s="6"/>
      <c r="B82" s="7"/>
      <c r="C82" s="11"/>
    </row>
    <row r="83" spans="1:3" x14ac:dyDescent="0.25">
      <c r="A83" s="6"/>
      <c r="B83" s="7"/>
      <c r="C83" s="11"/>
    </row>
    <row r="84" spans="1:3" x14ac:dyDescent="0.25">
      <c r="A84" s="6"/>
      <c r="B84" s="7"/>
      <c r="C84" s="11"/>
    </row>
    <row r="85" spans="1:3" x14ac:dyDescent="0.25">
      <c r="A85" s="6"/>
      <c r="B85" s="7"/>
      <c r="C85" s="11"/>
    </row>
    <row r="86" spans="1:3" x14ac:dyDescent="0.25">
      <c r="A86" s="6"/>
      <c r="B86" s="7"/>
      <c r="C86" s="11"/>
    </row>
    <row r="87" spans="1:3" x14ac:dyDescent="0.25">
      <c r="A87" s="6"/>
      <c r="B87" s="7"/>
      <c r="C87" s="11"/>
    </row>
    <row r="88" spans="1:3" x14ac:dyDescent="0.25">
      <c r="A88" s="6"/>
      <c r="B88" s="7"/>
      <c r="C88" s="11"/>
    </row>
    <row r="89" spans="1:3" x14ac:dyDescent="0.25">
      <c r="A89" s="6"/>
      <c r="B89" s="7"/>
      <c r="C89" s="11"/>
    </row>
    <row r="90" spans="1:3" x14ac:dyDescent="0.25">
      <c r="A90" s="6"/>
      <c r="B90" s="7"/>
      <c r="C90" s="11"/>
    </row>
    <row r="91" spans="1:3" x14ac:dyDescent="0.25">
      <c r="A91" s="6"/>
      <c r="B91" s="7"/>
      <c r="C91" s="11"/>
    </row>
    <row r="92" spans="1:3" x14ac:dyDescent="0.25">
      <c r="A92" s="6"/>
      <c r="B92" s="7"/>
      <c r="C92" s="11"/>
    </row>
    <row r="93" spans="1:3" x14ac:dyDescent="0.25">
      <c r="A93" s="6"/>
      <c r="B93" s="7"/>
      <c r="C93" s="11"/>
    </row>
    <row r="94" spans="1:3" x14ac:dyDescent="0.25">
      <c r="A94" s="6"/>
      <c r="B94" s="7"/>
      <c r="C94" s="11"/>
    </row>
    <row r="95" spans="1:3" x14ac:dyDescent="0.25">
      <c r="A95" s="6"/>
      <c r="B95" s="7"/>
      <c r="C95" s="11"/>
    </row>
    <row r="96" spans="1:3" x14ac:dyDescent="0.25">
      <c r="A96" s="6"/>
      <c r="B96" s="7"/>
      <c r="C96" s="11"/>
    </row>
    <row r="97" spans="1:3" x14ac:dyDescent="0.25">
      <c r="A97" s="6"/>
      <c r="B97" s="7"/>
      <c r="C97" s="11"/>
    </row>
    <row r="98" spans="1:3" x14ac:dyDescent="0.25">
      <c r="A98" s="6"/>
      <c r="B98" s="7"/>
      <c r="C98" s="11"/>
    </row>
    <row r="99" spans="1:3" x14ac:dyDescent="0.25">
      <c r="A99" s="6"/>
      <c r="B99" s="7"/>
      <c r="C99" s="11"/>
    </row>
    <row r="100" spans="1:3" x14ac:dyDescent="0.25">
      <c r="A100" s="6"/>
      <c r="B100" s="7"/>
      <c r="C100" s="11"/>
    </row>
    <row r="101" spans="1:3" x14ac:dyDescent="0.25">
      <c r="A101" s="6"/>
      <c r="B101" s="7"/>
      <c r="C101" s="11"/>
    </row>
    <row r="102" spans="1:3" x14ac:dyDescent="0.25">
      <c r="A102" s="6"/>
      <c r="B102" s="7"/>
      <c r="C102" s="11"/>
    </row>
    <row r="103" spans="1:3" x14ac:dyDescent="0.25">
      <c r="A103" s="6"/>
      <c r="B103" s="7"/>
      <c r="C103" s="11"/>
    </row>
    <row r="104" spans="1:3" x14ac:dyDescent="0.25">
      <c r="A104" s="6"/>
      <c r="B104" s="7"/>
      <c r="C104" s="11"/>
    </row>
    <row r="105" spans="1:3" x14ac:dyDescent="0.25">
      <c r="A105" s="6"/>
      <c r="B105" s="7"/>
      <c r="C105" s="11"/>
    </row>
    <row r="106" spans="1:3" x14ac:dyDescent="0.25">
      <c r="A106" s="6"/>
      <c r="B106" s="7"/>
      <c r="C106" s="11"/>
    </row>
    <row r="107" spans="1:3" x14ac:dyDescent="0.25">
      <c r="A107" s="6"/>
      <c r="B107" s="7"/>
      <c r="C107" s="11"/>
    </row>
    <row r="108" spans="1:3" x14ac:dyDescent="0.25">
      <c r="A108" s="6"/>
      <c r="B108" s="7"/>
      <c r="C108" s="11"/>
    </row>
    <row r="109" spans="1:3" x14ac:dyDescent="0.25">
      <c r="A109" s="6"/>
      <c r="B109" s="7"/>
      <c r="C109" s="11"/>
    </row>
    <row r="110" spans="1:3" x14ac:dyDescent="0.25">
      <c r="A110" s="6"/>
      <c r="B110" s="7"/>
      <c r="C110" s="11"/>
    </row>
    <row r="111" spans="1:3" x14ac:dyDescent="0.25">
      <c r="A111" s="6"/>
      <c r="B111" s="7"/>
      <c r="C111" s="11"/>
    </row>
    <row r="112" spans="1:3" x14ac:dyDescent="0.25">
      <c r="A112" s="6"/>
      <c r="B112" s="7"/>
      <c r="C112" s="11"/>
    </row>
    <row r="113" spans="1:3" x14ac:dyDescent="0.25">
      <c r="A113" s="6"/>
      <c r="B113" s="7"/>
      <c r="C113" s="11"/>
    </row>
    <row r="114" spans="1:3" x14ac:dyDescent="0.25">
      <c r="A114" s="6"/>
      <c r="B114" s="7"/>
      <c r="C114" s="11"/>
    </row>
    <row r="115" spans="1:3" x14ac:dyDescent="0.25">
      <c r="A115" s="6"/>
      <c r="B115" s="7"/>
      <c r="C115" s="11"/>
    </row>
    <row r="116" spans="1:3" x14ac:dyDescent="0.25">
      <c r="A116" s="6"/>
      <c r="B116" s="7"/>
      <c r="C116" s="11"/>
    </row>
    <row r="117" spans="1:3" x14ac:dyDescent="0.25">
      <c r="A117" s="6"/>
      <c r="B117" s="7"/>
      <c r="C117" s="11"/>
    </row>
    <row r="118" spans="1:3" x14ac:dyDescent="0.25">
      <c r="A118" s="6"/>
      <c r="B118" s="7"/>
      <c r="C118" s="11"/>
    </row>
    <row r="119" spans="1:3" x14ac:dyDescent="0.25">
      <c r="A119" s="6"/>
      <c r="B119" s="7"/>
      <c r="C119" s="11"/>
    </row>
    <row r="120" spans="1:3" x14ac:dyDescent="0.25">
      <c r="A120" s="6"/>
      <c r="B120" s="7"/>
      <c r="C120" s="11"/>
    </row>
    <row r="121" spans="1:3" x14ac:dyDescent="0.25">
      <c r="A121" s="6"/>
      <c r="B121" s="7"/>
      <c r="C121" s="11"/>
    </row>
    <row r="122" spans="1:3" x14ac:dyDescent="0.25">
      <c r="A122" s="6"/>
      <c r="B122" s="7"/>
      <c r="C122" s="11"/>
    </row>
    <row r="123" spans="1:3" x14ac:dyDescent="0.25">
      <c r="A123" s="6"/>
      <c r="B123" s="7"/>
      <c r="C123" s="11"/>
    </row>
    <row r="124" spans="1:3" x14ac:dyDescent="0.25">
      <c r="A124" s="6"/>
      <c r="B124" s="7"/>
      <c r="C124" s="11"/>
    </row>
    <row r="125" spans="1:3" x14ac:dyDescent="0.25">
      <c r="A125" s="6"/>
      <c r="B125" s="7"/>
      <c r="C125" s="11"/>
    </row>
    <row r="126" spans="1:3" x14ac:dyDescent="0.25">
      <c r="A126" s="6"/>
      <c r="B126" s="7"/>
      <c r="C126" s="11"/>
    </row>
    <row r="127" spans="1:3" x14ac:dyDescent="0.25">
      <c r="A127" s="6"/>
      <c r="B127" s="7"/>
      <c r="C127" s="11"/>
    </row>
    <row r="128" spans="1:3" x14ac:dyDescent="0.25">
      <c r="A128" s="6"/>
      <c r="B128" s="7"/>
      <c r="C128" s="11"/>
    </row>
    <row r="129" spans="1:3" x14ac:dyDescent="0.25">
      <c r="A129" s="6"/>
      <c r="B129" s="7"/>
      <c r="C129" s="11"/>
    </row>
    <row r="130" spans="1:3" x14ac:dyDescent="0.25">
      <c r="A130" s="6"/>
      <c r="B130" s="7"/>
      <c r="C130" s="11"/>
    </row>
    <row r="131" spans="1:3" x14ac:dyDescent="0.25">
      <c r="A131" s="6"/>
      <c r="B131" s="7"/>
      <c r="C131" s="11"/>
    </row>
    <row r="132" spans="1:3" x14ac:dyDescent="0.25">
      <c r="A132" s="6"/>
      <c r="B132" s="7"/>
      <c r="C132" s="11"/>
    </row>
    <row r="133" spans="1:3" x14ac:dyDescent="0.25">
      <c r="A133" s="6"/>
      <c r="B133" s="7"/>
      <c r="C133" s="11"/>
    </row>
    <row r="134" spans="1:3" x14ac:dyDescent="0.25">
      <c r="A134" s="6"/>
      <c r="B134" s="7"/>
      <c r="C134" s="11"/>
    </row>
    <row r="135" spans="1:3" x14ac:dyDescent="0.25">
      <c r="A135" s="6"/>
      <c r="B135" s="7"/>
      <c r="C135" s="11"/>
    </row>
    <row r="136" spans="1:3" x14ac:dyDescent="0.25">
      <c r="A136" s="6"/>
      <c r="B136" s="7"/>
      <c r="C136" s="11"/>
    </row>
    <row r="137" spans="1:3" x14ac:dyDescent="0.25">
      <c r="A137" s="6"/>
      <c r="B137" s="7"/>
      <c r="C137" s="11"/>
    </row>
    <row r="138" spans="1:3" x14ac:dyDescent="0.25">
      <c r="A138" s="6"/>
      <c r="B138" s="7"/>
      <c r="C138" s="11"/>
    </row>
    <row r="139" spans="1:3" x14ac:dyDescent="0.25">
      <c r="A139" s="6"/>
      <c r="B139" s="7"/>
      <c r="C139" s="11"/>
    </row>
    <row r="140" spans="1:3" x14ac:dyDescent="0.25">
      <c r="A140" s="6"/>
      <c r="B140" s="7"/>
      <c r="C140" s="11"/>
    </row>
    <row r="141" spans="1:3" x14ac:dyDescent="0.25">
      <c r="A141" s="6"/>
      <c r="B141" s="7"/>
      <c r="C141" s="11"/>
    </row>
    <row r="142" spans="1:3" x14ac:dyDescent="0.25">
      <c r="A142" s="6"/>
      <c r="B142" s="7"/>
      <c r="C142" s="11"/>
    </row>
    <row r="143" spans="1:3" x14ac:dyDescent="0.25">
      <c r="A143" s="6"/>
      <c r="B143" s="7"/>
      <c r="C143" s="11"/>
    </row>
    <row r="144" spans="1:3" x14ac:dyDescent="0.25">
      <c r="A144" s="6"/>
      <c r="B144" s="7"/>
      <c r="C144" s="11"/>
    </row>
    <row r="145" spans="1:3" x14ac:dyDescent="0.25">
      <c r="A145" s="6"/>
      <c r="B145" s="7"/>
      <c r="C145" s="11"/>
    </row>
    <row r="146" spans="1:3" x14ac:dyDescent="0.25">
      <c r="A146" s="6"/>
      <c r="B146" s="7"/>
      <c r="C146" s="11"/>
    </row>
    <row r="147" spans="1:3" x14ac:dyDescent="0.25">
      <c r="A147" s="6"/>
      <c r="B147" s="7"/>
      <c r="C147" s="11"/>
    </row>
    <row r="148" spans="1:3" x14ac:dyDescent="0.25">
      <c r="A148" s="6"/>
      <c r="B148" s="7"/>
      <c r="C148" s="11"/>
    </row>
    <row r="149" spans="1:3" x14ac:dyDescent="0.25">
      <c r="A149" s="6"/>
      <c r="B149" s="7"/>
      <c r="C149" s="11"/>
    </row>
    <row r="150" spans="1:3" x14ac:dyDescent="0.25">
      <c r="A150" s="6"/>
      <c r="B150" s="7"/>
      <c r="C150" s="11"/>
    </row>
    <row r="151" spans="1:3" x14ac:dyDescent="0.25">
      <c r="A151" s="6"/>
      <c r="B151" s="7"/>
      <c r="C151" s="11"/>
    </row>
    <row r="152" spans="1:3" x14ac:dyDescent="0.25">
      <c r="A152" s="6"/>
      <c r="B152" s="7"/>
      <c r="C152" s="11"/>
    </row>
    <row r="153" spans="1:3" x14ac:dyDescent="0.25">
      <c r="A153" s="6"/>
      <c r="B153" s="7"/>
      <c r="C153" s="11"/>
    </row>
    <row r="154" spans="1:3" x14ac:dyDescent="0.25">
      <c r="A154" s="6"/>
      <c r="B154" s="7"/>
      <c r="C154" s="11"/>
    </row>
    <row r="155" spans="1:3" x14ac:dyDescent="0.25">
      <c r="A155" s="6"/>
      <c r="B155" s="7"/>
      <c r="C155" s="11"/>
    </row>
    <row r="156" spans="1:3" x14ac:dyDescent="0.25">
      <c r="A156" s="6"/>
      <c r="B156" s="7"/>
      <c r="C156" s="11"/>
    </row>
    <row r="157" spans="1:3" x14ac:dyDescent="0.25">
      <c r="A157" s="6"/>
      <c r="B157" s="7"/>
      <c r="C157" s="11"/>
    </row>
    <row r="158" spans="1:3" x14ac:dyDescent="0.25">
      <c r="A158" s="6"/>
      <c r="B158" s="7"/>
      <c r="C158" s="11"/>
    </row>
    <row r="159" spans="1:3" x14ac:dyDescent="0.25">
      <c r="A159" s="6"/>
      <c r="B159" s="7"/>
      <c r="C159" s="11"/>
    </row>
    <row r="160" spans="1:3" x14ac:dyDescent="0.25">
      <c r="A160" s="6"/>
      <c r="B160" s="7"/>
      <c r="C160" s="11"/>
    </row>
    <row r="161" spans="1:3" x14ac:dyDescent="0.25">
      <c r="A161" s="6"/>
      <c r="B161" s="7"/>
      <c r="C161" s="11"/>
    </row>
    <row r="162" spans="1:3" x14ac:dyDescent="0.25">
      <c r="A162" s="6"/>
      <c r="B162" s="7"/>
      <c r="C162" s="11"/>
    </row>
    <row r="163" spans="1:3" x14ac:dyDescent="0.25">
      <c r="A163" s="6"/>
      <c r="B163" s="7"/>
      <c r="C163" s="11"/>
    </row>
    <row r="164" spans="1:3" x14ac:dyDescent="0.25">
      <c r="A164" s="6"/>
      <c r="B164" s="7"/>
      <c r="C164" s="11"/>
    </row>
    <row r="165" spans="1:3" x14ac:dyDescent="0.25">
      <c r="A165" s="6"/>
      <c r="B165" s="7"/>
      <c r="C165" s="11"/>
    </row>
    <row r="166" spans="1:3" x14ac:dyDescent="0.25">
      <c r="A166" s="6"/>
      <c r="B166" s="7"/>
      <c r="C166" s="11"/>
    </row>
    <row r="167" spans="1:3" x14ac:dyDescent="0.25">
      <c r="A167" s="6"/>
      <c r="B167" s="7"/>
      <c r="C167" s="11"/>
    </row>
    <row r="168" spans="1:3" x14ac:dyDescent="0.25">
      <c r="A168" s="6"/>
      <c r="B168" s="7"/>
      <c r="C168" s="11"/>
    </row>
    <row r="169" spans="1:3" x14ac:dyDescent="0.25">
      <c r="A169" s="6"/>
      <c r="B169" s="7"/>
      <c r="C169" s="11"/>
    </row>
    <row r="170" spans="1:3" x14ac:dyDescent="0.25">
      <c r="A170" s="6"/>
      <c r="B170" s="7"/>
      <c r="C170" s="11"/>
    </row>
    <row r="171" spans="1:3" x14ac:dyDescent="0.25">
      <c r="A171" s="6"/>
      <c r="B171" s="7"/>
      <c r="C171" s="11"/>
    </row>
    <row r="172" spans="1:3" x14ac:dyDescent="0.25">
      <c r="A172" s="6"/>
      <c r="B172" s="7"/>
      <c r="C172" s="11"/>
    </row>
    <row r="173" spans="1:3" x14ac:dyDescent="0.25">
      <c r="A173" s="6"/>
      <c r="B173" s="7"/>
      <c r="C173" s="11"/>
    </row>
    <row r="174" spans="1:3" x14ac:dyDescent="0.25">
      <c r="A174" s="6"/>
      <c r="B174" s="7"/>
      <c r="C174" s="11"/>
    </row>
    <row r="175" spans="1:3" x14ac:dyDescent="0.25">
      <c r="A175" s="6"/>
      <c r="B175" s="7"/>
      <c r="C175" s="11"/>
    </row>
    <row r="176" spans="1:3" x14ac:dyDescent="0.25">
      <c r="A176" s="6"/>
      <c r="B176" s="7"/>
      <c r="C176" s="11"/>
    </row>
    <row r="177" spans="1:3" x14ac:dyDescent="0.25">
      <c r="A177" s="6"/>
      <c r="B177" s="7"/>
      <c r="C177" s="11"/>
    </row>
    <row r="178" spans="1:3" x14ac:dyDescent="0.25">
      <c r="A178" s="6"/>
      <c r="B178" s="7"/>
      <c r="C178" s="11"/>
    </row>
    <row r="179" spans="1:3" x14ac:dyDescent="0.25">
      <c r="A179" s="6"/>
      <c r="B179" s="7"/>
      <c r="C179" s="11"/>
    </row>
    <row r="180" spans="1:3" x14ac:dyDescent="0.25">
      <c r="A180" s="6"/>
      <c r="B180" s="7"/>
      <c r="C180" s="11"/>
    </row>
    <row r="181" spans="1:3" x14ac:dyDescent="0.25">
      <c r="A181" s="6"/>
      <c r="B181" s="7"/>
      <c r="C181" s="11"/>
    </row>
    <row r="182" spans="1:3" x14ac:dyDescent="0.25">
      <c r="A182" s="6"/>
      <c r="B182" s="7"/>
      <c r="C182" s="11"/>
    </row>
    <row r="183" spans="1:3" x14ac:dyDescent="0.25">
      <c r="A183" s="6"/>
      <c r="B183" s="7"/>
      <c r="C183" s="11"/>
    </row>
    <row r="184" spans="1:3" x14ac:dyDescent="0.25">
      <c r="A184" s="6"/>
      <c r="B184" s="7"/>
      <c r="C184" s="11"/>
    </row>
    <row r="185" spans="1:3" x14ac:dyDescent="0.25">
      <c r="A185" s="6"/>
      <c r="B185" s="7"/>
      <c r="C185" s="11"/>
    </row>
    <row r="186" spans="1:3" x14ac:dyDescent="0.25">
      <c r="A186" s="6"/>
      <c r="B186" s="7"/>
      <c r="C186" s="11"/>
    </row>
    <row r="187" spans="1:3" x14ac:dyDescent="0.25">
      <c r="A187" s="6"/>
      <c r="B187" s="7"/>
      <c r="C187" s="11"/>
    </row>
    <row r="188" spans="1:3" x14ac:dyDescent="0.25">
      <c r="A188" s="6"/>
      <c r="B188" s="7"/>
      <c r="C188" s="11"/>
    </row>
    <row r="189" spans="1:3" x14ac:dyDescent="0.25">
      <c r="A189" s="6"/>
      <c r="B189" s="7"/>
      <c r="C189" s="11"/>
    </row>
    <row r="190" spans="1:3" x14ac:dyDescent="0.25">
      <c r="A190" s="6"/>
      <c r="B190" s="7"/>
      <c r="C190" s="11"/>
    </row>
    <row r="191" spans="1:3" x14ac:dyDescent="0.25">
      <c r="A191" s="6"/>
      <c r="B191" s="7"/>
      <c r="C191" s="11"/>
    </row>
    <row r="192" spans="1:3" x14ac:dyDescent="0.25">
      <c r="A192" s="6"/>
      <c r="B192" s="7"/>
      <c r="C192" s="11"/>
    </row>
    <row r="193" spans="1:3" x14ac:dyDescent="0.25">
      <c r="A193" s="6"/>
      <c r="B193" s="7"/>
      <c r="C193" s="11"/>
    </row>
    <row r="194" spans="1:3" x14ac:dyDescent="0.25">
      <c r="A194" s="6"/>
      <c r="B194" s="7"/>
      <c r="C194" s="11"/>
    </row>
    <row r="195" spans="1:3" x14ac:dyDescent="0.25">
      <c r="A195" s="6"/>
      <c r="B195" s="7"/>
      <c r="C195" s="11"/>
    </row>
    <row r="196" spans="1:3" x14ac:dyDescent="0.25">
      <c r="A196" s="6"/>
      <c r="B196" s="7"/>
      <c r="C196" s="11"/>
    </row>
    <row r="197" spans="1:3" x14ac:dyDescent="0.25">
      <c r="A197" s="6"/>
      <c r="B197" s="7"/>
      <c r="C197" s="11"/>
    </row>
    <row r="198" spans="1:3" x14ac:dyDescent="0.25">
      <c r="A198" s="6"/>
      <c r="B198" s="7"/>
      <c r="C198" s="11"/>
    </row>
    <row r="199" spans="1:3" x14ac:dyDescent="0.25">
      <c r="A199" s="6"/>
      <c r="B199" s="7"/>
      <c r="C199" s="11"/>
    </row>
    <row r="200" spans="1:3" x14ac:dyDescent="0.25">
      <c r="A200" s="6"/>
      <c r="B200" s="7"/>
      <c r="C200" s="11"/>
    </row>
    <row r="201" spans="1:3" x14ac:dyDescent="0.25">
      <c r="A201" s="6"/>
      <c r="B201" s="7"/>
      <c r="C201" s="11"/>
    </row>
    <row r="202" spans="1:3" x14ac:dyDescent="0.25">
      <c r="A202" s="6"/>
      <c r="B202" s="7"/>
      <c r="C202" s="11"/>
    </row>
    <row r="203" spans="1:3" x14ac:dyDescent="0.25">
      <c r="A203" s="6"/>
      <c r="B203" s="7"/>
      <c r="C203" s="11"/>
    </row>
    <row r="204" spans="1:3" x14ac:dyDescent="0.25">
      <c r="A204" s="6"/>
      <c r="B204" s="7"/>
      <c r="C204" s="11"/>
    </row>
    <row r="205" spans="1:3" x14ac:dyDescent="0.25">
      <c r="A205" s="6"/>
      <c r="B205" s="7"/>
      <c r="C205" s="11"/>
    </row>
    <row r="206" spans="1:3" x14ac:dyDescent="0.25">
      <c r="A206" s="6"/>
      <c r="B206" s="7"/>
      <c r="C206" s="11"/>
    </row>
    <row r="207" spans="1:3" x14ac:dyDescent="0.25">
      <c r="A207" s="6"/>
      <c r="B207" s="7"/>
      <c r="C207" s="11"/>
    </row>
    <row r="208" spans="1:3" x14ac:dyDescent="0.25">
      <c r="A208" s="6"/>
      <c r="B208" s="7"/>
      <c r="C208" s="11"/>
    </row>
    <row r="209" spans="1:3" x14ac:dyDescent="0.25">
      <c r="A209" s="6"/>
      <c r="B209" s="7"/>
      <c r="C209" s="11"/>
    </row>
    <row r="210" spans="1:3" x14ac:dyDescent="0.25">
      <c r="A210" s="6"/>
      <c r="B210" s="7"/>
      <c r="C210" s="11"/>
    </row>
    <row r="211" spans="1:3" x14ac:dyDescent="0.25">
      <c r="A211" s="6"/>
      <c r="B211" s="7"/>
      <c r="C211" s="11"/>
    </row>
    <row r="212" spans="1:3" x14ac:dyDescent="0.25">
      <c r="A212" s="6"/>
      <c r="B212" s="7"/>
      <c r="C212" s="11"/>
    </row>
    <row r="213" spans="1:3" x14ac:dyDescent="0.25">
      <c r="A213" s="6"/>
      <c r="B213" s="7"/>
      <c r="C213" s="11"/>
    </row>
    <row r="214" spans="1:3" x14ac:dyDescent="0.25">
      <c r="A214" s="6"/>
      <c r="B214" s="7"/>
      <c r="C214" s="11"/>
    </row>
    <row r="215" spans="1:3" x14ac:dyDescent="0.25">
      <c r="A215" s="6"/>
      <c r="B215" s="7"/>
      <c r="C215" s="11"/>
    </row>
    <row r="216" spans="1:3" x14ac:dyDescent="0.25">
      <c r="A216" s="6"/>
      <c r="B216" s="7"/>
      <c r="C216" s="11"/>
    </row>
    <row r="217" spans="1:3" x14ac:dyDescent="0.25">
      <c r="A217" s="6"/>
      <c r="B217" s="7"/>
      <c r="C217" s="11"/>
    </row>
    <row r="218" spans="1:3" x14ac:dyDescent="0.25">
      <c r="A218" s="6"/>
      <c r="B218" s="7"/>
      <c r="C218" s="11"/>
    </row>
    <row r="219" spans="1:3" x14ac:dyDescent="0.25">
      <c r="A219" s="6"/>
      <c r="B219" s="7"/>
      <c r="C219" s="11"/>
    </row>
    <row r="220" spans="1:3" x14ac:dyDescent="0.25">
      <c r="A220" s="6"/>
      <c r="B220" s="7"/>
      <c r="C220" s="11"/>
    </row>
    <row r="221" spans="1:3" x14ac:dyDescent="0.25">
      <c r="A221" s="6"/>
      <c r="B221" s="7"/>
      <c r="C221" s="11"/>
    </row>
    <row r="222" spans="1:3" x14ac:dyDescent="0.25">
      <c r="A222" s="6"/>
      <c r="B222" s="7"/>
      <c r="C222" s="11"/>
    </row>
    <row r="223" spans="1:3" x14ac:dyDescent="0.25">
      <c r="A223" s="6"/>
      <c r="B223" s="7"/>
      <c r="C223" s="11"/>
    </row>
    <row r="224" spans="1:3" x14ac:dyDescent="0.25">
      <c r="A224" s="6"/>
      <c r="B224" s="7"/>
      <c r="C224" s="11"/>
    </row>
    <row r="225" spans="1:3" x14ac:dyDescent="0.25">
      <c r="A225" s="6"/>
      <c r="B225" s="7"/>
      <c r="C225" s="11"/>
    </row>
    <row r="226" spans="1:3" x14ac:dyDescent="0.25">
      <c r="A226" s="6"/>
      <c r="B226" s="7"/>
      <c r="C226" s="11"/>
    </row>
    <row r="227" spans="1:3" x14ac:dyDescent="0.25">
      <c r="A227" s="6"/>
      <c r="B227" s="7"/>
      <c r="C227" s="11"/>
    </row>
    <row r="228" spans="1:3" x14ac:dyDescent="0.25">
      <c r="A228" s="6"/>
      <c r="B228" s="7"/>
      <c r="C228" s="11"/>
    </row>
    <row r="229" spans="1:3" x14ac:dyDescent="0.25">
      <c r="A229" s="6"/>
      <c r="B229" s="7"/>
      <c r="C229" s="11"/>
    </row>
    <row r="230" spans="1:3" x14ac:dyDescent="0.25">
      <c r="A230" s="6"/>
      <c r="B230" s="7"/>
      <c r="C230" s="11"/>
    </row>
    <row r="231" spans="1:3" x14ac:dyDescent="0.25">
      <c r="A231" s="6"/>
      <c r="B231" s="7"/>
      <c r="C231" s="11"/>
    </row>
    <row r="232" spans="1:3" x14ac:dyDescent="0.25">
      <c r="A232" s="6"/>
      <c r="B232" s="7"/>
      <c r="C232" s="11"/>
    </row>
    <row r="233" spans="1:3" x14ac:dyDescent="0.25">
      <c r="A233" s="6"/>
      <c r="B233" s="7"/>
      <c r="C233" s="11"/>
    </row>
    <row r="234" spans="1:3" x14ac:dyDescent="0.25">
      <c r="A234" s="6"/>
      <c r="B234" s="7"/>
      <c r="C234" s="11"/>
    </row>
    <row r="235" spans="1:3" x14ac:dyDescent="0.25">
      <c r="A235" s="6"/>
      <c r="B235" s="7"/>
      <c r="C235" s="11"/>
    </row>
    <row r="236" spans="1:3" x14ac:dyDescent="0.25">
      <c r="A236" s="6"/>
      <c r="B236" s="7"/>
      <c r="C236" s="11"/>
    </row>
    <row r="237" spans="1:3" x14ac:dyDescent="0.25">
      <c r="A237" s="6"/>
      <c r="B237" s="7"/>
      <c r="C237" s="11"/>
    </row>
    <row r="238" spans="1:3" x14ac:dyDescent="0.25">
      <c r="A238" s="6"/>
      <c r="B238" s="7"/>
      <c r="C238" s="11"/>
    </row>
    <row r="239" spans="1:3" x14ac:dyDescent="0.25">
      <c r="A239" s="6"/>
      <c r="B239" s="7"/>
      <c r="C239" s="11"/>
    </row>
    <row r="240" spans="1:3" x14ac:dyDescent="0.25">
      <c r="A240" s="6"/>
      <c r="B240" s="7"/>
      <c r="C240" s="11"/>
    </row>
    <row r="241" spans="1:3" x14ac:dyDescent="0.25">
      <c r="A241" s="6"/>
      <c r="B241" s="7"/>
      <c r="C241" s="11"/>
    </row>
    <row r="242" spans="1:3" x14ac:dyDescent="0.25">
      <c r="A242" s="6"/>
      <c r="B242" s="7"/>
      <c r="C242" s="11"/>
    </row>
    <row r="243" spans="1:3" x14ac:dyDescent="0.25">
      <c r="A243" s="6"/>
      <c r="B243" s="7"/>
      <c r="C243" s="11"/>
    </row>
    <row r="244" spans="1:3" x14ac:dyDescent="0.25">
      <c r="A244" s="6"/>
      <c r="B244" s="7"/>
      <c r="C244" s="11"/>
    </row>
    <row r="245" spans="1:3" x14ac:dyDescent="0.25">
      <c r="A245" s="6"/>
      <c r="B245" s="7"/>
      <c r="C245" s="11"/>
    </row>
    <row r="246" spans="1:3" x14ac:dyDescent="0.25">
      <c r="A246" s="6"/>
      <c r="B246" s="7"/>
      <c r="C246" s="11"/>
    </row>
    <row r="247" spans="1:3" x14ac:dyDescent="0.25">
      <c r="A247" s="6"/>
      <c r="B247" s="7"/>
      <c r="C247" s="11"/>
    </row>
    <row r="248" spans="1:3" x14ac:dyDescent="0.25">
      <c r="A248" s="6"/>
      <c r="B248" s="7"/>
      <c r="C248" s="11"/>
    </row>
    <row r="249" spans="1:3" x14ac:dyDescent="0.25">
      <c r="A249" s="6"/>
      <c r="B249" s="7"/>
      <c r="C249" s="11"/>
    </row>
    <row r="250" spans="1:3" x14ac:dyDescent="0.25">
      <c r="A250" s="6"/>
      <c r="B250" s="7"/>
      <c r="C250" s="11"/>
    </row>
    <row r="251" spans="1:3" x14ac:dyDescent="0.25">
      <c r="A251" s="6"/>
      <c r="B251" s="7"/>
      <c r="C251" s="11"/>
    </row>
    <row r="252" spans="1:3" x14ac:dyDescent="0.25">
      <c r="A252" s="6"/>
      <c r="B252" s="7"/>
      <c r="C252" s="11"/>
    </row>
    <row r="253" spans="1:3" x14ac:dyDescent="0.25">
      <c r="A253" s="6"/>
      <c r="B253" s="7"/>
      <c r="C253" s="11"/>
    </row>
    <row r="254" spans="1:3" x14ac:dyDescent="0.25">
      <c r="A254" s="6"/>
      <c r="B254" s="7"/>
      <c r="C254" s="11"/>
    </row>
    <row r="255" spans="1:3" x14ac:dyDescent="0.25">
      <c r="A255" s="6"/>
      <c r="B255" s="7"/>
      <c r="C255" s="11"/>
    </row>
    <row r="256" spans="1:3" x14ac:dyDescent="0.25">
      <c r="A256" s="6"/>
      <c r="B256" s="7"/>
      <c r="C256" s="11"/>
    </row>
    <row r="257" spans="1:3" x14ac:dyDescent="0.25">
      <c r="A257" s="6"/>
      <c r="B257" s="7"/>
      <c r="C257" s="11"/>
    </row>
    <row r="258" spans="1:3" x14ac:dyDescent="0.25">
      <c r="A258" s="6"/>
      <c r="B258" s="7"/>
      <c r="C258" s="11"/>
    </row>
    <row r="259" spans="1:3" x14ac:dyDescent="0.25">
      <c r="A259" s="6"/>
      <c r="B259" s="7"/>
      <c r="C259" s="11"/>
    </row>
    <row r="260" spans="1:3" x14ac:dyDescent="0.25">
      <c r="A260" s="6"/>
      <c r="B260" s="7"/>
      <c r="C260" s="11"/>
    </row>
    <row r="261" spans="1:3" x14ac:dyDescent="0.25">
      <c r="A261" s="6"/>
      <c r="B261" s="7"/>
      <c r="C261" s="11"/>
    </row>
    <row r="262" spans="1:3" x14ac:dyDescent="0.25">
      <c r="A262" s="6"/>
      <c r="B262" s="7"/>
      <c r="C262" s="11"/>
    </row>
    <row r="263" spans="1:3" x14ac:dyDescent="0.25">
      <c r="A263" s="6"/>
      <c r="B263" s="7"/>
      <c r="C263" s="11"/>
    </row>
    <row r="264" spans="1:3" x14ac:dyDescent="0.25">
      <c r="A264" s="6"/>
      <c r="B264" s="7"/>
      <c r="C264" s="11"/>
    </row>
    <row r="265" spans="1:3" x14ac:dyDescent="0.25">
      <c r="A265" s="6"/>
      <c r="B265" s="7"/>
      <c r="C265" s="11"/>
    </row>
    <row r="266" spans="1:3" x14ac:dyDescent="0.25">
      <c r="A266" s="6"/>
      <c r="B266" s="7"/>
      <c r="C266" s="11"/>
    </row>
    <row r="267" spans="1:3" x14ac:dyDescent="0.25">
      <c r="A267" s="6"/>
      <c r="B267" s="7"/>
      <c r="C267" s="11"/>
    </row>
    <row r="268" spans="1:3" x14ac:dyDescent="0.25">
      <c r="A268" s="6"/>
      <c r="B268" s="7"/>
      <c r="C268" s="11"/>
    </row>
    <row r="269" spans="1:3" x14ac:dyDescent="0.25">
      <c r="A269" s="6"/>
      <c r="B269" s="7"/>
      <c r="C269" s="11"/>
    </row>
    <row r="270" spans="1:3" x14ac:dyDescent="0.25">
      <c r="A270" s="6"/>
      <c r="B270" s="7"/>
      <c r="C270" s="11"/>
    </row>
    <row r="271" spans="1:3" x14ac:dyDescent="0.25">
      <c r="A271" s="6"/>
      <c r="B271" s="7"/>
      <c r="C271" s="11"/>
    </row>
    <row r="272" spans="1:3" x14ac:dyDescent="0.25">
      <c r="A272" s="6"/>
      <c r="B272" s="7"/>
      <c r="C272" s="11"/>
    </row>
    <row r="273" spans="1:3" x14ac:dyDescent="0.25">
      <c r="A273" s="6"/>
      <c r="B273" s="7"/>
      <c r="C273" s="11"/>
    </row>
    <row r="274" spans="1:3" x14ac:dyDescent="0.25">
      <c r="A274" s="6"/>
      <c r="B274" s="7"/>
      <c r="C274" s="11"/>
    </row>
    <row r="275" spans="1:3" x14ac:dyDescent="0.25">
      <c r="A275" s="6"/>
      <c r="B275" s="7"/>
      <c r="C275" s="11"/>
    </row>
    <row r="276" spans="1:3" x14ac:dyDescent="0.25">
      <c r="A276" s="6"/>
      <c r="B276" s="7"/>
      <c r="C276" s="11"/>
    </row>
    <row r="277" spans="1:3" x14ac:dyDescent="0.25">
      <c r="A277" s="6"/>
      <c r="B277" s="7"/>
      <c r="C277" s="11"/>
    </row>
    <row r="278" spans="1:3" x14ac:dyDescent="0.25">
      <c r="A278" s="6"/>
      <c r="B278" s="7"/>
      <c r="C278" s="11"/>
    </row>
    <row r="279" spans="1:3" x14ac:dyDescent="0.25">
      <c r="A279" s="6"/>
      <c r="B279" s="7"/>
      <c r="C279" s="11"/>
    </row>
    <row r="280" spans="1:3" x14ac:dyDescent="0.25">
      <c r="A280" s="6"/>
      <c r="B280" s="7"/>
      <c r="C280" s="11"/>
    </row>
    <row r="281" spans="1:3" x14ac:dyDescent="0.25">
      <c r="A281" s="6"/>
      <c r="B281" s="7"/>
      <c r="C281" s="11"/>
    </row>
    <row r="282" spans="1:3" x14ac:dyDescent="0.25">
      <c r="A282" s="6"/>
      <c r="B282" s="7"/>
      <c r="C282" s="11"/>
    </row>
    <row r="283" spans="1:3" x14ac:dyDescent="0.25">
      <c r="A283" s="6"/>
      <c r="B283" s="7"/>
      <c r="C283" s="11"/>
    </row>
    <row r="284" spans="1:3" x14ac:dyDescent="0.25">
      <c r="A284" s="6"/>
      <c r="B284" s="7"/>
      <c r="C284" s="11"/>
    </row>
    <row r="285" spans="1:3" x14ac:dyDescent="0.25">
      <c r="A285" s="6"/>
      <c r="B285" s="7"/>
      <c r="C285" s="11"/>
    </row>
    <row r="286" spans="1:3" x14ac:dyDescent="0.25">
      <c r="A286" s="6"/>
      <c r="B286" s="7"/>
      <c r="C286" s="11"/>
    </row>
    <row r="287" spans="1:3" x14ac:dyDescent="0.25">
      <c r="A287" s="6"/>
      <c r="B287" s="7"/>
      <c r="C287" s="11"/>
    </row>
    <row r="288" spans="1:3" x14ac:dyDescent="0.25">
      <c r="A288" s="6"/>
      <c r="B288" s="7"/>
      <c r="C288" s="11"/>
    </row>
    <row r="289" spans="1:3" x14ac:dyDescent="0.25">
      <c r="A289" s="6"/>
      <c r="B289" s="7"/>
      <c r="C289" s="11"/>
    </row>
    <row r="290" spans="1:3" x14ac:dyDescent="0.25">
      <c r="A290" s="6"/>
      <c r="B290" s="7"/>
      <c r="C290" s="11"/>
    </row>
    <row r="291" spans="1:3" x14ac:dyDescent="0.25">
      <c r="A291" s="6"/>
      <c r="B291" s="7"/>
      <c r="C291" s="11"/>
    </row>
    <row r="292" spans="1:3" x14ac:dyDescent="0.25">
      <c r="A292" s="6"/>
      <c r="B292" s="7"/>
      <c r="C292" s="11"/>
    </row>
    <row r="293" spans="1:3" x14ac:dyDescent="0.25">
      <c r="A293" s="6"/>
      <c r="B293" s="7"/>
      <c r="C293" s="11"/>
    </row>
    <row r="294" spans="1:3" x14ac:dyDescent="0.25">
      <c r="A294" s="6"/>
      <c r="B294" s="7"/>
      <c r="C294" s="11"/>
    </row>
    <row r="295" spans="1:3" x14ac:dyDescent="0.25">
      <c r="A295" s="6"/>
      <c r="B295" s="7"/>
      <c r="C295" s="11"/>
    </row>
    <row r="296" spans="1:3" x14ac:dyDescent="0.25">
      <c r="A296" s="6"/>
      <c r="B296" s="7"/>
      <c r="C296" s="11"/>
    </row>
    <row r="297" spans="1:3" x14ac:dyDescent="0.25">
      <c r="A297" s="6"/>
      <c r="B297" s="7"/>
      <c r="C297" s="11"/>
    </row>
    <row r="298" spans="1:3" x14ac:dyDescent="0.25">
      <c r="A298" s="6"/>
      <c r="B298" s="7"/>
      <c r="C298" s="11"/>
    </row>
    <row r="299" spans="1:3" x14ac:dyDescent="0.25">
      <c r="A299" s="6"/>
      <c r="B299" s="7"/>
      <c r="C299" s="11"/>
    </row>
    <row r="300" spans="1:3" x14ac:dyDescent="0.25">
      <c r="A300" s="6"/>
      <c r="B300" s="7"/>
      <c r="C300" s="11"/>
    </row>
    <row r="301" spans="1:3" x14ac:dyDescent="0.25">
      <c r="A301" s="6"/>
      <c r="B301" s="7"/>
      <c r="C301" s="11"/>
    </row>
    <row r="302" spans="1:3" x14ac:dyDescent="0.25">
      <c r="A302" s="6"/>
      <c r="B302" s="7"/>
      <c r="C302" s="11"/>
    </row>
    <row r="303" spans="1:3" x14ac:dyDescent="0.25">
      <c r="A303" s="6"/>
      <c r="B303" s="7"/>
      <c r="C303" s="11"/>
    </row>
    <row r="304" spans="1:3" x14ac:dyDescent="0.25">
      <c r="A304" s="6"/>
      <c r="B304" s="7"/>
      <c r="C304" s="11"/>
    </row>
    <row r="305" spans="1:3" x14ac:dyDescent="0.25">
      <c r="A305" s="6"/>
      <c r="B305" s="7"/>
      <c r="C305" s="11"/>
    </row>
    <row r="306" spans="1:3" x14ac:dyDescent="0.25">
      <c r="A306" s="6"/>
      <c r="B306" s="7"/>
      <c r="C306" s="11"/>
    </row>
    <row r="307" spans="1:3" x14ac:dyDescent="0.25">
      <c r="A307" s="6"/>
      <c r="B307" s="7"/>
      <c r="C307" s="11"/>
    </row>
    <row r="308" spans="1:3" x14ac:dyDescent="0.25">
      <c r="A308" s="6"/>
      <c r="B308" s="7"/>
      <c r="C308" s="11"/>
    </row>
    <row r="309" spans="1:3" x14ac:dyDescent="0.25">
      <c r="A309" s="6"/>
      <c r="B309" s="7"/>
      <c r="C309" s="11"/>
    </row>
    <row r="310" spans="1:3" x14ac:dyDescent="0.25">
      <c r="A310" s="6"/>
      <c r="B310" s="7"/>
      <c r="C310" s="11"/>
    </row>
    <row r="311" spans="1:3" x14ac:dyDescent="0.25">
      <c r="A311" s="6"/>
      <c r="B311" s="7"/>
      <c r="C311" s="11"/>
    </row>
    <row r="312" spans="1:3" x14ac:dyDescent="0.25">
      <c r="A312" s="6"/>
      <c r="B312" s="7"/>
      <c r="C312" s="11"/>
    </row>
    <row r="313" spans="1:3" x14ac:dyDescent="0.25">
      <c r="A313" s="6"/>
      <c r="B313" s="7"/>
      <c r="C313" s="11"/>
    </row>
    <row r="314" spans="1:3" x14ac:dyDescent="0.25">
      <c r="A314" s="6"/>
      <c r="B314" s="7"/>
      <c r="C314" s="11"/>
    </row>
    <row r="315" spans="1:3" x14ac:dyDescent="0.25">
      <c r="A315" s="6"/>
      <c r="B315" s="7"/>
      <c r="C315" s="11"/>
    </row>
    <row r="316" spans="1:3" x14ac:dyDescent="0.25">
      <c r="A316" s="6"/>
      <c r="B316" s="7"/>
      <c r="C316" s="11"/>
    </row>
    <row r="317" spans="1:3" x14ac:dyDescent="0.25">
      <c r="A317" s="6"/>
      <c r="B317" s="7"/>
      <c r="C317" s="11"/>
    </row>
    <row r="318" spans="1:3" x14ac:dyDescent="0.25">
      <c r="A318" s="6"/>
      <c r="B318" s="7"/>
      <c r="C318" s="11"/>
    </row>
    <row r="319" spans="1:3" x14ac:dyDescent="0.25">
      <c r="A319" s="6"/>
      <c r="B319" s="7"/>
      <c r="C319" s="11"/>
    </row>
    <row r="320" spans="1:3" x14ac:dyDescent="0.25">
      <c r="A320" s="6"/>
      <c r="B320" s="7"/>
      <c r="C320" s="11"/>
    </row>
    <row r="321" spans="1:3" x14ac:dyDescent="0.25">
      <c r="A321" s="6"/>
      <c r="B321" s="7"/>
      <c r="C321" s="11"/>
    </row>
    <row r="322" spans="1:3" x14ac:dyDescent="0.25">
      <c r="A322" s="6"/>
      <c r="B322" s="7"/>
      <c r="C322" s="11"/>
    </row>
    <row r="323" spans="1:3" x14ac:dyDescent="0.25">
      <c r="A323" s="6"/>
      <c r="B323" s="7"/>
      <c r="C323" s="11"/>
    </row>
    <row r="324" spans="1:3" x14ac:dyDescent="0.25">
      <c r="A324" s="6"/>
      <c r="B324" s="7"/>
      <c r="C324" s="11"/>
    </row>
    <row r="325" spans="1:3" x14ac:dyDescent="0.25">
      <c r="A325" s="6"/>
      <c r="B325" s="7"/>
      <c r="C325" s="11"/>
    </row>
    <row r="326" spans="1:3" x14ac:dyDescent="0.25">
      <c r="A326" s="6"/>
      <c r="B326" s="7"/>
      <c r="C326" s="11"/>
    </row>
    <row r="327" spans="1:3" x14ac:dyDescent="0.25">
      <c r="A327" s="6"/>
      <c r="B327" s="7"/>
      <c r="C327" s="11"/>
    </row>
    <row r="328" spans="1:3" x14ac:dyDescent="0.25">
      <c r="A328" s="6"/>
      <c r="B328" s="7"/>
      <c r="C328" s="11"/>
    </row>
    <row r="329" spans="1:3" x14ac:dyDescent="0.25">
      <c r="A329" s="6"/>
      <c r="B329" s="7"/>
      <c r="C329" s="11"/>
    </row>
    <row r="330" spans="1:3" x14ac:dyDescent="0.25">
      <c r="A330" s="6"/>
      <c r="B330" s="7"/>
      <c r="C330" s="11"/>
    </row>
    <row r="331" spans="1:3" x14ac:dyDescent="0.25">
      <c r="A331" s="6"/>
      <c r="B331" s="7"/>
      <c r="C331" s="11"/>
    </row>
    <row r="332" spans="1:3" x14ac:dyDescent="0.25">
      <c r="A332" s="6"/>
      <c r="B332" s="7"/>
      <c r="C332" s="11"/>
    </row>
    <row r="333" spans="1:3" x14ac:dyDescent="0.25">
      <c r="A333" s="6"/>
      <c r="B333" s="7"/>
      <c r="C333" s="11"/>
    </row>
    <row r="334" spans="1:3" x14ac:dyDescent="0.25">
      <c r="A334" s="6"/>
      <c r="B334" s="7"/>
      <c r="C334" s="11"/>
    </row>
    <row r="335" spans="1:3" x14ac:dyDescent="0.25">
      <c r="A335" s="6"/>
      <c r="B335" s="7"/>
      <c r="C335" s="11"/>
    </row>
    <row r="336" spans="1:3" x14ac:dyDescent="0.25">
      <c r="A336" s="6"/>
      <c r="B336" s="7"/>
      <c r="C336" s="11"/>
    </row>
    <row r="337" spans="1:3" x14ac:dyDescent="0.25">
      <c r="A337" s="6"/>
      <c r="B337" s="7"/>
      <c r="C337" s="11"/>
    </row>
    <row r="338" spans="1:3" x14ac:dyDescent="0.25">
      <c r="A338" s="6"/>
      <c r="B338" s="7"/>
      <c r="C338" s="11"/>
    </row>
    <row r="339" spans="1:3" x14ac:dyDescent="0.25">
      <c r="A339" s="6"/>
      <c r="B339" s="7"/>
      <c r="C339" s="11"/>
    </row>
    <row r="340" spans="1:3" x14ac:dyDescent="0.25">
      <c r="A340" s="6"/>
      <c r="B340" s="7"/>
      <c r="C340" s="11"/>
    </row>
    <row r="341" spans="1:3" x14ac:dyDescent="0.25">
      <c r="A341" s="6"/>
      <c r="B341" s="7"/>
      <c r="C341" s="11"/>
    </row>
    <row r="342" spans="1:3" x14ac:dyDescent="0.25">
      <c r="A342" s="6"/>
      <c r="B342" s="7"/>
      <c r="C342" s="11"/>
    </row>
    <row r="343" spans="1:3" x14ac:dyDescent="0.25">
      <c r="A343" s="6"/>
      <c r="B343" s="7"/>
      <c r="C343" s="11"/>
    </row>
    <row r="344" spans="1:3" x14ac:dyDescent="0.25">
      <c r="A344" s="6"/>
      <c r="B344" s="7"/>
      <c r="C344" s="11"/>
    </row>
    <row r="345" spans="1:3" x14ac:dyDescent="0.25">
      <c r="A345" s="6"/>
      <c r="B345" s="7"/>
      <c r="C345" s="11"/>
    </row>
    <row r="346" spans="1:3" x14ac:dyDescent="0.25">
      <c r="A346" s="6"/>
      <c r="B346" s="7"/>
      <c r="C346" s="11"/>
    </row>
    <row r="347" spans="1:3" x14ac:dyDescent="0.25">
      <c r="A347" s="6"/>
      <c r="B347" s="7"/>
      <c r="C347" s="11"/>
    </row>
    <row r="348" spans="1:3" x14ac:dyDescent="0.25">
      <c r="A348" s="6"/>
      <c r="B348" s="7"/>
      <c r="C348" s="11"/>
    </row>
    <row r="349" spans="1:3" x14ac:dyDescent="0.25">
      <c r="A349" s="6"/>
      <c r="B349" s="7"/>
      <c r="C349" s="11"/>
    </row>
    <row r="350" spans="1:3" x14ac:dyDescent="0.25">
      <c r="A350" s="6"/>
      <c r="B350" s="7"/>
      <c r="C350" s="11"/>
    </row>
    <row r="351" spans="1:3" x14ac:dyDescent="0.25">
      <c r="A351" s="6"/>
      <c r="B351" s="7"/>
      <c r="C351" s="11"/>
    </row>
    <row r="352" spans="1:3" x14ac:dyDescent="0.25">
      <c r="A352" s="6"/>
      <c r="B352" s="7"/>
      <c r="C352" s="11"/>
    </row>
    <row r="353" spans="1:3" x14ac:dyDescent="0.25">
      <c r="A353" s="6"/>
      <c r="B353" s="7"/>
      <c r="C353" s="11"/>
    </row>
    <row r="354" spans="1:3" x14ac:dyDescent="0.25">
      <c r="A354" s="6"/>
      <c r="B354" s="7"/>
      <c r="C354" s="11"/>
    </row>
    <row r="355" spans="1:3" x14ac:dyDescent="0.25">
      <c r="A355" s="6"/>
      <c r="B355" s="7"/>
      <c r="C355" s="11"/>
    </row>
    <row r="356" spans="1:3" x14ac:dyDescent="0.25">
      <c r="A356" s="6"/>
      <c r="B356" s="7"/>
      <c r="C356" s="11"/>
    </row>
    <row r="357" spans="1:3" x14ac:dyDescent="0.25">
      <c r="A357" s="6"/>
      <c r="B357" s="7"/>
      <c r="C357" s="11"/>
    </row>
    <row r="358" spans="1:3" x14ac:dyDescent="0.25">
      <c r="A358" s="6"/>
      <c r="B358" s="7"/>
      <c r="C358" s="11"/>
    </row>
    <row r="359" spans="1:3" x14ac:dyDescent="0.25">
      <c r="A359" s="6"/>
      <c r="B359" s="7"/>
      <c r="C359" s="11"/>
    </row>
    <row r="360" spans="1:3" x14ac:dyDescent="0.25">
      <c r="A360" s="6"/>
      <c r="B360" s="7"/>
      <c r="C360" s="11"/>
    </row>
    <row r="361" spans="1:3" x14ac:dyDescent="0.25">
      <c r="A361" s="6"/>
      <c r="B361" s="7"/>
      <c r="C361" s="11"/>
    </row>
    <row r="362" spans="1:3" x14ac:dyDescent="0.25">
      <c r="A362" s="6"/>
      <c r="B362" s="7"/>
      <c r="C362" s="11"/>
    </row>
    <row r="363" spans="1:3" x14ac:dyDescent="0.25">
      <c r="A363" s="6"/>
      <c r="B363" s="7"/>
      <c r="C363" s="11"/>
    </row>
    <row r="364" spans="1:3" x14ac:dyDescent="0.25">
      <c r="A364" s="6"/>
      <c r="B364" s="7"/>
      <c r="C364" s="11"/>
    </row>
    <row r="365" spans="1:3" x14ac:dyDescent="0.25">
      <c r="A365" s="6"/>
      <c r="B365" s="7"/>
      <c r="C365" s="11"/>
    </row>
    <row r="366" spans="1:3" x14ac:dyDescent="0.25">
      <c r="A366" s="6"/>
      <c r="B366" s="7"/>
      <c r="C366" s="11"/>
    </row>
    <row r="367" spans="1:3" x14ac:dyDescent="0.25">
      <c r="A367" s="6"/>
      <c r="B367" s="7"/>
      <c r="C367" s="11"/>
    </row>
    <row r="368" spans="1:3" x14ac:dyDescent="0.25">
      <c r="A368" s="6"/>
      <c r="B368" s="7"/>
      <c r="C368" s="11"/>
    </row>
    <row r="369" spans="1:3" x14ac:dyDescent="0.25">
      <c r="A369" s="6"/>
      <c r="B369" s="7"/>
      <c r="C369" s="11"/>
    </row>
    <row r="370" spans="1:3" x14ac:dyDescent="0.25">
      <c r="A370" s="6"/>
      <c r="B370" s="7"/>
      <c r="C370" s="11"/>
    </row>
    <row r="371" spans="1:3" x14ac:dyDescent="0.25">
      <c r="A371" s="6"/>
      <c r="B371" s="7"/>
      <c r="C371" s="11"/>
    </row>
    <row r="372" spans="1:3" x14ac:dyDescent="0.25">
      <c r="A372" s="6"/>
      <c r="B372" s="7"/>
      <c r="C372" s="11"/>
    </row>
    <row r="373" spans="1:3" x14ac:dyDescent="0.25">
      <c r="A373" s="6"/>
      <c r="B373" s="7"/>
      <c r="C373" s="11"/>
    </row>
    <row r="374" spans="1:3" x14ac:dyDescent="0.25">
      <c r="A374" s="6"/>
      <c r="B374" s="7"/>
      <c r="C374" s="11"/>
    </row>
    <row r="375" spans="1:3" x14ac:dyDescent="0.25">
      <c r="A375" s="6"/>
      <c r="B375" s="7"/>
      <c r="C375" s="11"/>
    </row>
    <row r="376" spans="1:3" x14ac:dyDescent="0.25">
      <c r="A376" s="6"/>
      <c r="B376" s="7"/>
      <c r="C376" s="11"/>
    </row>
    <row r="377" spans="1:3" x14ac:dyDescent="0.25">
      <c r="A377" s="6"/>
      <c r="B377" s="7"/>
      <c r="C377" s="11"/>
    </row>
    <row r="378" spans="1:3" x14ac:dyDescent="0.25">
      <c r="A378" s="6"/>
      <c r="B378" s="7"/>
      <c r="C378" s="11"/>
    </row>
    <row r="379" spans="1:3" x14ac:dyDescent="0.25">
      <c r="A379" s="6"/>
      <c r="B379" s="7"/>
      <c r="C379" s="11"/>
    </row>
    <row r="380" spans="1:3" x14ac:dyDescent="0.25">
      <c r="A380" s="6"/>
      <c r="B380" s="7"/>
      <c r="C380" s="11"/>
    </row>
    <row r="381" spans="1:3" x14ac:dyDescent="0.25">
      <c r="A381" s="6"/>
      <c r="B381" s="7"/>
      <c r="C381" s="11"/>
    </row>
    <row r="382" spans="1:3" x14ac:dyDescent="0.25">
      <c r="A382" s="6"/>
      <c r="B382" s="7"/>
      <c r="C382" s="11"/>
    </row>
    <row r="383" spans="1:3" x14ac:dyDescent="0.25">
      <c r="A383" s="6"/>
      <c r="B383" s="7"/>
      <c r="C383" s="11"/>
    </row>
    <row r="384" spans="1:3" x14ac:dyDescent="0.25">
      <c r="A384" s="6"/>
      <c r="B384" s="7"/>
      <c r="C384" s="11"/>
    </row>
    <row r="385" spans="1:3" x14ac:dyDescent="0.25">
      <c r="A385" s="6"/>
      <c r="B385" s="7"/>
      <c r="C385" s="11"/>
    </row>
    <row r="386" spans="1:3" x14ac:dyDescent="0.25">
      <c r="A386" s="6"/>
      <c r="B386" s="7"/>
      <c r="C386" s="11"/>
    </row>
    <row r="387" spans="1:3" x14ac:dyDescent="0.25">
      <c r="A387" s="6"/>
      <c r="B387" s="7"/>
      <c r="C387" s="11"/>
    </row>
    <row r="388" spans="1:3" x14ac:dyDescent="0.25">
      <c r="A388" s="6"/>
      <c r="B388" s="7"/>
      <c r="C388" s="11"/>
    </row>
    <row r="389" spans="1:3" x14ac:dyDescent="0.25">
      <c r="A389" s="6"/>
      <c r="B389" s="7"/>
      <c r="C389" s="11"/>
    </row>
    <row r="390" spans="1:3" x14ac:dyDescent="0.25">
      <c r="A390" s="6"/>
      <c r="B390" s="7"/>
      <c r="C390" s="11"/>
    </row>
    <row r="391" spans="1:3" x14ac:dyDescent="0.25">
      <c r="A391" s="6"/>
      <c r="B391" s="7"/>
      <c r="C391" s="11"/>
    </row>
    <row r="392" spans="1:3" x14ac:dyDescent="0.25">
      <c r="A392" s="6"/>
      <c r="B392" s="7"/>
      <c r="C392" s="11"/>
    </row>
    <row r="393" spans="1:3" x14ac:dyDescent="0.25">
      <c r="A393" s="6"/>
      <c r="B393" s="7"/>
      <c r="C393" s="11"/>
    </row>
    <row r="394" spans="1:3" x14ac:dyDescent="0.25">
      <c r="A394" s="6"/>
      <c r="B394" s="7"/>
      <c r="C394" s="11"/>
    </row>
    <row r="395" spans="1:3" x14ac:dyDescent="0.25">
      <c r="A395" s="6"/>
      <c r="B395" s="7"/>
      <c r="C395" s="11"/>
    </row>
    <row r="396" spans="1:3" x14ac:dyDescent="0.25">
      <c r="A396" s="6"/>
      <c r="B396" s="7"/>
      <c r="C396" s="11"/>
    </row>
    <row r="397" spans="1:3" x14ac:dyDescent="0.25">
      <c r="A397" s="6"/>
      <c r="B397" s="7"/>
      <c r="C397" s="11"/>
    </row>
    <row r="398" spans="1:3" x14ac:dyDescent="0.25">
      <c r="A398" s="6"/>
      <c r="B398" s="7"/>
      <c r="C398" s="11"/>
    </row>
    <row r="399" spans="1:3" x14ac:dyDescent="0.25">
      <c r="A399" s="6"/>
      <c r="B399" s="7"/>
      <c r="C399" s="11"/>
    </row>
    <row r="400" spans="1:3" x14ac:dyDescent="0.25">
      <c r="A400" s="6"/>
      <c r="B400" s="7"/>
      <c r="C400" s="11"/>
    </row>
    <row r="401" spans="1:3" x14ac:dyDescent="0.25">
      <c r="A401" s="6"/>
      <c r="B401" s="7"/>
      <c r="C401" s="11"/>
    </row>
    <row r="402" spans="1:3" x14ac:dyDescent="0.25">
      <c r="A402" s="6"/>
      <c r="B402" s="7"/>
      <c r="C402" s="11"/>
    </row>
    <row r="403" spans="1:3" x14ac:dyDescent="0.25">
      <c r="A403" s="6"/>
      <c r="B403" s="7"/>
      <c r="C403" s="11"/>
    </row>
    <row r="404" spans="1:3" x14ac:dyDescent="0.25">
      <c r="A404" s="6"/>
      <c r="B404" s="7"/>
      <c r="C404" s="11"/>
    </row>
    <row r="405" spans="1:3" x14ac:dyDescent="0.25">
      <c r="A405" s="6"/>
      <c r="B405" s="7"/>
      <c r="C405" s="11"/>
    </row>
    <row r="406" spans="1:3" x14ac:dyDescent="0.25">
      <c r="A406" s="6"/>
      <c r="B406" s="7"/>
      <c r="C406" s="11"/>
    </row>
    <row r="407" spans="1:3" x14ac:dyDescent="0.25">
      <c r="A407" s="6"/>
      <c r="B407" s="7"/>
      <c r="C407" s="11"/>
    </row>
    <row r="408" spans="1:3" x14ac:dyDescent="0.25">
      <c r="A408" s="6"/>
      <c r="B408" s="7"/>
      <c r="C408" s="11"/>
    </row>
    <row r="409" spans="1:3" x14ac:dyDescent="0.25">
      <c r="A409" s="6"/>
      <c r="B409" s="7"/>
      <c r="C409" s="11"/>
    </row>
    <row r="410" spans="1:3" x14ac:dyDescent="0.25">
      <c r="A410" s="6"/>
      <c r="B410" s="7"/>
      <c r="C410" s="11"/>
    </row>
    <row r="411" spans="1:3" x14ac:dyDescent="0.25">
      <c r="A411" s="6"/>
      <c r="B411" s="7"/>
      <c r="C411" s="11"/>
    </row>
    <row r="412" spans="1:3" x14ac:dyDescent="0.25">
      <c r="A412" s="6"/>
      <c r="B412" s="7"/>
      <c r="C412" s="11"/>
    </row>
    <row r="413" spans="1:3" x14ac:dyDescent="0.25">
      <c r="A413" s="6"/>
      <c r="B413" s="7"/>
      <c r="C413" s="11"/>
    </row>
    <row r="414" spans="1:3" x14ac:dyDescent="0.25">
      <c r="A414" s="6"/>
      <c r="B414" s="7"/>
      <c r="C414" s="11"/>
    </row>
    <row r="415" spans="1:3" x14ac:dyDescent="0.25">
      <c r="A415" s="6"/>
      <c r="B415" s="7"/>
      <c r="C415" s="11"/>
    </row>
    <row r="416" spans="1:3" x14ac:dyDescent="0.25">
      <c r="A416" s="6"/>
      <c r="B416" s="7"/>
      <c r="C416" s="11"/>
    </row>
    <row r="417" spans="1:3" x14ac:dyDescent="0.25">
      <c r="A417" s="6"/>
      <c r="B417" s="7"/>
      <c r="C417" s="11"/>
    </row>
    <row r="418" spans="1:3" x14ac:dyDescent="0.25">
      <c r="A418" s="6"/>
      <c r="B418" s="7"/>
      <c r="C418" s="11"/>
    </row>
    <row r="419" spans="1:3" x14ac:dyDescent="0.25">
      <c r="A419" s="6"/>
      <c r="B419" s="7"/>
      <c r="C419" s="11"/>
    </row>
    <row r="420" spans="1:3" x14ac:dyDescent="0.25">
      <c r="A420" s="6"/>
      <c r="B420" s="7"/>
      <c r="C420" s="11"/>
    </row>
    <row r="421" spans="1:3" x14ac:dyDescent="0.25">
      <c r="A421" s="6"/>
      <c r="B421" s="7"/>
      <c r="C421" s="11"/>
    </row>
    <row r="422" spans="1:3" x14ac:dyDescent="0.25">
      <c r="A422" s="6"/>
      <c r="B422" s="7"/>
      <c r="C422" s="11"/>
    </row>
    <row r="423" spans="1:3" x14ac:dyDescent="0.25">
      <c r="A423" s="6"/>
      <c r="B423" s="7"/>
      <c r="C423" s="11"/>
    </row>
    <row r="424" spans="1:3" x14ac:dyDescent="0.25">
      <c r="A424" s="6"/>
      <c r="B424" s="7"/>
      <c r="C424" s="11"/>
    </row>
    <row r="425" spans="1:3" x14ac:dyDescent="0.25">
      <c r="A425" s="6"/>
      <c r="B425" s="7"/>
      <c r="C425" s="11"/>
    </row>
    <row r="426" spans="1:3" x14ac:dyDescent="0.25">
      <c r="A426" s="6"/>
      <c r="B426" s="7"/>
      <c r="C426" s="11"/>
    </row>
    <row r="427" spans="1:3" x14ac:dyDescent="0.25">
      <c r="A427" s="6"/>
      <c r="B427" s="7"/>
      <c r="C427" s="11"/>
    </row>
    <row r="428" spans="1:3" x14ac:dyDescent="0.25">
      <c r="A428" s="6"/>
      <c r="B428" s="7"/>
      <c r="C428" s="11"/>
    </row>
    <row r="429" spans="1:3" x14ac:dyDescent="0.25">
      <c r="A429" s="6"/>
      <c r="B429" s="7"/>
      <c r="C429" s="11"/>
    </row>
    <row r="430" spans="1:3" x14ac:dyDescent="0.25">
      <c r="A430" s="6"/>
      <c r="B430" s="7"/>
      <c r="C430" s="11"/>
    </row>
    <row r="431" spans="1:3" x14ac:dyDescent="0.25">
      <c r="A431" s="6"/>
      <c r="B431" s="7"/>
      <c r="C431" s="11"/>
    </row>
    <row r="432" spans="1:3" x14ac:dyDescent="0.25">
      <c r="A432" s="6"/>
      <c r="B432" s="7"/>
      <c r="C432" s="11"/>
    </row>
    <row r="433" spans="1:3" x14ac:dyDescent="0.25">
      <c r="A433" s="6"/>
      <c r="B433" s="7"/>
      <c r="C433" s="11"/>
    </row>
    <row r="434" spans="1:3" x14ac:dyDescent="0.25">
      <c r="A434" s="6"/>
      <c r="B434" s="7"/>
      <c r="C434" s="11"/>
    </row>
    <row r="435" spans="1:3" x14ac:dyDescent="0.25">
      <c r="A435" s="6"/>
      <c r="B435" s="7"/>
      <c r="C435" s="11"/>
    </row>
    <row r="436" spans="1:3" x14ac:dyDescent="0.25">
      <c r="A436" s="6"/>
      <c r="B436" s="7"/>
      <c r="C436" s="11"/>
    </row>
    <row r="437" spans="1:3" x14ac:dyDescent="0.25">
      <c r="A437" s="6"/>
      <c r="B437" s="7"/>
      <c r="C437" s="11"/>
    </row>
    <row r="438" spans="1:3" x14ac:dyDescent="0.25">
      <c r="A438" s="6"/>
      <c r="B438" s="7"/>
      <c r="C438" s="11"/>
    </row>
    <row r="439" spans="1:3" x14ac:dyDescent="0.25">
      <c r="A439" s="6"/>
      <c r="B439" s="7"/>
      <c r="C439" s="11"/>
    </row>
    <row r="440" spans="1:3" x14ac:dyDescent="0.25">
      <c r="A440" s="6"/>
      <c r="B440" s="7"/>
      <c r="C440" s="11"/>
    </row>
    <row r="441" spans="1:3" x14ac:dyDescent="0.25">
      <c r="A441" s="6"/>
      <c r="B441" s="7"/>
      <c r="C441" s="11"/>
    </row>
    <row r="442" spans="1:3" x14ac:dyDescent="0.25">
      <c r="A442" s="6"/>
      <c r="B442" s="7"/>
      <c r="C442" s="11"/>
    </row>
    <row r="443" spans="1:3" x14ac:dyDescent="0.25">
      <c r="A443" s="6"/>
      <c r="B443" s="7"/>
      <c r="C443" s="11"/>
    </row>
    <row r="444" spans="1:3" x14ac:dyDescent="0.25">
      <c r="A444" s="6"/>
      <c r="B444" s="7"/>
      <c r="C444" s="11"/>
    </row>
    <row r="445" spans="1:3" x14ac:dyDescent="0.25">
      <c r="A445" s="6"/>
      <c r="B445" s="7"/>
      <c r="C445" s="11"/>
    </row>
    <row r="446" spans="1:3" x14ac:dyDescent="0.25">
      <c r="A446" s="6"/>
      <c r="B446" s="7"/>
      <c r="C446" s="11"/>
    </row>
    <row r="447" spans="1:3" x14ac:dyDescent="0.25">
      <c r="A447" s="6"/>
      <c r="B447" s="7"/>
      <c r="C447" s="11"/>
    </row>
    <row r="448" spans="1:3" x14ac:dyDescent="0.25">
      <c r="A448" s="6"/>
      <c r="B448" s="7"/>
      <c r="C448" s="11"/>
    </row>
    <row r="449" spans="1:3" x14ac:dyDescent="0.25">
      <c r="A449" s="6"/>
      <c r="B449" s="7"/>
      <c r="C449" s="11"/>
    </row>
    <row r="450" spans="1:3" x14ac:dyDescent="0.25">
      <c r="A450" s="6"/>
      <c r="B450" s="7"/>
      <c r="C450" s="11"/>
    </row>
    <row r="451" spans="1:3" x14ac:dyDescent="0.25">
      <c r="A451" s="6"/>
      <c r="B451" s="7"/>
      <c r="C451" s="11"/>
    </row>
    <row r="452" spans="1:3" x14ac:dyDescent="0.25">
      <c r="A452" s="6"/>
      <c r="B452" s="7"/>
      <c r="C452" s="11"/>
    </row>
    <row r="453" spans="1:3" x14ac:dyDescent="0.25">
      <c r="A453" s="6"/>
      <c r="B453" s="7"/>
      <c r="C453" s="11"/>
    </row>
    <row r="454" spans="1:3" x14ac:dyDescent="0.25">
      <c r="A454" s="6"/>
      <c r="B454" s="7"/>
      <c r="C454" s="11"/>
    </row>
    <row r="455" spans="1:3" x14ac:dyDescent="0.25">
      <c r="A455" s="6"/>
      <c r="B455" s="7"/>
      <c r="C455" s="11"/>
    </row>
    <row r="456" spans="1:3" x14ac:dyDescent="0.25">
      <c r="A456" s="6"/>
      <c r="B456" s="7"/>
      <c r="C456" s="11"/>
    </row>
    <row r="457" spans="1:3" x14ac:dyDescent="0.25">
      <c r="A457" s="6"/>
      <c r="B457" s="7"/>
      <c r="C457" s="11"/>
    </row>
    <row r="458" spans="1:3" x14ac:dyDescent="0.25">
      <c r="A458" s="6"/>
      <c r="B458" s="7"/>
      <c r="C458" s="11"/>
    </row>
    <row r="459" spans="1:3" x14ac:dyDescent="0.25">
      <c r="A459" s="6"/>
      <c r="B459" s="7"/>
      <c r="C459" s="11"/>
    </row>
    <row r="460" spans="1:3" x14ac:dyDescent="0.25">
      <c r="A460" s="6"/>
      <c r="B460" s="7"/>
      <c r="C460" s="11"/>
    </row>
    <row r="461" spans="1:3" x14ac:dyDescent="0.25">
      <c r="A461" s="6"/>
      <c r="B461" s="7"/>
      <c r="C461" s="11"/>
    </row>
    <row r="462" spans="1:3" x14ac:dyDescent="0.25">
      <c r="A462" s="6"/>
      <c r="B462" s="7"/>
      <c r="C462" s="11"/>
    </row>
    <row r="463" spans="1:3" x14ac:dyDescent="0.25">
      <c r="A463" s="6"/>
      <c r="B463" s="7"/>
      <c r="C463" s="11"/>
    </row>
    <row r="464" spans="1:3" x14ac:dyDescent="0.25">
      <c r="A464" s="6"/>
      <c r="B464" s="7"/>
      <c r="C464" s="11"/>
    </row>
    <row r="465" spans="1:3" x14ac:dyDescent="0.25">
      <c r="A465" s="6"/>
      <c r="B465" s="7"/>
      <c r="C465" s="11"/>
    </row>
    <row r="466" spans="1:3" x14ac:dyDescent="0.25">
      <c r="A466" s="6"/>
      <c r="B466" s="7"/>
      <c r="C466" s="11"/>
    </row>
    <row r="467" spans="1:3" x14ac:dyDescent="0.25">
      <c r="A467" s="6"/>
      <c r="B467" s="7"/>
      <c r="C467" s="11"/>
    </row>
    <row r="468" spans="1:3" x14ac:dyDescent="0.25">
      <c r="A468" s="6"/>
      <c r="B468" s="7"/>
      <c r="C468" s="11"/>
    </row>
    <row r="469" spans="1:3" x14ac:dyDescent="0.25">
      <c r="A469" s="6"/>
      <c r="B469" s="7"/>
      <c r="C469" s="11"/>
    </row>
    <row r="470" spans="1:3" x14ac:dyDescent="0.25">
      <c r="A470" s="6"/>
      <c r="B470" s="7"/>
      <c r="C470" s="11"/>
    </row>
    <row r="471" spans="1:3" x14ac:dyDescent="0.25">
      <c r="A471" s="6"/>
      <c r="B471" s="7"/>
      <c r="C471" s="11"/>
    </row>
    <row r="472" spans="1:3" x14ac:dyDescent="0.25">
      <c r="A472" s="6"/>
      <c r="B472" s="7"/>
      <c r="C472" s="11"/>
    </row>
    <row r="473" spans="1:3" x14ac:dyDescent="0.25">
      <c r="A473" s="6"/>
      <c r="B473" s="7"/>
      <c r="C473" s="11"/>
    </row>
    <row r="474" spans="1:3" x14ac:dyDescent="0.25">
      <c r="A474" s="6"/>
      <c r="B474" s="7"/>
      <c r="C474" s="11"/>
    </row>
    <row r="475" spans="1:3" x14ac:dyDescent="0.25">
      <c r="A475" s="6"/>
      <c r="B475" s="7"/>
      <c r="C475" s="11"/>
    </row>
    <row r="476" spans="1:3" x14ac:dyDescent="0.25">
      <c r="A476" s="6"/>
      <c r="B476" s="7"/>
      <c r="C476" s="11"/>
    </row>
    <row r="477" spans="1:3" x14ac:dyDescent="0.25">
      <c r="A477" s="6"/>
      <c r="B477" s="7"/>
      <c r="C477" s="11"/>
    </row>
    <row r="478" spans="1:3" x14ac:dyDescent="0.25">
      <c r="A478" s="6"/>
      <c r="B478" s="7"/>
      <c r="C478" s="11"/>
    </row>
    <row r="479" spans="1:3" x14ac:dyDescent="0.25">
      <c r="A479" s="6"/>
      <c r="B479" s="7"/>
      <c r="C479" s="11"/>
    </row>
    <row r="480" spans="1:3" x14ac:dyDescent="0.25">
      <c r="A480" s="6"/>
      <c r="B480" s="7"/>
      <c r="C480" s="11"/>
    </row>
    <row r="481" spans="1:3" x14ac:dyDescent="0.25">
      <c r="A481" s="6"/>
      <c r="B481" s="7"/>
      <c r="C481" s="11"/>
    </row>
    <row r="482" spans="1:3" x14ac:dyDescent="0.25">
      <c r="A482" s="6"/>
      <c r="B482" s="7"/>
      <c r="C482" s="11"/>
    </row>
    <row r="483" spans="1:3" x14ac:dyDescent="0.25">
      <c r="A483" s="6"/>
      <c r="B483" s="7"/>
      <c r="C483" s="11"/>
    </row>
    <row r="484" spans="1:3" x14ac:dyDescent="0.25">
      <c r="A484" s="6"/>
      <c r="B484" s="7"/>
      <c r="C484" s="11"/>
    </row>
    <row r="485" spans="1:3" x14ac:dyDescent="0.25">
      <c r="A485" s="6"/>
      <c r="B485" s="7"/>
      <c r="C485" s="11"/>
    </row>
    <row r="486" spans="1:3" x14ac:dyDescent="0.25">
      <c r="A486" s="6"/>
      <c r="B486" s="7"/>
      <c r="C486" s="11"/>
    </row>
    <row r="487" spans="1:3" x14ac:dyDescent="0.25">
      <c r="A487" s="6"/>
      <c r="B487" s="7"/>
      <c r="C487" s="11"/>
    </row>
    <row r="488" spans="1:3" x14ac:dyDescent="0.25">
      <c r="A488" s="6"/>
      <c r="B488" s="7"/>
      <c r="C488" s="11"/>
    </row>
    <row r="489" spans="1:3" x14ac:dyDescent="0.25">
      <c r="A489" s="6"/>
      <c r="B489" s="7"/>
      <c r="C489" s="11"/>
    </row>
    <row r="490" spans="1:3" x14ac:dyDescent="0.25">
      <c r="A490" s="6"/>
      <c r="B490" s="7"/>
      <c r="C490" s="11"/>
    </row>
    <row r="491" spans="1:3" x14ac:dyDescent="0.25">
      <c r="A491" s="6"/>
      <c r="B491" s="7"/>
      <c r="C491" s="11"/>
    </row>
    <row r="492" spans="1:3" x14ac:dyDescent="0.25">
      <c r="A492" s="6"/>
      <c r="B492" s="7"/>
      <c r="C492" s="11"/>
    </row>
    <row r="493" spans="1:3" x14ac:dyDescent="0.25">
      <c r="A493" s="6"/>
      <c r="B493" s="7"/>
      <c r="C493" s="11"/>
    </row>
    <row r="494" spans="1:3" x14ac:dyDescent="0.25">
      <c r="A494" s="6"/>
      <c r="B494" s="7"/>
      <c r="C494" s="11"/>
    </row>
    <row r="495" spans="1:3" x14ac:dyDescent="0.25">
      <c r="A495" s="6"/>
      <c r="B495" s="7"/>
      <c r="C495" s="11"/>
    </row>
    <row r="496" spans="1:3" x14ac:dyDescent="0.25">
      <c r="A496" s="6"/>
      <c r="B496" s="7"/>
      <c r="C496" s="11"/>
    </row>
    <row r="497" spans="1:3" x14ac:dyDescent="0.25">
      <c r="A497" s="6"/>
      <c r="B497" s="7"/>
      <c r="C497" s="11"/>
    </row>
    <row r="498" spans="1:3" x14ac:dyDescent="0.25">
      <c r="A498" s="6"/>
      <c r="B498" s="7"/>
      <c r="C498" s="11"/>
    </row>
    <row r="499" spans="1:3" x14ac:dyDescent="0.25">
      <c r="A499" s="6"/>
      <c r="B499" s="7"/>
      <c r="C499" s="11"/>
    </row>
    <row r="500" spans="1:3" x14ac:dyDescent="0.25">
      <c r="A500" s="6"/>
      <c r="B500" s="7"/>
      <c r="C500" s="11"/>
    </row>
    <row r="501" spans="1:3" x14ac:dyDescent="0.25">
      <c r="A501" s="6"/>
      <c r="B501" s="7"/>
      <c r="C501" s="11"/>
    </row>
    <row r="502" spans="1:3" x14ac:dyDescent="0.25">
      <c r="A502" s="6"/>
      <c r="B502" s="7"/>
      <c r="C502" s="11"/>
    </row>
    <row r="503" spans="1:3" x14ac:dyDescent="0.25">
      <c r="A503" s="6"/>
      <c r="B503" s="7"/>
      <c r="C503" s="11"/>
    </row>
    <row r="504" spans="1:3" x14ac:dyDescent="0.25">
      <c r="A504" s="6"/>
      <c r="B504" s="7"/>
      <c r="C504" s="11"/>
    </row>
    <row r="505" spans="1:3" x14ac:dyDescent="0.25">
      <c r="A505" s="6"/>
      <c r="B505" s="7"/>
      <c r="C505" s="11"/>
    </row>
    <row r="506" spans="1:3" x14ac:dyDescent="0.25">
      <c r="A506" s="6"/>
      <c r="B506" s="7"/>
      <c r="C506" s="11"/>
    </row>
    <row r="507" spans="1:3" x14ac:dyDescent="0.25">
      <c r="A507" s="6"/>
      <c r="B507" s="7"/>
      <c r="C507" s="11"/>
    </row>
    <row r="508" spans="1:3" x14ac:dyDescent="0.25">
      <c r="A508" s="6"/>
      <c r="B508" s="7"/>
      <c r="C508" s="11"/>
    </row>
    <row r="509" spans="1:3" x14ac:dyDescent="0.25">
      <c r="A509" s="6"/>
      <c r="B509" s="7"/>
      <c r="C509" s="11"/>
    </row>
    <row r="510" spans="1:3" x14ac:dyDescent="0.25">
      <c r="A510" s="6"/>
      <c r="B510" s="7"/>
      <c r="C510" s="11"/>
    </row>
    <row r="511" spans="1:3" x14ac:dyDescent="0.25">
      <c r="A511" s="6"/>
      <c r="B511" s="7"/>
      <c r="C511" s="11"/>
    </row>
    <row r="512" spans="1:3" x14ac:dyDescent="0.25">
      <c r="A512" s="6"/>
      <c r="B512" s="7"/>
      <c r="C512" s="11"/>
    </row>
    <row r="513" spans="1:3" x14ac:dyDescent="0.25">
      <c r="A513" s="6"/>
      <c r="B513" s="7"/>
      <c r="C513" s="11"/>
    </row>
    <row r="514" spans="1:3" x14ac:dyDescent="0.25">
      <c r="A514" s="6"/>
      <c r="B514" s="7"/>
      <c r="C514" s="11"/>
    </row>
    <row r="515" spans="1:3" x14ac:dyDescent="0.25">
      <c r="A515" s="6"/>
      <c r="B515" s="7"/>
      <c r="C515" s="11"/>
    </row>
    <row r="516" spans="1:3" x14ac:dyDescent="0.25">
      <c r="A516" s="6"/>
      <c r="B516" s="7"/>
      <c r="C516" s="11"/>
    </row>
    <row r="517" spans="1:3" x14ac:dyDescent="0.25">
      <c r="A517" s="6"/>
      <c r="B517" s="7"/>
      <c r="C517" s="11"/>
    </row>
    <row r="518" spans="1:3" x14ac:dyDescent="0.25">
      <c r="A518" s="6"/>
      <c r="B518" s="7"/>
      <c r="C518" s="11"/>
    </row>
    <row r="519" spans="1:3" x14ac:dyDescent="0.25">
      <c r="A519" s="6"/>
      <c r="B519" s="7"/>
      <c r="C519" s="11"/>
    </row>
    <row r="520" spans="1:3" x14ac:dyDescent="0.25">
      <c r="A520" s="6"/>
      <c r="B520" s="7"/>
      <c r="C520" s="11"/>
    </row>
    <row r="521" spans="1:3" x14ac:dyDescent="0.25">
      <c r="A521" s="6"/>
      <c r="B521" s="7"/>
      <c r="C521" s="11"/>
    </row>
    <row r="522" spans="1:3" x14ac:dyDescent="0.25">
      <c r="A522" s="6"/>
      <c r="B522" s="7"/>
      <c r="C522" s="11"/>
    </row>
    <row r="523" spans="1:3" x14ac:dyDescent="0.25">
      <c r="A523" s="6"/>
      <c r="B523" s="7"/>
      <c r="C523" s="11"/>
    </row>
    <row r="524" spans="1:3" x14ac:dyDescent="0.25">
      <c r="A524" s="6"/>
      <c r="B524" s="7"/>
      <c r="C524" s="11"/>
    </row>
    <row r="525" spans="1:3" x14ac:dyDescent="0.25">
      <c r="A525" s="6"/>
      <c r="B525" s="7"/>
      <c r="C525" s="11"/>
    </row>
    <row r="526" spans="1:3" x14ac:dyDescent="0.25">
      <c r="A526" s="6"/>
      <c r="B526" s="7"/>
      <c r="C526" s="11"/>
    </row>
    <row r="527" spans="1:3" x14ac:dyDescent="0.25">
      <c r="A527" s="6"/>
      <c r="B527" s="7"/>
      <c r="C527" s="11"/>
    </row>
    <row r="528" spans="1:3" x14ac:dyDescent="0.25">
      <c r="A528" s="6"/>
      <c r="B528" s="7"/>
      <c r="C528" s="11"/>
    </row>
    <row r="529" spans="1:3" x14ac:dyDescent="0.25">
      <c r="A529" s="6"/>
      <c r="B529" s="7"/>
      <c r="C529" s="11"/>
    </row>
    <row r="530" spans="1:3" x14ac:dyDescent="0.25">
      <c r="A530" s="6"/>
      <c r="B530" s="7"/>
      <c r="C530" s="11"/>
    </row>
    <row r="531" spans="1:3" x14ac:dyDescent="0.25">
      <c r="A531" s="6"/>
      <c r="B531" s="7"/>
      <c r="C531" s="11"/>
    </row>
    <row r="532" spans="1:3" x14ac:dyDescent="0.25">
      <c r="A532" s="6"/>
      <c r="B532" s="7"/>
      <c r="C532" s="11"/>
    </row>
    <row r="533" spans="1:3" x14ac:dyDescent="0.25">
      <c r="A533" s="6"/>
      <c r="B533" s="7"/>
      <c r="C533" s="11"/>
    </row>
    <row r="534" spans="1:3" x14ac:dyDescent="0.25">
      <c r="A534" s="6"/>
      <c r="B534" s="7"/>
      <c r="C534" s="11"/>
    </row>
    <row r="535" spans="1:3" x14ac:dyDescent="0.25">
      <c r="A535" s="6"/>
      <c r="B535" s="7"/>
      <c r="C535" s="11"/>
    </row>
    <row r="536" spans="1:3" x14ac:dyDescent="0.25">
      <c r="A536" s="6"/>
      <c r="B536" s="7"/>
      <c r="C536" s="11"/>
    </row>
    <row r="537" spans="1:3" x14ac:dyDescent="0.25">
      <c r="A537" s="6"/>
      <c r="B537" s="7"/>
      <c r="C537" s="11"/>
    </row>
    <row r="538" spans="1:3" x14ac:dyDescent="0.25">
      <c r="A538" s="6"/>
      <c r="B538" s="7"/>
      <c r="C538" s="11"/>
    </row>
    <row r="539" spans="1:3" x14ac:dyDescent="0.25">
      <c r="A539" s="6"/>
      <c r="B539" s="7"/>
      <c r="C539" s="11"/>
    </row>
    <row r="540" spans="1:3" x14ac:dyDescent="0.25">
      <c r="A540" s="6"/>
      <c r="B540" s="7"/>
      <c r="C540" s="11"/>
    </row>
    <row r="541" spans="1:3" x14ac:dyDescent="0.25">
      <c r="A541" s="6"/>
      <c r="B541" s="7"/>
      <c r="C541" s="11"/>
    </row>
    <row r="542" spans="1:3" x14ac:dyDescent="0.25">
      <c r="A542" s="6"/>
      <c r="B542" s="7"/>
      <c r="C542" s="11"/>
    </row>
    <row r="543" spans="1:3" x14ac:dyDescent="0.25">
      <c r="A543" s="6"/>
      <c r="B543" s="7"/>
      <c r="C543" s="11"/>
    </row>
    <row r="544" spans="1:3" x14ac:dyDescent="0.25">
      <c r="A544" s="6"/>
      <c r="B544" s="7"/>
      <c r="C544" s="11"/>
    </row>
    <row r="545" spans="1:3" x14ac:dyDescent="0.25">
      <c r="A545" s="6"/>
      <c r="B545" s="7"/>
      <c r="C545" s="11"/>
    </row>
    <row r="546" spans="1:3" x14ac:dyDescent="0.25">
      <c r="A546" s="6"/>
      <c r="B546" s="7"/>
      <c r="C546" s="11"/>
    </row>
    <row r="547" spans="1:3" x14ac:dyDescent="0.25">
      <c r="A547" s="6"/>
      <c r="B547" s="7"/>
      <c r="C547" s="11"/>
    </row>
    <row r="548" spans="1:3" x14ac:dyDescent="0.25">
      <c r="A548" s="6"/>
      <c r="B548" s="7"/>
      <c r="C548" s="11"/>
    </row>
    <row r="549" spans="1:3" x14ac:dyDescent="0.25">
      <c r="A549" s="6"/>
      <c r="B549" s="7"/>
      <c r="C549" s="11"/>
    </row>
    <row r="550" spans="1:3" x14ac:dyDescent="0.25">
      <c r="A550" s="6"/>
      <c r="B550" s="7"/>
      <c r="C550" s="11"/>
    </row>
    <row r="551" spans="1:3" x14ac:dyDescent="0.25">
      <c r="A551" s="6"/>
      <c r="B551" s="7"/>
      <c r="C551" s="11"/>
    </row>
    <row r="552" spans="1:3" x14ac:dyDescent="0.25">
      <c r="A552" s="6"/>
      <c r="B552" s="7"/>
      <c r="C552" s="11"/>
    </row>
    <row r="553" spans="1:3" x14ac:dyDescent="0.25">
      <c r="A553" s="6"/>
      <c r="B553" s="7"/>
      <c r="C553" s="11"/>
    </row>
    <row r="554" spans="1:3" x14ac:dyDescent="0.25">
      <c r="A554" s="6"/>
      <c r="B554" s="7"/>
      <c r="C554" s="11"/>
    </row>
    <row r="555" spans="1:3" x14ac:dyDescent="0.25">
      <c r="A555" s="6"/>
      <c r="B555" s="7"/>
      <c r="C555" s="11"/>
    </row>
    <row r="556" spans="1:3" x14ac:dyDescent="0.25">
      <c r="A556" s="6"/>
      <c r="B556" s="7"/>
      <c r="C556" s="11"/>
    </row>
    <row r="557" spans="1:3" x14ac:dyDescent="0.25">
      <c r="A557" s="6"/>
      <c r="B557" s="7"/>
      <c r="C557" s="11"/>
    </row>
    <row r="558" spans="1:3" x14ac:dyDescent="0.25">
      <c r="A558" s="6"/>
      <c r="B558" s="7"/>
      <c r="C558" s="11"/>
    </row>
    <row r="559" spans="1:3" x14ac:dyDescent="0.25">
      <c r="A559" s="6"/>
      <c r="B559" s="7"/>
      <c r="C559" s="11"/>
    </row>
    <row r="560" spans="1:3" x14ac:dyDescent="0.25">
      <c r="A560" s="6"/>
      <c r="B560" s="7"/>
      <c r="C560" s="11"/>
    </row>
    <row r="561" spans="1:3" x14ac:dyDescent="0.25">
      <c r="A561" s="6"/>
      <c r="B561" s="7"/>
      <c r="C561" s="11"/>
    </row>
    <row r="562" spans="1:3" x14ac:dyDescent="0.25">
      <c r="A562" s="6"/>
      <c r="B562" s="7"/>
      <c r="C562" s="11"/>
    </row>
    <row r="563" spans="1:3" x14ac:dyDescent="0.25">
      <c r="A563" s="6"/>
      <c r="B563" s="7"/>
      <c r="C563" s="11"/>
    </row>
    <row r="564" spans="1:3" x14ac:dyDescent="0.25">
      <c r="A564" s="6"/>
      <c r="B564" s="7"/>
      <c r="C564" s="11"/>
    </row>
    <row r="565" spans="1:3" x14ac:dyDescent="0.25">
      <c r="A565" s="6"/>
      <c r="B565" s="7"/>
      <c r="C565" s="11"/>
    </row>
    <row r="566" spans="1:3" x14ac:dyDescent="0.25">
      <c r="A566" s="6"/>
      <c r="B566" s="7"/>
      <c r="C566" s="11"/>
    </row>
    <row r="567" spans="1:3" x14ac:dyDescent="0.25">
      <c r="A567" s="6"/>
      <c r="B567" s="7"/>
      <c r="C567" s="11"/>
    </row>
    <row r="568" spans="1:3" x14ac:dyDescent="0.25">
      <c r="A568" s="6"/>
      <c r="B568" s="7"/>
      <c r="C568" s="11"/>
    </row>
    <row r="569" spans="1:3" x14ac:dyDescent="0.25">
      <c r="A569" s="6"/>
      <c r="B569" s="7"/>
      <c r="C569" s="11"/>
    </row>
    <row r="570" spans="1:3" x14ac:dyDescent="0.25">
      <c r="A570" s="6"/>
      <c r="B570" s="7"/>
      <c r="C570" s="11"/>
    </row>
    <row r="571" spans="1:3" x14ac:dyDescent="0.25">
      <c r="A571" s="6"/>
      <c r="B571" s="7"/>
      <c r="C571" s="11"/>
    </row>
    <row r="572" spans="1:3" x14ac:dyDescent="0.25">
      <c r="A572" s="6"/>
      <c r="B572" s="7"/>
      <c r="C572" s="11"/>
    </row>
    <row r="573" spans="1:3" x14ac:dyDescent="0.25">
      <c r="A573" s="6"/>
      <c r="B573" s="7"/>
      <c r="C573" s="11"/>
    </row>
    <row r="574" spans="1:3" x14ac:dyDescent="0.25">
      <c r="A574" s="6"/>
      <c r="B574" s="7"/>
      <c r="C574" s="11"/>
    </row>
    <row r="575" spans="1:3" x14ac:dyDescent="0.25">
      <c r="A575" s="6"/>
      <c r="B575" s="7"/>
      <c r="C575" s="11"/>
    </row>
    <row r="576" spans="1:3" x14ac:dyDescent="0.25">
      <c r="A576" s="6"/>
      <c r="B576" s="7"/>
      <c r="C576" s="11"/>
    </row>
    <row r="577" spans="1:3" x14ac:dyDescent="0.25">
      <c r="A577" s="6"/>
      <c r="B577" s="7"/>
      <c r="C577" s="11"/>
    </row>
    <row r="578" spans="1:3" x14ac:dyDescent="0.25">
      <c r="A578" s="6"/>
      <c r="B578" s="7"/>
      <c r="C578" s="11"/>
    </row>
    <row r="579" spans="1:3" x14ac:dyDescent="0.25">
      <c r="A579" s="6"/>
      <c r="B579" s="7"/>
      <c r="C579" s="11"/>
    </row>
    <row r="580" spans="1:3" x14ac:dyDescent="0.25">
      <c r="A580" s="6"/>
      <c r="B580" s="7"/>
      <c r="C580" s="11"/>
    </row>
    <row r="581" spans="1:3" x14ac:dyDescent="0.25">
      <c r="A581" s="6"/>
      <c r="B581" s="7"/>
      <c r="C581" s="11"/>
    </row>
    <row r="582" spans="1:3" x14ac:dyDescent="0.25">
      <c r="A582" s="6"/>
      <c r="B582" s="7"/>
      <c r="C582" s="11"/>
    </row>
    <row r="583" spans="1:3" x14ac:dyDescent="0.25">
      <c r="A583" s="6"/>
      <c r="B583" s="7"/>
      <c r="C583" s="11"/>
    </row>
    <row r="584" spans="1:3" x14ac:dyDescent="0.25">
      <c r="A584" s="6"/>
      <c r="B584" s="7"/>
      <c r="C584" s="11"/>
    </row>
    <row r="585" spans="1:3" x14ac:dyDescent="0.25">
      <c r="A585" s="6"/>
      <c r="B585" s="7"/>
      <c r="C585" s="11"/>
    </row>
    <row r="586" spans="1:3" x14ac:dyDescent="0.25">
      <c r="A586" s="6"/>
      <c r="B586" s="7"/>
      <c r="C586" s="11"/>
    </row>
    <row r="587" spans="1:3" x14ac:dyDescent="0.25">
      <c r="A587" s="6"/>
      <c r="B587" s="7"/>
      <c r="C587" s="11"/>
    </row>
    <row r="588" spans="1:3" x14ac:dyDescent="0.25">
      <c r="A588" s="6"/>
      <c r="B588" s="7"/>
      <c r="C588" s="11"/>
    </row>
    <row r="589" spans="1:3" x14ac:dyDescent="0.25">
      <c r="A589" s="6"/>
      <c r="B589" s="7"/>
      <c r="C589" s="11"/>
    </row>
    <row r="590" spans="1:3" x14ac:dyDescent="0.25">
      <c r="A590" s="6"/>
      <c r="B590" s="7"/>
      <c r="C590" s="11"/>
    </row>
    <row r="591" spans="1:3" x14ac:dyDescent="0.25">
      <c r="A591" s="6"/>
      <c r="B591" s="7"/>
      <c r="C591" s="11"/>
    </row>
    <row r="592" spans="1:3" x14ac:dyDescent="0.25">
      <c r="A592" s="6"/>
      <c r="B592" s="7"/>
      <c r="C592" s="11"/>
    </row>
    <row r="593" spans="1:3" x14ac:dyDescent="0.25">
      <c r="A593" s="6"/>
      <c r="B593" s="7"/>
      <c r="C593" s="11"/>
    </row>
    <row r="594" spans="1:3" x14ac:dyDescent="0.25">
      <c r="A594" s="6"/>
      <c r="B594" s="7"/>
      <c r="C594" s="11"/>
    </row>
    <row r="595" spans="1:3" x14ac:dyDescent="0.25">
      <c r="A595" s="6"/>
      <c r="B595" s="7"/>
      <c r="C595" s="11"/>
    </row>
    <row r="596" spans="1:3" x14ac:dyDescent="0.25">
      <c r="A596" s="6"/>
      <c r="B596" s="7"/>
      <c r="C596" s="11"/>
    </row>
    <row r="597" spans="1:3" x14ac:dyDescent="0.25">
      <c r="A597" s="6"/>
      <c r="B597" s="7"/>
      <c r="C597" s="11"/>
    </row>
    <row r="598" spans="1:3" x14ac:dyDescent="0.25">
      <c r="A598" s="6"/>
      <c r="B598" s="7"/>
      <c r="C598" s="11"/>
    </row>
    <row r="599" spans="1:3" x14ac:dyDescent="0.25">
      <c r="A599" s="6"/>
      <c r="B599" s="7"/>
      <c r="C599" s="11"/>
    </row>
    <row r="600" spans="1:3" x14ac:dyDescent="0.25">
      <c r="A600" s="6"/>
      <c r="B600" s="7"/>
      <c r="C600" s="11"/>
    </row>
    <row r="601" spans="1:3" x14ac:dyDescent="0.25">
      <c r="A601" s="6"/>
      <c r="B601" s="7"/>
      <c r="C601" s="11"/>
    </row>
    <row r="602" spans="1:3" x14ac:dyDescent="0.25">
      <c r="A602" s="6"/>
      <c r="B602" s="7"/>
      <c r="C602" s="11"/>
    </row>
    <row r="603" spans="1:3" x14ac:dyDescent="0.25">
      <c r="A603" s="6"/>
      <c r="B603" s="7"/>
      <c r="C603" s="11"/>
    </row>
    <row r="604" spans="1:3" x14ac:dyDescent="0.25">
      <c r="A604" s="6"/>
      <c r="B604" s="7"/>
      <c r="C604" s="11"/>
    </row>
    <row r="605" spans="1:3" x14ac:dyDescent="0.25">
      <c r="A605" s="6"/>
      <c r="B605" s="7"/>
      <c r="C605" s="11"/>
    </row>
    <row r="606" spans="1:3" x14ac:dyDescent="0.25">
      <c r="A606" s="6"/>
      <c r="B606" s="7"/>
      <c r="C606" s="11"/>
    </row>
    <row r="607" spans="1:3" x14ac:dyDescent="0.25">
      <c r="A607" s="6"/>
      <c r="B607" s="7"/>
      <c r="C607" s="11"/>
    </row>
    <row r="608" spans="1:3" x14ac:dyDescent="0.25">
      <c r="A608" s="6"/>
      <c r="B608" s="7"/>
      <c r="C608" s="11"/>
    </row>
    <row r="609" spans="1:3" x14ac:dyDescent="0.25">
      <c r="A609" s="6"/>
      <c r="B609" s="7"/>
      <c r="C609" s="11"/>
    </row>
    <row r="610" spans="1:3" x14ac:dyDescent="0.25">
      <c r="A610" s="6"/>
      <c r="B610" s="7"/>
      <c r="C610" s="11"/>
    </row>
    <row r="611" spans="1:3" x14ac:dyDescent="0.25">
      <c r="A611" s="6"/>
      <c r="B611" s="7"/>
      <c r="C611" s="11"/>
    </row>
    <row r="612" spans="1:3" x14ac:dyDescent="0.25">
      <c r="A612" s="6"/>
      <c r="B612" s="7"/>
      <c r="C612" s="11"/>
    </row>
    <row r="613" spans="1:3" x14ac:dyDescent="0.25">
      <c r="A613" s="6"/>
      <c r="B613" s="7"/>
      <c r="C613" s="11"/>
    </row>
    <row r="614" spans="1:3" x14ac:dyDescent="0.25">
      <c r="A614" s="6"/>
      <c r="B614" s="7"/>
      <c r="C614" s="11"/>
    </row>
    <row r="615" spans="1:3" x14ac:dyDescent="0.25">
      <c r="A615" s="6"/>
      <c r="B615" s="7"/>
      <c r="C615" s="11"/>
    </row>
    <row r="616" spans="1:3" x14ac:dyDescent="0.25">
      <c r="A616" s="6"/>
      <c r="B616" s="7"/>
      <c r="C616" s="11"/>
    </row>
    <row r="617" spans="1:3" x14ac:dyDescent="0.25">
      <c r="A617" s="6"/>
      <c r="B617" s="7"/>
      <c r="C617" s="11"/>
    </row>
    <row r="618" spans="1:3" x14ac:dyDescent="0.25">
      <c r="A618" s="6"/>
      <c r="B618" s="7"/>
      <c r="C618" s="11"/>
    </row>
    <row r="619" spans="1:3" x14ac:dyDescent="0.25">
      <c r="A619" s="6"/>
      <c r="B619" s="7"/>
      <c r="C619" s="11"/>
    </row>
    <row r="620" spans="1:3" x14ac:dyDescent="0.25">
      <c r="A620" s="6"/>
      <c r="B620" s="7"/>
      <c r="C620" s="11"/>
    </row>
    <row r="621" spans="1:3" x14ac:dyDescent="0.25">
      <c r="A621" s="6"/>
      <c r="B621" s="7"/>
      <c r="C621" s="11"/>
    </row>
    <row r="622" spans="1:3" x14ac:dyDescent="0.25">
      <c r="A622" s="6"/>
      <c r="B622" s="7"/>
      <c r="C622" s="11"/>
    </row>
    <row r="623" spans="1:3" x14ac:dyDescent="0.25">
      <c r="A623" s="6"/>
      <c r="B623" s="7"/>
      <c r="C623" s="11"/>
    </row>
    <row r="624" spans="1:3" x14ac:dyDescent="0.25">
      <c r="A624" s="6"/>
      <c r="B624" s="7"/>
      <c r="C624" s="11"/>
    </row>
    <row r="625" spans="1:3" x14ac:dyDescent="0.25">
      <c r="A625" s="6"/>
      <c r="B625" s="7"/>
      <c r="C625" s="11"/>
    </row>
    <row r="626" spans="1:3" x14ac:dyDescent="0.25">
      <c r="A626" s="6"/>
      <c r="B626" s="7"/>
      <c r="C626" s="11"/>
    </row>
    <row r="627" spans="1:3" x14ac:dyDescent="0.25">
      <c r="A627" s="6"/>
      <c r="B627" s="7"/>
      <c r="C627" s="11"/>
    </row>
    <row r="628" spans="1:3" x14ac:dyDescent="0.25">
      <c r="A628" s="6"/>
      <c r="B628" s="7"/>
      <c r="C628" s="11"/>
    </row>
    <row r="629" spans="1:3" x14ac:dyDescent="0.25">
      <c r="A629" s="6"/>
      <c r="B629" s="7"/>
      <c r="C629" s="11"/>
    </row>
    <row r="630" spans="1:3" x14ac:dyDescent="0.25">
      <c r="A630" s="6"/>
      <c r="B630" s="7"/>
      <c r="C630" s="11"/>
    </row>
    <row r="631" spans="1:3" x14ac:dyDescent="0.25">
      <c r="A631" s="6"/>
      <c r="B631" s="7"/>
      <c r="C631" s="11"/>
    </row>
    <row r="632" spans="1:3" x14ac:dyDescent="0.25">
      <c r="A632" s="6"/>
      <c r="B632" s="7"/>
      <c r="C632" s="11"/>
    </row>
  </sheetData>
  <dataValidations count="2">
    <dataValidation type="decimal" allowBlank="1" showInputMessage="1" showErrorMessage="1" sqref="J2 B2" xr:uid="{225AF7EC-A7BC-46C0-B36A-C27CB11749CD}">
      <formula1>0</formula1>
      <formula2>0.25</formula2>
    </dataValidation>
    <dataValidation type="decimal" allowBlank="1" showInputMessage="1" showErrorMessage="1" sqref="J3:J4 B3:B4" xr:uid="{0E6A533F-C8C4-4D62-BC5F-83C47EED4F9A}">
      <formula1>0</formula1>
      <formula2>0.15</formula2>
    </dataValidation>
  </dataValidation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1265" r:id="rId4" name="Scroll Bar 1">
              <controlPr defaultSize="0" autoPict="0">
                <anchor moveWithCells="1">
                  <from>
                    <xdr:col>3</xdr:col>
                    <xdr:colOff>19050</xdr:colOff>
                    <xdr:row>0</xdr:row>
                    <xdr:rowOff>180975</xdr:rowOff>
                  </from>
                  <to>
                    <xdr:col>3</xdr:col>
                    <xdr:colOff>1590675</xdr:colOff>
                    <xdr:row>1</xdr:row>
                    <xdr:rowOff>152400</xdr:rowOff>
                  </to>
                </anchor>
              </controlPr>
            </control>
          </mc:Choice>
        </mc:AlternateContent>
        <mc:AlternateContent xmlns:mc="http://schemas.openxmlformats.org/markup-compatibility/2006">
          <mc:Choice Requires="x14">
            <control shapeId="11266" r:id="rId5" name="Scroll Bar 2">
              <controlPr defaultSize="0" autoPict="0">
                <anchor moveWithCells="1">
                  <from>
                    <xdr:col>4</xdr:col>
                    <xdr:colOff>28575</xdr:colOff>
                    <xdr:row>15</xdr:row>
                    <xdr:rowOff>19050</xdr:rowOff>
                  </from>
                  <to>
                    <xdr:col>4</xdr:col>
                    <xdr:colOff>1133475</xdr:colOff>
                    <xdr:row>15</xdr:row>
                    <xdr:rowOff>180975</xdr:rowOff>
                  </to>
                </anchor>
              </controlPr>
            </control>
          </mc:Choice>
        </mc:AlternateContent>
        <mc:AlternateContent xmlns:mc="http://schemas.openxmlformats.org/markup-compatibility/2006">
          <mc:Choice Requires="x14">
            <control shapeId="11267" r:id="rId6" name="Scroll Bar 3">
              <controlPr defaultSize="0" autoPict="0">
                <anchor moveWithCells="1">
                  <from>
                    <xdr:col>4</xdr:col>
                    <xdr:colOff>47625</xdr:colOff>
                    <xdr:row>16</xdr:row>
                    <xdr:rowOff>19050</xdr:rowOff>
                  </from>
                  <to>
                    <xdr:col>4</xdr:col>
                    <xdr:colOff>1123950</xdr:colOff>
                    <xdr:row>16</xdr:row>
                    <xdr:rowOff>180975</xdr:rowOff>
                  </to>
                </anchor>
              </controlPr>
            </control>
          </mc:Choice>
        </mc:AlternateContent>
        <mc:AlternateContent xmlns:mc="http://schemas.openxmlformats.org/markup-compatibility/2006">
          <mc:Choice Requires="x14">
            <control shapeId="11268" r:id="rId7" name="Scroll Bar 4">
              <controlPr defaultSize="0" autoPict="0">
                <anchor moveWithCells="1">
                  <from>
                    <xdr:col>4</xdr:col>
                    <xdr:colOff>47625</xdr:colOff>
                    <xdr:row>17</xdr:row>
                    <xdr:rowOff>28575</xdr:rowOff>
                  </from>
                  <to>
                    <xdr:col>4</xdr:col>
                    <xdr:colOff>1143000</xdr:colOff>
                    <xdr:row>18</xdr:row>
                    <xdr:rowOff>0</xdr:rowOff>
                  </to>
                </anchor>
              </controlPr>
            </control>
          </mc:Choice>
        </mc:AlternateContent>
      </controls>
    </mc:Choice>
  </mc:AlternateContent>
  <tableParts count="1">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80087-2C7A-4A10-A894-4F48DE94A90D}">
  <dimension ref="A3:B16"/>
  <sheetViews>
    <sheetView workbookViewId="0">
      <selection activeCell="B5" sqref="B5"/>
    </sheetView>
  </sheetViews>
  <sheetFormatPr defaultRowHeight="15" x14ac:dyDescent="0.25"/>
  <cols>
    <col min="1" max="1" width="13.140625" bestFit="1" customWidth="1"/>
    <col min="2" max="2" width="20.7109375" bestFit="1" customWidth="1"/>
  </cols>
  <sheetData>
    <row r="3" spans="1:2" x14ac:dyDescent="0.25">
      <c r="A3" s="21" t="s">
        <v>1445</v>
      </c>
      <c r="B3" t="s">
        <v>1448</v>
      </c>
    </row>
    <row r="4" spans="1:2" x14ac:dyDescent="0.25">
      <c r="A4" s="22" t="s">
        <v>1452</v>
      </c>
      <c r="B4" s="6">
        <v>674482.02280000004</v>
      </c>
    </row>
    <row r="5" spans="1:2" x14ac:dyDescent="0.25">
      <c r="A5" s="22" t="s">
        <v>1453</v>
      </c>
      <c r="B5" s="6">
        <v>975241.44978000002</v>
      </c>
    </row>
    <row r="6" spans="1:2" x14ac:dyDescent="0.25">
      <c r="A6" s="22" t="s">
        <v>1454</v>
      </c>
      <c r="B6" s="6">
        <v>802738.31392999983</v>
      </c>
    </row>
    <row r="7" spans="1:2" x14ac:dyDescent="0.25">
      <c r="A7" s="22" t="s">
        <v>1455</v>
      </c>
      <c r="B7" s="6">
        <v>947246.57737999968</v>
      </c>
    </row>
    <row r="8" spans="1:2" x14ac:dyDescent="0.25">
      <c r="A8" s="22" t="s">
        <v>1456</v>
      </c>
      <c r="B8" s="6">
        <v>1265829.63375</v>
      </c>
    </row>
    <row r="9" spans="1:2" x14ac:dyDescent="0.25">
      <c r="A9" s="22" t="s">
        <v>1457</v>
      </c>
      <c r="B9" s="6">
        <v>1314149.4429100002</v>
      </c>
    </row>
    <row r="10" spans="1:2" x14ac:dyDescent="0.25">
      <c r="A10" s="22" t="s">
        <v>1458</v>
      </c>
      <c r="B10" s="6">
        <v>1330522.6043499997</v>
      </c>
    </row>
    <row r="11" spans="1:2" x14ac:dyDescent="0.25">
      <c r="A11" s="22" t="s">
        <v>1459</v>
      </c>
      <c r="B11" s="6">
        <v>1095162.3496699999</v>
      </c>
    </row>
    <row r="12" spans="1:2" x14ac:dyDescent="0.25">
      <c r="A12" s="22" t="s">
        <v>1460</v>
      </c>
      <c r="B12" s="6">
        <v>661159.42946000013</v>
      </c>
    </row>
    <row r="13" spans="1:2" x14ac:dyDescent="0.25">
      <c r="A13" s="22" t="s">
        <v>1461</v>
      </c>
      <c r="B13" s="6">
        <v>685387.08646000014</v>
      </c>
    </row>
    <row r="14" spans="1:2" x14ac:dyDescent="0.25">
      <c r="A14" s="22" t="s">
        <v>1462</v>
      </c>
      <c r="B14" s="6">
        <v>543953.69134999998</v>
      </c>
    </row>
    <row r="15" spans="1:2" x14ac:dyDescent="0.25">
      <c r="A15" s="22" t="s">
        <v>1463</v>
      </c>
      <c r="B15" s="6">
        <v>765461.27835999988</v>
      </c>
    </row>
    <row r="16" spans="1:2" x14ac:dyDescent="0.25">
      <c r="A16" s="22" t="s">
        <v>1446</v>
      </c>
      <c r="B16" s="6">
        <v>11061333.880199999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9FC9-A981-4034-94BE-76A19B8F97AD}">
  <dimension ref="A3:F11"/>
  <sheetViews>
    <sheetView topLeftCell="C1" workbookViewId="0">
      <selection activeCell="E7" sqref="E7"/>
    </sheetView>
  </sheetViews>
  <sheetFormatPr defaultRowHeight="15" x14ac:dyDescent="0.25"/>
  <cols>
    <col min="1" max="1" width="17.85546875" bestFit="1" customWidth="1"/>
    <col min="2" max="2" width="16.28515625" bestFit="1" customWidth="1"/>
    <col min="3" max="3" width="12" bestFit="1" customWidth="1"/>
    <col min="4" max="4" width="11.5703125" bestFit="1" customWidth="1"/>
    <col min="5" max="5" width="12" bestFit="1" customWidth="1"/>
    <col min="6" max="6" width="11.5703125" bestFit="1" customWidth="1"/>
    <col min="7" max="8" width="12" bestFit="1" customWidth="1"/>
  </cols>
  <sheetData>
    <row r="3" spans="1:6" x14ac:dyDescent="0.25">
      <c r="A3" s="21" t="s">
        <v>1478</v>
      </c>
      <c r="B3" s="21" t="s">
        <v>1464</v>
      </c>
    </row>
    <row r="4" spans="1:6" x14ac:dyDescent="0.25">
      <c r="A4" s="21" t="s">
        <v>1445</v>
      </c>
      <c r="B4" t="s">
        <v>646</v>
      </c>
      <c r="C4" t="s">
        <v>648</v>
      </c>
      <c r="D4" t="s">
        <v>647</v>
      </c>
      <c r="E4" t="s">
        <v>649</v>
      </c>
      <c r="F4" t="s">
        <v>1446</v>
      </c>
    </row>
    <row r="5" spans="1:6" x14ac:dyDescent="0.25">
      <c r="A5" s="22" t="s">
        <v>711</v>
      </c>
      <c r="B5" s="6">
        <v>186802.6937</v>
      </c>
      <c r="C5" s="6">
        <v>258674.92591000002</v>
      </c>
      <c r="D5" s="6">
        <v>232977.48755999998</v>
      </c>
      <c r="E5" s="6">
        <v>292716.95204</v>
      </c>
      <c r="F5" s="6">
        <v>971172.05920999998</v>
      </c>
    </row>
    <row r="6" spans="1:6" x14ac:dyDescent="0.25">
      <c r="A6" s="22" t="s">
        <v>710</v>
      </c>
      <c r="B6" s="6">
        <v>211005.58766999998</v>
      </c>
      <c r="C6" s="6">
        <v>177451.46991999997</v>
      </c>
      <c r="D6" s="6">
        <v>151146.74599000002</v>
      </c>
      <c r="E6" s="6">
        <v>105550.85220000002</v>
      </c>
      <c r="F6" s="6">
        <v>645154.65578000015</v>
      </c>
    </row>
    <row r="7" spans="1:6" x14ac:dyDescent="0.25">
      <c r="A7" s="22" t="s">
        <v>709</v>
      </c>
      <c r="B7" s="6">
        <v>164839.30455999999</v>
      </c>
      <c r="C7" s="6">
        <v>96609.647519999999</v>
      </c>
      <c r="D7" s="6">
        <v>151326.70212999996</v>
      </c>
      <c r="E7" s="6">
        <v>172868.09225000007</v>
      </c>
      <c r="F7" s="6">
        <v>585643.74646000005</v>
      </c>
    </row>
    <row r="8" spans="1:6" x14ac:dyDescent="0.25">
      <c r="A8" s="22" t="s">
        <v>708</v>
      </c>
      <c r="B8" s="6">
        <v>145453.94626999996</v>
      </c>
      <c r="C8" s="6">
        <v>261943.84436999995</v>
      </c>
      <c r="D8" s="6">
        <v>149042.38968999998</v>
      </c>
      <c r="E8" s="6">
        <v>200067.16276999997</v>
      </c>
      <c r="F8" s="6">
        <v>756507.34309999982</v>
      </c>
    </row>
    <row r="9" spans="1:6" x14ac:dyDescent="0.25">
      <c r="A9" s="22" t="s">
        <v>707</v>
      </c>
      <c r="B9" s="6">
        <v>153221.68146999998</v>
      </c>
      <c r="C9" s="6">
        <v>69035.709220000004</v>
      </c>
      <c r="D9" s="6">
        <v>158051.77209000001</v>
      </c>
      <c r="E9" s="6">
        <v>180760.14668999997</v>
      </c>
      <c r="F9" s="6">
        <v>561069.30946999998</v>
      </c>
    </row>
    <row r="10" spans="1:6" x14ac:dyDescent="0.25">
      <c r="A10" s="22" t="s">
        <v>1422</v>
      </c>
      <c r="B10" s="6">
        <v>16237.344229999999</v>
      </c>
      <c r="C10" s="6">
        <v>777.95999999999913</v>
      </c>
      <c r="D10" s="6">
        <v>20547.545489999997</v>
      </c>
      <c r="E10" s="6">
        <v>8028.7064599999994</v>
      </c>
      <c r="F10" s="6">
        <v>45591.55618</v>
      </c>
    </row>
    <row r="11" spans="1:6" x14ac:dyDescent="0.25">
      <c r="A11" s="22" t="s">
        <v>1446</v>
      </c>
      <c r="B11" s="26">
        <v>877560.5578999999</v>
      </c>
      <c r="C11" s="26">
        <v>864493.55693999981</v>
      </c>
      <c r="D11" s="26">
        <v>863092.64295000001</v>
      </c>
      <c r="E11" s="26">
        <v>959991.91240999999</v>
      </c>
      <c r="F11" s="26">
        <v>3565138.6702000001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108D8-8777-43AB-86BF-D1C18E131E9F}">
  <dimension ref="A3:B14"/>
  <sheetViews>
    <sheetView workbookViewId="0">
      <selection activeCell="K23" sqref="K23"/>
    </sheetView>
  </sheetViews>
  <sheetFormatPr defaultRowHeight="15" x14ac:dyDescent="0.25"/>
  <cols>
    <col min="1" max="1" width="13.140625" bestFit="1" customWidth="1"/>
    <col min="2" max="2" width="20.7109375" bestFit="1" customWidth="1"/>
  </cols>
  <sheetData>
    <row r="3" spans="1:2" x14ac:dyDescent="0.25">
      <c r="A3" s="21" t="s">
        <v>1445</v>
      </c>
      <c r="B3" t="s">
        <v>1448</v>
      </c>
    </row>
    <row r="4" spans="1:2" x14ac:dyDescent="0.25">
      <c r="A4" s="22" t="s">
        <v>971</v>
      </c>
      <c r="B4" s="6">
        <v>139277.83032000001</v>
      </c>
    </row>
    <row r="5" spans="1:2" x14ac:dyDescent="0.25">
      <c r="A5" s="22" t="s">
        <v>781</v>
      </c>
      <c r="B5" s="6">
        <v>109244</v>
      </c>
    </row>
    <row r="6" spans="1:2" x14ac:dyDescent="0.25">
      <c r="A6" s="22" t="s">
        <v>1155</v>
      </c>
      <c r="B6" s="6">
        <v>102122.94203999999</v>
      </c>
    </row>
    <row r="7" spans="1:2" x14ac:dyDescent="0.25">
      <c r="A7" s="22" t="s">
        <v>909</v>
      </c>
      <c r="B7" s="6">
        <v>92715.25</v>
      </c>
    </row>
    <row r="8" spans="1:2" x14ac:dyDescent="0.25">
      <c r="A8" s="22" t="s">
        <v>874</v>
      </c>
      <c r="B8" s="6">
        <v>87404.929919999995</v>
      </c>
    </row>
    <row r="9" spans="1:2" x14ac:dyDescent="0.25">
      <c r="A9" s="22" t="s">
        <v>899</v>
      </c>
      <c r="B9" s="6">
        <v>85637.740319999997</v>
      </c>
    </row>
    <row r="10" spans="1:2" x14ac:dyDescent="0.25">
      <c r="A10" s="22" t="s">
        <v>1198</v>
      </c>
      <c r="B10" s="6">
        <v>84136.119600000005</v>
      </c>
    </row>
    <row r="11" spans="1:2" x14ac:dyDescent="0.25">
      <c r="A11" s="22" t="s">
        <v>1096</v>
      </c>
      <c r="B11" s="6">
        <v>82514.711519999997</v>
      </c>
    </row>
    <row r="12" spans="1:2" x14ac:dyDescent="0.25">
      <c r="A12" s="22" t="s">
        <v>1345</v>
      </c>
      <c r="B12" s="6">
        <v>82141.339799999987</v>
      </c>
    </row>
    <row r="13" spans="1:2" x14ac:dyDescent="0.25">
      <c r="A13" s="22" t="s">
        <v>1010</v>
      </c>
      <c r="B13" s="6">
        <v>79548.755999999994</v>
      </c>
    </row>
    <row r="14" spans="1:2" x14ac:dyDescent="0.25">
      <c r="A14" s="22" t="s">
        <v>1446</v>
      </c>
      <c r="B14" s="6">
        <v>944743.61951999995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F07A-0CA7-45C3-A801-3B7188D334BB}">
  <dimension ref="A3:A633"/>
  <sheetViews>
    <sheetView topLeftCell="A612" workbookViewId="0">
      <selection activeCell="M618" sqref="M618"/>
    </sheetView>
  </sheetViews>
  <sheetFormatPr defaultRowHeight="15" x14ac:dyDescent="0.25"/>
  <sheetData>
    <row r="3" spans="1:1" x14ac:dyDescent="0.25">
      <c r="A3" s="12" cm="1">
        <f t="array" ref="A3:A633">StagingData!U2:U632</f>
        <v>0.112</v>
      </c>
    </row>
    <row r="4" spans="1:1" x14ac:dyDescent="0.25">
      <c r="A4">
        <v>0.23699999999999999</v>
      </c>
    </row>
    <row r="5" spans="1:1" x14ac:dyDescent="0.25">
      <c r="A5">
        <v>0.13100000000000001</v>
      </c>
    </row>
    <row r="6" spans="1:1" x14ac:dyDescent="0.25">
      <c r="A6">
        <v>7.1999999999999995E-2</v>
      </c>
    </row>
    <row r="7" spans="1:1" x14ac:dyDescent="0.25">
      <c r="A7">
        <v>0.10199999999999999</v>
      </c>
    </row>
    <row r="8" spans="1:1" x14ac:dyDescent="0.25">
      <c r="A8">
        <v>0</v>
      </c>
    </row>
    <row r="9" spans="1:1" x14ac:dyDescent="0.25">
      <c r="A9">
        <v>0.14699999999999999</v>
      </c>
    </row>
    <row r="10" spans="1:1" x14ac:dyDescent="0.25">
      <c r="A10">
        <v>0.19400000000000001</v>
      </c>
    </row>
    <row r="11" spans="1:1" x14ac:dyDescent="0.25">
      <c r="A11">
        <v>3.1E-2</v>
      </c>
    </row>
    <row r="12" spans="1:1" x14ac:dyDescent="0.25">
      <c r="A12">
        <v>0.14899999999999999</v>
      </c>
    </row>
    <row r="13" spans="1:1" x14ac:dyDescent="0.25">
      <c r="A13">
        <v>6.0000000000000001E-3</v>
      </c>
    </row>
    <row r="14" spans="1:1" x14ac:dyDescent="0.25">
      <c r="A14">
        <v>0.25</v>
      </c>
    </row>
    <row r="15" spans="1:1" x14ac:dyDescent="0.25">
      <c r="A15">
        <v>9.4E-2</v>
      </c>
    </row>
    <row r="16" spans="1:1" x14ac:dyDescent="0.25">
      <c r="A16">
        <v>0</v>
      </c>
    </row>
    <row r="17" spans="1:1" x14ac:dyDescent="0.25">
      <c r="A17">
        <v>0</v>
      </c>
    </row>
    <row r="18" spans="1:1" x14ac:dyDescent="0.25">
      <c r="A18">
        <v>7.3999999999999996E-2</v>
      </c>
    </row>
    <row r="19" spans="1:1" x14ac:dyDescent="0.25">
      <c r="A19">
        <v>0.109</v>
      </c>
    </row>
    <row r="20" spans="1:1" x14ac:dyDescent="0.25">
      <c r="A20">
        <v>0.183</v>
      </c>
    </row>
    <row r="21" spans="1:1" x14ac:dyDescent="0.25">
      <c r="A21">
        <v>0.109</v>
      </c>
    </row>
    <row r="22" spans="1:1" x14ac:dyDescent="0.25">
      <c r="A22">
        <v>3.7999999999999999E-2</v>
      </c>
    </row>
    <row r="23" spans="1:1" x14ac:dyDescent="0.25">
      <c r="A23">
        <v>7.1999999999999995E-2</v>
      </c>
    </row>
    <row r="24" spans="1:1" x14ac:dyDescent="0.25">
      <c r="A24">
        <v>0.14299999999999999</v>
      </c>
    </row>
    <row r="25" spans="1:1" x14ac:dyDescent="0.25">
      <c r="A25">
        <v>0.12</v>
      </c>
    </row>
    <row r="26" spans="1:1" x14ac:dyDescent="0.25">
      <c r="A26">
        <v>0.01</v>
      </c>
    </row>
    <row r="27" spans="1:1" x14ac:dyDescent="0.25">
      <c r="A27">
        <v>7.0000000000000001E-3</v>
      </c>
    </row>
    <row r="28" spans="1:1" x14ac:dyDescent="0.25">
      <c r="A28">
        <v>0.16800000000000001</v>
      </c>
    </row>
    <row r="29" spans="1:1" x14ac:dyDescent="0.25">
      <c r="A29">
        <v>0</v>
      </c>
    </row>
    <row r="30" spans="1:1" x14ac:dyDescent="0.25">
      <c r="A30">
        <v>0.125</v>
      </c>
    </row>
    <row r="31" spans="1:1" x14ac:dyDescent="0.25">
      <c r="A31">
        <v>0</v>
      </c>
    </row>
    <row r="32" spans="1:1" x14ac:dyDescent="0.25">
      <c r="A32">
        <v>0.13900000000000001</v>
      </c>
    </row>
    <row r="33" spans="1:1" x14ac:dyDescent="0.25">
      <c r="A33">
        <v>8.6999999999999994E-2</v>
      </c>
    </row>
    <row r="34" spans="1:1" x14ac:dyDescent="0.25">
      <c r="A34">
        <v>8.8999999999999996E-2</v>
      </c>
    </row>
    <row r="35" spans="1:1" x14ac:dyDescent="0.25">
      <c r="A35">
        <v>8.4000000000000005E-2</v>
      </c>
    </row>
    <row r="36" spans="1:1" x14ac:dyDescent="0.25">
      <c r="A36">
        <v>0</v>
      </c>
    </row>
    <row r="37" spans="1:1" x14ac:dyDescent="0.25">
      <c r="A37">
        <v>0</v>
      </c>
    </row>
    <row r="38" spans="1:1" x14ac:dyDescent="0.25">
      <c r="A38">
        <v>0.10100000000000001</v>
      </c>
    </row>
    <row r="39" spans="1:1" x14ac:dyDescent="0.25">
      <c r="A39">
        <v>0.24299999999999999</v>
      </c>
    </row>
    <row r="40" spans="1:1" x14ac:dyDescent="0.25">
      <c r="A40">
        <v>0.13600000000000001</v>
      </c>
    </row>
    <row r="41" spans="1:1" x14ac:dyDescent="0.25">
      <c r="A41">
        <v>0.17499999999999999</v>
      </c>
    </row>
    <row r="42" spans="1:1" x14ac:dyDescent="0.25">
      <c r="A42">
        <v>0.129</v>
      </c>
    </row>
    <row r="43" spans="1:1" x14ac:dyDescent="0.25">
      <c r="A43">
        <v>3.6999999999999998E-2</v>
      </c>
    </row>
    <row r="44" spans="1:1" x14ac:dyDescent="0.25">
      <c r="A44">
        <v>0</v>
      </c>
    </row>
    <row r="45" spans="1:1" x14ac:dyDescent="0.25">
      <c r="A45">
        <v>0.12</v>
      </c>
    </row>
    <row r="46" spans="1:1" x14ac:dyDescent="0.25">
      <c r="A46">
        <v>0.14599999999999999</v>
      </c>
    </row>
    <row r="47" spans="1:1" x14ac:dyDescent="0.25">
      <c r="A47">
        <v>0.182</v>
      </c>
    </row>
    <row r="48" spans="1:1" x14ac:dyDescent="0.25">
      <c r="A48">
        <v>0.16900000000000001</v>
      </c>
    </row>
    <row r="49" spans="1:1" x14ac:dyDescent="0.25">
      <c r="A49">
        <v>0</v>
      </c>
    </row>
    <row r="50" spans="1:1" x14ac:dyDescent="0.25">
      <c r="A50">
        <v>0</v>
      </c>
    </row>
    <row r="51" spans="1:1" x14ac:dyDescent="0.25">
      <c r="A51">
        <v>0.187</v>
      </c>
    </row>
    <row r="52" spans="1:1" x14ac:dyDescent="0.25">
      <c r="A52">
        <v>0.126</v>
      </c>
    </row>
    <row r="53" spans="1:1" x14ac:dyDescent="0.25">
      <c r="A53">
        <v>0.29199999999999998</v>
      </c>
    </row>
    <row r="54" spans="1:1" x14ac:dyDescent="0.25">
      <c r="A54">
        <v>0.29499999999999998</v>
      </c>
    </row>
    <row r="55" spans="1:1" x14ac:dyDescent="0.25">
      <c r="A55">
        <v>0</v>
      </c>
    </row>
    <row r="56" spans="1:1" x14ac:dyDescent="0.25">
      <c r="A56">
        <v>0.182</v>
      </c>
    </row>
    <row r="57" spans="1:1" x14ac:dyDescent="0.25">
      <c r="A57">
        <v>0.14399999999999999</v>
      </c>
    </row>
    <row r="58" spans="1:1" x14ac:dyDescent="0.25">
      <c r="A58">
        <v>0.14699999999999999</v>
      </c>
    </row>
    <row r="59" spans="1:1" x14ac:dyDescent="0.25">
      <c r="A59">
        <v>3.5000000000000003E-2</v>
      </c>
    </row>
    <row r="60" spans="1:1" x14ac:dyDescent="0.25">
      <c r="A60">
        <v>0.14699999999999999</v>
      </c>
    </row>
    <row r="61" spans="1:1" x14ac:dyDescent="0.25">
      <c r="A61">
        <v>7.4999999999999997E-2</v>
      </c>
    </row>
    <row r="62" spans="1:1" x14ac:dyDescent="0.25">
      <c r="A62">
        <v>0.20499999999999999</v>
      </c>
    </row>
    <row r="63" spans="1:1" x14ac:dyDescent="0.25">
      <c r="A63">
        <v>0.11899999999999999</v>
      </c>
    </row>
    <row r="64" spans="1:1" x14ac:dyDescent="0.25">
      <c r="A64">
        <v>0.11</v>
      </c>
    </row>
    <row r="65" spans="1:1" x14ac:dyDescent="0.25">
      <c r="A65">
        <v>0.2</v>
      </c>
    </row>
    <row r="66" spans="1:1" x14ac:dyDescent="0.25">
      <c r="A66">
        <v>0.255</v>
      </c>
    </row>
    <row r="67" spans="1:1" x14ac:dyDescent="0.25">
      <c r="A67">
        <v>0.13</v>
      </c>
    </row>
    <row r="68" spans="1:1" x14ac:dyDescent="0.25">
      <c r="A68">
        <v>0.184</v>
      </c>
    </row>
    <row r="69" spans="1:1" x14ac:dyDescent="0.25">
      <c r="A69">
        <v>0.189</v>
      </c>
    </row>
    <row r="70" spans="1:1" x14ac:dyDescent="0.25">
      <c r="A70">
        <v>0.105</v>
      </c>
    </row>
    <row r="71" spans="1:1" x14ac:dyDescent="0.25">
      <c r="A71">
        <v>0.20399999999999999</v>
      </c>
    </row>
    <row r="72" spans="1:1" x14ac:dyDescent="0.25">
      <c r="A72">
        <v>0.05</v>
      </c>
    </row>
    <row r="73" spans="1:1" x14ac:dyDescent="0.25">
      <c r="A73">
        <v>6.8000000000000005E-2</v>
      </c>
    </row>
    <row r="74" spans="1:1" x14ac:dyDescent="0.25">
      <c r="A74">
        <v>0.14199999999999999</v>
      </c>
    </row>
    <row r="75" spans="1:1" x14ac:dyDescent="0.25">
      <c r="A75">
        <v>0.185</v>
      </c>
    </row>
    <row r="76" spans="1:1" x14ac:dyDescent="0.25">
      <c r="A76">
        <v>4.7E-2</v>
      </c>
    </row>
    <row r="77" spans="1:1" x14ac:dyDescent="0.25">
      <c r="A77">
        <v>0.12</v>
      </c>
    </row>
    <row r="78" spans="1:1" x14ac:dyDescent="0.25">
      <c r="A78">
        <v>0.114</v>
      </c>
    </row>
    <row r="79" spans="1:1" x14ac:dyDescent="0.25">
      <c r="A79">
        <v>0.13400000000000001</v>
      </c>
    </row>
    <row r="80" spans="1:1" x14ac:dyDescent="0.25">
      <c r="A80">
        <v>7.1999999999999995E-2</v>
      </c>
    </row>
    <row r="81" spans="1:1" x14ac:dyDescent="0.25">
      <c r="A81">
        <v>0.25700000000000001</v>
      </c>
    </row>
    <row r="82" spans="1:1" x14ac:dyDescent="0.25">
      <c r="A82">
        <v>0.186</v>
      </c>
    </row>
    <row r="83" spans="1:1" x14ac:dyDescent="0.25">
      <c r="A83">
        <v>0.161</v>
      </c>
    </row>
    <row r="84" spans="1:1" x14ac:dyDescent="0.25">
      <c r="A84">
        <v>0.24099999999999999</v>
      </c>
    </row>
    <row r="85" spans="1:1" x14ac:dyDescent="0.25">
      <c r="A85">
        <v>8.4000000000000005E-2</v>
      </c>
    </row>
    <row r="86" spans="1:1" x14ac:dyDescent="0.25">
      <c r="A86">
        <v>0.215</v>
      </c>
    </row>
    <row r="87" spans="1:1" x14ac:dyDescent="0.25">
      <c r="A87">
        <v>0.104</v>
      </c>
    </row>
    <row r="88" spans="1:1" x14ac:dyDescent="0.25">
      <c r="A88">
        <v>7.0000000000000007E-2</v>
      </c>
    </row>
    <row r="89" spans="1:1" x14ac:dyDescent="0.25">
      <c r="A89">
        <v>0.154</v>
      </c>
    </row>
    <row r="90" spans="1:1" x14ac:dyDescent="0.25">
      <c r="A90">
        <v>0.188</v>
      </c>
    </row>
    <row r="91" spans="1:1" x14ac:dyDescent="0.25">
      <c r="A91">
        <v>0.03</v>
      </c>
    </row>
    <row r="92" spans="1:1" x14ac:dyDescent="0.25">
      <c r="A92">
        <v>6.6000000000000003E-2</v>
      </c>
    </row>
    <row r="93" spans="1:1" x14ac:dyDescent="0.25">
      <c r="A93">
        <v>7.3999999999999996E-2</v>
      </c>
    </row>
    <row r="94" spans="1:1" x14ac:dyDescent="0.25">
      <c r="A94">
        <v>0.14399999999999999</v>
      </c>
    </row>
    <row r="95" spans="1:1" x14ac:dyDescent="0.25">
      <c r="A95">
        <v>9.6000000000000002E-2</v>
      </c>
    </row>
    <row r="96" spans="1:1" x14ac:dyDescent="0.25">
      <c r="A96">
        <v>9.9000000000000005E-2</v>
      </c>
    </row>
    <row r="97" spans="1:1" x14ac:dyDescent="0.25">
      <c r="A97">
        <v>0.16</v>
      </c>
    </row>
    <row r="98" spans="1:1" x14ac:dyDescent="0.25">
      <c r="A98">
        <v>3.4000000000000002E-2</v>
      </c>
    </row>
    <row r="99" spans="1:1" x14ac:dyDescent="0.25">
      <c r="A99">
        <v>0.14599999999999999</v>
      </c>
    </row>
    <row r="100" spans="1:1" x14ac:dyDescent="0.25">
      <c r="A100">
        <v>0</v>
      </c>
    </row>
    <row r="101" spans="1:1" x14ac:dyDescent="0.25">
      <c r="A101">
        <v>9.1999999999999998E-2</v>
      </c>
    </row>
    <row r="102" spans="1:1" x14ac:dyDescent="0.25">
      <c r="A102">
        <v>0.29199999999999998</v>
      </c>
    </row>
    <row r="103" spans="1:1" x14ac:dyDescent="0.25">
      <c r="A103">
        <v>0</v>
      </c>
    </row>
    <row r="104" spans="1:1" x14ac:dyDescent="0.25">
      <c r="A104">
        <v>0.14000000000000001</v>
      </c>
    </row>
    <row r="105" spans="1:1" x14ac:dyDescent="0.25">
      <c r="A105">
        <v>0</v>
      </c>
    </row>
    <row r="106" spans="1:1" x14ac:dyDescent="0.25">
      <c r="A106">
        <v>0.18</v>
      </c>
    </row>
    <row r="107" spans="1:1" x14ac:dyDescent="0.25">
      <c r="A107">
        <v>0.16900000000000001</v>
      </c>
    </row>
    <row r="108" spans="1:1" x14ac:dyDescent="0.25">
      <c r="A108">
        <v>0.27800000000000002</v>
      </c>
    </row>
    <row r="109" spans="1:1" x14ac:dyDescent="0.25">
      <c r="A109">
        <v>0.13700000000000001</v>
      </c>
    </row>
    <row r="110" spans="1:1" x14ac:dyDescent="0.25">
      <c r="A110">
        <v>0.123</v>
      </c>
    </row>
    <row r="111" spans="1:1" x14ac:dyDescent="0.25">
      <c r="A111">
        <v>0</v>
      </c>
    </row>
    <row r="112" spans="1:1" x14ac:dyDescent="0.25">
      <c r="A112">
        <v>0.22900000000000001</v>
      </c>
    </row>
    <row r="113" spans="1:1" x14ac:dyDescent="0.25">
      <c r="A113">
        <v>0</v>
      </c>
    </row>
    <row r="114" spans="1:1" x14ac:dyDescent="0.25">
      <c r="A114">
        <v>1.2E-2</v>
      </c>
    </row>
    <row r="115" spans="1:1" x14ac:dyDescent="0.25">
      <c r="A115">
        <v>0.11799999999999999</v>
      </c>
    </row>
    <row r="116" spans="1:1" x14ac:dyDescent="0.25">
      <c r="A116">
        <v>0.11899999999999999</v>
      </c>
    </row>
    <row r="117" spans="1:1" x14ac:dyDescent="0.25">
      <c r="A117">
        <v>0</v>
      </c>
    </row>
    <row r="118" spans="1:1" x14ac:dyDescent="0.25">
      <c r="A118">
        <v>0.108</v>
      </c>
    </row>
    <row r="119" spans="1:1" x14ac:dyDescent="0.25">
      <c r="A119">
        <v>0.157</v>
      </c>
    </row>
    <row r="120" spans="1:1" x14ac:dyDescent="0.25">
      <c r="A120">
        <v>0.184</v>
      </c>
    </row>
    <row r="121" spans="1:1" x14ac:dyDescent="0.25">
      <c r="A121">
        <v>7.0999999999999994E-2</v>
      </c>
    </row>
    <row r="122" spans="1:1" x14ac:dyDescent="0.25">
      <c r="A122">
        <v>4.2999999999999997E-2</v>
      </c>
    </row>
    <row r="123" spans="1:1" x14ac:dyDescent="0.25">
      <c r="A123">
        <v>0.123</v>
      </c>
    </row>
    <row r="124" spans="1:1" x14ac:dyDescent="0.25">
      <c r="A124">
        <v>6.9000000000000006E-2</v>
      </c>
    </row>
    <row r="125" spans="1:1" x14ac:dyDescent="0.25">
      <c r="A125">
        <v>0.20300000000000001</v>
      </c>
    </row>
    <row r="126" spans="1:1" x14ac:dyDescent="0.25">
      <c r="A126">
        <v>5.7000000000000002E-2</v>
      </c>
    </row>
    <row r="127" spans="1:1" x14ac:dyDescent="0.25">
      <c r="A127">
        <v>8.8999999999999996E-2</v>
      </c>
    </row>
    <row r="128" spans="1:1" x14ac:dyDescent="0.25">
      <c r="A128">
        <v>8.4000000000000005E-2</v>
      </c>
    </row>
    <row r="129" spans="1:1" x14ac:dyDescent="0.25">
      <c r="A129">
        <v>7.2999999999999995E-2</v>
      </c>
    </row>
    <row r="130" spans="1:1" x14ac:dyDescent="0.25">
      <c r="A130">
        <v>0.17899999999999999</v>
      </c>
    </row>
    <row r="131" spans="1:1" x14ac:dyDescent="0.25">
      <c r="A131">
        <v>0.187</v>
      </c>
    </row>
    <row r="132" spans="1:1" x14ac:dyDescent="0.25">
      <c r="A132">
        <v>0.111</v>
      </c>
    </row>
    <row r="133" spans="1:1" x14ac:dyDescent="0.25">
      <c r="A133">
        <v>6.3E-2</v>
      </c>
    </row>
    <row r="134" spans="1:1" x14ac:dyDescent="0.25">
      <c r="A134">
        <v>0.14199999999999999</v>
      </c>
    </row>
    <row r="135" spans="1:1" x14ac:dyDescent="0.25">
      <c r="A135">
        <v>0.22</v>
      </c>
    </row>
    <row r="136" spans="1:1" x14ac:dyDescent="0.25">
      <c r="A136">
        <v>0.187</v>
      </c>
    </row>
    <row r="137" spans="1:1" x14ac:dyDescent="0.25">
      <c r="A137">
        <v>0.192</v>
      </c>
    </row>
    <row r="138" spans="1:1" x14ac:dyDescent="0.25">
      <c r="A138">
        <v>9.4E-2</v>
      </c>
    </row>
    <row r="139" spans="1:1" x14ac:dyDescent="0.25">
      <c r="A139">
        <v>8.9999999999999993E-3</v>
      </c>
    </row>
    <row r="140" spans="1:1" x14ac:dyDescent="0.25">
      <c r="A140">
        <v>0.26500000000000001</v>
      </c>
    </row>
    <row r="141" spans="1:1" x14ac:dyDescent="0.25">
      <c r="A141">
        <v>0.129</v>
      </c>
    </row>
    <row r="142" spans="1:1" x14ac:dyDescent="0.25">
      <c r="A142">
        <v>0.25900000000000001</v>
      </c>
    </row>
    <row r="143" spans="1:1" x14ac:dyDescent="0.25">
      <c r="A143">
        <v>0.11799999999999999</v>
      </c>
    </row>
    <row r="144" spans="1:1" x14ac:dyDescent="0.25">
      <c r="A144">
        <v>0.01</v>
      </c>
    </row>
    <row r="145" spans="1:1" x14ac:dyDescent="0.25">
      <c r="A145">
        <v>0.151</v>
      </c>
    </row>
    <row r="146" spans="1:1" x14ac:dyDescent="0.25">
      <c r="A146">
        <v>0.245</v>
      </c>
    </row>
    <row r="147" spans="1:1" x14ac:dyDescent="0.25">
      <c r="A147">
        <v>8.2000000000000003E-2</v>
      </c>
    </row>
    <row r="148" spans="1:1" x14ac:dyDescent="0.25">
      <c r="A148">
        <v>0.107</v>
      </c>
    </row>
    <row r="149" spans="1:1" x14ac:dyDescent="0.25">
      <c r="A149">
        <v>0.185</v>
      </c>
    </row>
    <row r="150" spans="1:1" x14ac:dyDescent="0.25">
      <c r="A150">
        <v>0</v>
      </c>
    </row>
    <row r="151" spans="1:1" x14ac:dyDescent="0.25">
      <c r="A151">
        <v>0.188</v>
      </c>
    </row>
    <row r="152" spans="1:1" x14ac:dyDescent="0.25">
      <c r="A152">
        <v>2.1000000000000001E-2</v>
      </c>
    </row>
    <row r="153" spans="1:1" x14ac:dyDescent="0.25">
      <c r="A153">
        <v>0.13100000000000001</v>
      </c>
    </row>
    <row r="154" spans="1:1" x14ac:dyDescent="0.25">
      <c r="A154">
        <v>4.4999999999999998E-2</v>
      </c>
    </row>
    <row r="155" spans="1:1" x14ac:dyDescent="0.25">
      <c r="A155">
        <v>0.184</v>
      </c>
    </row>
    <row r="156" spans="1:1" x14ac:dyDescent="0.25">
      <c r="A156">
        <v>0.13600000000000001</v>
      </c>
    </row>
    <row r="157" spans="1:1" x14ac:dyDescent="0.25">
      <c r="A157">
        <v>0.184</v>
      </c>
    </row>
    <row r="158" spans="1:1" x14ac:dyDescent="0.25">
      <c r="A158">
        <v>0.111</v>
      </c>
    </row>
    <row r="159" spans="1:1" x14ac:dyDescent="0.25">
      <c r="A159">
        <v>1.7999999999999999E-2</v>
      </c>
    </row>
    <row r="160" spans="1:1" x14ac:dyDescent="0.25">
      <c r="A160">
        <v>2.5000000000000001E-2</v>
      </c>
    </row>
    <row r="161" spans="1:1" x14ac:dyDescent="0.25">
      <c r="A161">
        <v>0.127</v>
      </c>
    </row>
    <row r="162" spans="1:1" x14ac:dyDescent="0.25">
      <c r="A162">
        <v>0.18099999999999999</v>
      </c>
    </row>
    <row r="163" spans="1:1" x14ac:dyDescent="0.25">
      <c r="A163">
        <v>0.157</v>
      </c>
    </row>
    <row r="164" spans="1:1" x14ac:dyDescent="0.25">
      <c r="A164">
        <v>7.1999999999999995E-2</v>
      </c>
    </row>
    <row r="165" spans="1:1" x14ac:dyDescent="0.25">
      <c r="A165">
        <v>0.13300000000000001</v>
      </c>
    </row>
    <row r="166" spans="1:1" x14ac:dyDescent="0.25">
      <c r="A166">
        <v>0.14000000000000001</v>
      </c>
    </row>
    <row r="167" spans="1:1" x14ac:dyDescent="0.25">
      <c r="A167">
        <v>0.02</v>
      </c>
    </row>
    <row r="168" spans="1:1" x14ac:dyDescent="0.25">
      <c r="A168">
        <v>5.2999999999999999E-2</v>
      </c>
    </row>
    <row r="169" spans="1:1" x14ac:dyDescent="0.25">
      <c r="A169">
        <v>0.19700000000000001</v>
      </c>
    </row>
    <row r="170" spans="1:1" x14ac:dyDescent="0.25">
      <c r="A170">
        <v>0.254</v>
      </c>
    </row>
    <row r="171" spans="1:1" x14ac:dyDescent="0.25">
      <c r="A171">
        <v>0.185</v>
      </c>
    </row>
    <row r="172" spans="1:1" x14ac:dyDescent="0.25">
      <c r="A172">
        <v>0.13900000000000001</v>
      </c>
    </row>
    <row r="173" spans="1:1" x14ac:dyDescent="0.25">
      <c r="A173">
        <v>0.254</v>
      </c>
    </row>
    <row r="174" spans="1:1" x14ac:dyDescent="0.25">
      <c r="A174">
        <v>0.13400000000000001</v>
      </c>
    </row>
    <row r="175" spans="1:1" x14ac:dyDescent="0.25">
      <c r="A175">
        <v>4.7E-2</v>
      </c>
    </row>
    <row r="176" spans="1:1" x14ac:dyDescent="0.25">
      <c r="A176">
        <v>7.8E-2</v>
      </c>
    </row>
    <row r="177" spans="1:1" x14ac:dyDescent="0.25">
      <c r="A177">
        <v>2.1999999999999999E-2</v>
      </c>
    </row>
    <row r="178" spans="1:1" x14ac:dyDescent="0.25">
      <c r="A178">
        <v>0.255</v>
      </c>
    </row>
    <row r="179" spans="1:1" x14ac:dyDescent="0.25">
      <c r="A179">
        <v>9.0999999999999998E-2</v>
      </c>
    </row>
    <row r="180" spans="1:1" x14ac:dyDescent="0.25">
      <c r="A180">
        <v>0.17699999999999999</v>
      </c>
    </row>
    <row r="181" spans="1:1" x14ac:dyDescent="0.25">
      <c r="A181">
        <v>5.6000000000000001E-2</v>
      </c>
    </row>
    <row r="182" spans="1:1" x14ac:dyDescent="0.25">
      <c r="A182">
        <v>0.17299999999999999</v>
      </c>
    </row>
    <row r="183" spans="1:1" x14ac:dyDescent="0.25">
      <c r="A183">
        <v>0.21199999999999999</v>
      </c>
    </row>
    <row r="184" spans="1:1" x14ac:dyDescent="0.25">
      <c r="A184">
        <v>6.3E-2</v>
      </c>
    </row>
    <row r="185" spans="1:1" x14ac:dyDescent="0.25">
      <c r="A185">
        <v>0.19600000000000001</v>
      </c>
    </row>
    <row r="186" spans="1:1" x14ac:dyDescent="0.25">
      <c r="A186">
        <v>0.10100000000000001</v>
      </c>
    </row>
    <row r="187" spans="1:1" x14ac:dyDescent="0.25">
      <c r="A187">
        <v>0.153</v>
      </c>
    </row>
    <row r="188" spans="1:1" x14ac:dyDescent="0.25">
      <c r="A188">
        <v>2.5000000000000001E-2</v>
      </c>
    </row>
    <row r="189" spans="1:1" x14ac:dyDescent="0.25">
      <c r="A189">
        <v>0.21099999999999999</v>
      </c>
    </row>
    <row r="190" spans="1:1" x14ac:dyDescent="0.25">
      <c r="A190">
        <v>0.11799999999999999</v>
      </c>
    </row>
    <row r="191" spans="1:1" x14ac:dyDescent="0.25">
      <c r="A191">
        <v>1.2E-2</v>
      </c>
    </row>
    <row r="192" spans="1:1" x14ac:dyDescent="0.25">
      <c r="A192">
        <v>0.215</v>
      </c>
    </row>
    <row r="193" spans="1:1" x14ac:dyDescent="0.25">
      <c r="A193">
        <v>9.4E-2</v>
      </c>
    </row>
    <row r="194" spans="1:1" x14ac:dyDescent="0.25">
      <c r="A194">
        <v>0.23599999999999999</v>
      </c>
    </row>
    <row r="195" spans="1:1" x14ac:dyDescent="0.25">
      <c r="A195">
        <v>7.1999999999999995E-2</v>
      </c>
    </row>
    <row r="196" spans="1:1" x14ac:dyDescent="0.25">
      <c r="A196">
        <v>9.4E-2</v>
      </c>
    </row>
    <row r="197" spans="1:1" x14ac:dyDescent="0.25">
      <c r="A197">
        <v>0.159</v>
      </c>
    </row>
    <row r="198" spans="1:1" x14ac:dyDescent="0.25">
      <c r="A198">
        <v>0.185</v>
      </c>
    </row>
    <row r="199" spans="1:1" x14ac:dyDescent="0.25">
      <c r="A199">
        <v>5.0999999999999997E-2</v>
      </c>
    </row>
    <row r="200" spans="1:1" x14ac:dyDescent="0.25">
      <c r="A200">
        <v>0.186</v>
      </c>
    </row>
    <row r="201" spans="1:1" x14ac:dyDescent="0.25">
      <c r="A201">
        <v>0.155</v>
      </c>
    </row>
    <row r="202" spans="1:1" x14ac:dyDescent="0.25">
      <c r="A202">
        <v>5.7000000000000002E-2</v>
      </c>
    </row>
    <row r="203" spans="1:1" x14ac:dyDescent="0.25">
      <c r="A203">
        <v>0.25800000000000001</v>
      </c>
    </row>
    <row r="204" spans="1:1" x14ac:dyDescent="0.25">
      <c r="A204">
        <v>0</v>
      </c>
    </row>
    <row r="205" spans="1:1" x14ac:dyDescent="0.25">
      <c r="A205">
        <v>0.24299999999999999</v>
      </c>
    </row>
    <row r="206" spans="1:1" x14ac:dyDescent="0.25">
      <c r="A206">
        <v>5.5E-2</v>
      </c>
    </row>
    <row r="207" spans="1:1" x14ac:dyDescent="0.25">
      <c r="A207">
        <v>2.9000000000000001E-2</v>
      </c>
    </row>
    <row r="208" spans="1:1" x14ac:dyDescent="0.25">
      <c r="A208">
        <v>3.7999999999999999E-2</v>
      </c>
    </row>
    <row r="209" spans="1:1" x14ac:dyDescent="0.25">
      <c r="A209">
        <v>0.14799999999999999</v>
      </c>
    </row>
    <row r="210" spans="1:1" x14ac:dyDescent="0.25">
      <c r="A210">
        <v>0.20300000000000001</v>
      </c>
    </row>
    <row r="211" spans="1:1" x14ac:dyDescent="0.25">
      <c r="A211">
        <v>0.13600000000000001</v>
      </c>
    </row>
    <row r="212" spans="1:1" x14ac:dyDescent="0.25">
      <c r="A212">
        <v>0.152</v>
      </c>
    </row>
    <row r="213" spans="1:1" x14ac:dyDescent="0.25">
      <c r="A213">
        <v>0.10199999999999999</v>
      </c>
    </row>
    <row r="214" spans="1:1" x14ac:dyDescent="0.25">
      <c r="A214">
        <v>0.128</v>
      </c>
    </row>
    <row r="215" spans="1:1" x14ac:dyDescent="0.25">
      <c r="A215">
        <v>0</v>
      </c>
    </row>
    <row r="216" spans="1:1" x14ac:dyDescent="0.25">
      <c r="A216">
        <v>0.157</v>
      </c>
    </row>
    <row r="217" spans="1:1" x14ac:dyDescent="0.25">
      <c r="A217">
        <v>0.20100000000000001</v>
      </c>
    </row>
    <row r="218" spans="1:1" x14ac:dyDescent="0.25">
      <c r="A218">
        <v>0.113</v>
      </c>
    </row>
    <row r="219" spans="1:1" x14ac:dyDescent="0.25">
      <c r="A219">
        <v>0.19600000000000001</v>
      </c>
    </row>
    <row r="220" spans="1:1" x14ac:dyDescent="0.25">
      <c r="A220">
        <v>4.0000000000000001E-3</v>
      </c>
    </row>
    <row r="221" spans="1:1" x14ac:dyDescent="0.25">
      <c r="A221">
        <v>0.26600000000000001</v>
      </c>
    </row>
    <row r="222" spans="1:1" x14ac:dyDescent="0.25">
      <c r="A222">
        <v>5.5E-2</v>
      </c>
    </row>
    <row r="223" spans="1:1" x14ac:dyDescent="0.25">
      <c r="A223">
        <v>0.20399999999999999</v>
      </c>
    </row>
    <row r="224" spans="1:1" x14ac:dyDescent="0.25">
      <c r="A224">
        <v>9.2999999999999999E-2</v>
      </c>
    </row>
    <row r="225" spans="1:1" x14ac:dyDescent="0.25">
      <c r="A225">
        <v>5.0999999999999997E-2</v>
      </c>
    </row>
    <row r="226" spans="1:1" x14ac:dyDescent="0.25">
      <c r="A226">
        <v>5.0999999999999997E-2</v>
      </c>
    </row>
    <row r="227" spans="1:1" x14ac:dyDescent="0.25">
      <c r="A227">
        <v>0.14699999999999999</v>
      </c>
    </row>
    <row r="228" spans="1:1" x14ac:dyDescent="0.25">
      <c r="A228">
        <v>0.13100000000000001</v>
      </c>
    </row>
    <row r="229" spans="1:1" x14ac:dyDescent="0.25">
      <c r="A229">
        <v>6.7000000000000004E-2</v>
      </c>
    </row>
    <row r="230" spans="1:1" x14ac:dyDescent="0.25">
      <c r="A230">
        <v>0.123</v>
      </c>
    </row>
    <row r="231" spans="1:1" x14ac:dyDescent="0.25">
      <c r="A231">
        <v>0.189</v>
      </c>
    </row>
    <row r="232" spans="1:1" x14ac:dyDescent="0.25">
      <c r="A232">
        <v>0.14799999999999999</v>
      </c>
    </row>
    <row r="233" spans="1:1" x14ac:dyDescent="0.25">
      <c r="A233">
        <v>0.109</v>
      </c>
    </row>
    <row r="234" spans="1:1" x14ac:dyDescent="0.25">
      <c r="A234">
        <v>0.11600000000000001</v>
      </c>
    </row>
    <row r="235" spans="1:1" x14ac:dyDescent="0.25">
      <c r="A235">
        <v>0.187</v>
      </c>
    </row>
    <row r="236" spans="1:1" x14ac:dyDescent="0.25">
      <c r="A236">
        <v>0.10199999999999999</v>
      </c>
    </row>
    <row r="237" spans="1:1" x14ac:dyDescent="0.25">
      <c r="A237">
        <v>6.8000000000000005E-2</v>
      </c>
    </row>
    <row r="238" spans="1:1" x14ac:dyDescent="0.25">
      <c r="A238">
        <v>0.126</v>
      </c>
    </row>
    <row r="239" spans="1:1" x14ac:dyDescent="0.25">
      <c r="A239">
        <v>0.17199999999999999</v>
      </c>
    </row>
    <row r="240" spans="1:1" x14ac:dyDescent="0.25">
      <c r="A240">
        <v>0.23499999999999999</v>
      </c>
    </row>
    <row r="241" spans="1:1" x14ac:dyDescent="0.25">
      <c r="A241">
        <v>0.13</v>
      </c>
    </row>
    <row r="242" spans="1:1" x14ac:dyDescent="0.25">
      <c r="A242">
        <v>8.5999999999999993E-2</v>
      </c>
    </row>
    <row r="243" spans="1:1" x14ac:dyDescent="0.25">
      <c r="A243">
        <v>9.5000000000000001E-2</v>
      </c>
    </row>
    <row r="244" spans="1:1" x14ac:dyDescent="0.25">
      <c r="A244">
        <v>0.13600000000000001</v>
      </c>
    </row>
    <row r="245" spans="1:1" x14ac:dyDescent="0.25">
      <c r="A245">
        <v>0.23799999999999999</v>
      </c>
    </row>
    <row r="246" spans="1:1" x14ac:dyDescent="0.25">
      <c r="A246">
        <v>0.17499999999999999</v>
      </c>
    </row>
    <row r="247" spans="1:1" x14ac:dyDescent="0.25">
      <c r="A247">
        <v>0.16700000000000001</v>
      </c>
    </row>
    <row r="248" spans="1:1" x14ac:dyDescent="0.25">
      <c r="A248">
        <v>0.26300000000000001</v>
      </c>
    </row>
    <row r="249" spans="1:1" x14ac:dyDescent="0.25">
      <c r="A249">
        <v>0.151</v>
      </c>
    </row>
    <row r="250" spans="1:1" x14ac:dyDescent="0.25">
      <c r="A250">
        <v>0.11</v>
      </c>
    </row>
    <row r="251" spans="1:1" x14ac:dyDescent="0.25">
      <c r="A251">
        <v>0.107</v>
      </c>
    </row>
    <row r="252" spans="1:1" x14ac:dyDescent="0.25">
      <c r="A252">
        <v>0.14299999999999999</v>
      </c>
    </row>
    <row r="253" spans="1:1" x14ac:dyDescent="0.25">
      <c r="A253">
        <v>0.20300000000000001</v>
      </c>
    </row>
    <row r="254" spans="1:1" x14ac:dyDescent="0.25">
      <c r="A254">
        <v>0.22500000000000001</v>
      </c>
    </row>
    <row r="255" spans="1:1" x14ac:dyDescent="0.25">
      <c r="A255">
        <v>0.122</v>
      </c>
    </row>
    <row r="256" spans="1:1" x14ac:dyDescent="0.25">
      <c r="A256">
        <v>5.2999999999999999E-2</v>
      </c>
    </row>
    <row r="257" spans="1:1" x14ac:dyDescent="0.25">
      <c r="A257">
        <v>3.4000000000000002E-2</v>
      </c>
    </row>
    <row r="258" spans="1:1" x14ac:dyDescent="0.25">
      <c r="A258">
        <v>0.17299999999999999</v>
      </c>
    </row>
    <row r="259" spans="1:1" x14ac:dyDescent="0.25">
      <c r="A259">
        <v>0.19700000000000001</v>
      </c>
    </row>
    <row r="260" spans="1:1" x14ac:dyDescent="0.25">
      <c r="A260">
        <v>0.20499999999999999</v>
      </c>
    </row>
    <row r="261" spans="1:1" x14ac:dyDescent="0.25">
      <c r="A261">
        <v>0.14000000000000001</v>
      </c>
    </row>
    <row r="262" spans="1:1" x14ac:dyDescent="0.25">
      <c r="A262">
        <v>7.8E-2</v>
      </c>
    </row>
    <row r="263" spans="1:1" x14ac:dyDescent="0.25">
      <c r="A263">
        <v>4.0000000000000001E-3</v>
      </c>
    </row>
    <row r="264" spans="1:1" x14ac:dyDescent="0.25">
      <c r="A264">
        <v>0.216</v>
      </c>
    </row>
    <row r="265" spans="1:1" x14ac:dyDescent="0.25">
      <c r="A265">
        <v>5.7000000000000002E-2</v>
      </c>
    </row>
    <row r="266" spans="1:1" x14ac:dyDescent="0.25">
      <c r="A266">
        <v>0.126</v>
      </c>
    </row>
    <row r="267" spans="1:1" x14ac:dyDescent="0.25">
      <c r="A267">
        <v>0.19600000000000001</v>
      </c>
    </row>
    <row r="268" spans="1:1" x14ac:dyDescent="0.25">
      <c r="A268">
        <v>0.184</v>
      </c>
    </row>
    <row r="269" spans="1:1" x14ac:dyDescent="0.25">
      <c r="A269">
        <v>0.107</v>
      </c>
    </row>
    <row r="270" spans="1:1" x14ac:dyDescent="0.25">
      <c r="A270">
        <v>0</v>
      </c>
    </row>
    <row r="271" spans="1:1" x14ac:dyDescent="0.25">
      <c r="A271">
        <v>0.154</v>
      </c>
    </row>
    <row r="272" spans="1:1" x14ac:dyDescent="0.25">
      <c r="A272">
        <v>0.13400000000000001</v>
      </c>
    </row>
    <row r="273" spans="1:1" x14ac:dyDescent="0.25">
      <c r="A273">
        <v>0.17399999999999999</v>
      </c>
    </row>
    <row r="274" spans="1:1" x14ac:dyDescent="0.25">
      <c r="A274">
        <v>0.13900000000000001</v>
      </c>
    </row>
    <row r="275" spans="1:1" x14ac:dyDescent="0.25">
      <c r="A275">
        <v>0.16400000000000001</v>
      </c>
    </row>
    <row r="276" spans="1:1" x14ac:dyDescent="0.25">
      <c r="A276">
        <v>0.13500000000000001</v>
      </c>
    </row>
    <row r="277" spans="1:1" x14ac:dyDescent="0.25">
      <c r="A277">
        <v>0.13500000000000001</v>
      </c>
    </row>
    <row r="278" spans="1:1" x14ac:dyDescent="0.25">
      <c r="A278">
        <v>0.115</v>
      </c>
    </row>
    <row r="279" spans="1:1" x14ac:dyDescent="0.25">
      <c r="A279">
        <v>0.151</v>
      </c>
    </row>
    <row r="280" spans="1:1" x14ac:dyDescent="0.25">
      <c r="A280">
        <v>0.12</v>
      </c>
    </row>
    <row r="281" spans="1:1" x14ac:dyDescent="0.25">
      <c r="A281">
        <v>0.13800000000000001</v>
      </c>
    </row>
    <row r="282" spans="1:1" x14ac:dyDescent="0.25">
      <c r="A282">
        <v>0.112</v>
      </c>
    </row>
    <row r="283" spans="1:1" x14ac:dyDescent="0.25">
      <c r="A283">
        <v>0.12</v>
      </c>
    </row>
    <row r="284" spans="1:1" x14ac:dyDescent="0.25">
      <c r="A284">
        <v>0</v>
      </c>
    </row>
    <row r="285" spans="1:1" x14ac:dyDescent="0.25">
      <c r="A285">
        <v>0.114</v>
      </c>
    </row>
    <row r="286" spans="1:1" x14ac:dyDescent="0.25">
      <c r="A286">
        <v>0.155</v>
      </c>
    </row>
    <row r="287" spans="1:1" x14ac:dyDescent="0.25">
      <c r="A287">
        <v>0.22</v>
      </c>
    </row>
    <row r="288" spans="1:1" x14ac:dyDescent="0.25">
      <c r="A288">
        <v>0.13400000000000001</v>
      </c>
    </row>
    <row r="289" spans="1:1" x14ac:dyDescent="0.25">
      <c r="A289">
        <v>0.13400000000000001</v>
      </c>
    </row>
    <row r="290" spans="1:1" x14ac:dyDescent="0.25">
      <c r="A290">
        <v>6.6000000000000003E-2</v>
      </c>
    </row>
    <row r="291" spans="1:1" x14ac:dyDescent="0.25">
      <c r="A291">
        <v>0.192</v>
      </c>
    </row>
    <row r="292" spans="1:1" x14ac:dyDescent="0.25">
      <c r="A292">
        <v>0.14599999999999999</v>
      </c>
    </row>
    <row r="293" spans="1:1" x14ac:dyDescent="0.25">
      <c r="A293">
        <v>0.156</v>
      </c>
    </row>
    <row r="294" spans="1:1" x14ac:dyDescent="0.25">
      <c r="A294">
        <v>0.20699999999999999</v>
      </c>
    </row>
    <row r="295" spans="1:1" x14ac:dyDescent="0.25">
      <c r="A295">
        <v>5.8999999999999997E-2</v>
      </c>
    </row>
    <row r="296" spans="1:1" x14ac:dyDescent="0.25">
      <c r="A296">
        <v>0.08</v>
      </c>
    </row>
    <row r="297" spans="1:1" x14ac:dyDescent="0.25">
      <c r="A297">
        <v>0.113</v>
      </c>
    </row>
    <row r="298" spans="1:1" x14ac:dyDescent="0.25">
      <c r="A298">
        <v>0.16900000000000001</v>
      </c>
    </row>
    <row r="299" spans="1:1" x14ac:dyDescent="0.25">
      <c r="A299">
        <v>0.108</v>
      </c>
    </row>
    <row r="300" spans="1:1" x14ac:dyDescent="0.25">
      <c r="A300">
        <v>0.11899999999999999</v>
      </c>
    </row>
    <row r="301" spans="1:1" x14ac:dyDescent="0.25">
      <c r="A301">
        <v>0</v>
      </c>
    </row>
    <row r="302" spans="1:1" x14ac:dyDescent="0.25">
      <c r="A302">
        <v>5.6000000000000001E-2</v>
      </c>
    </row>
    <row r="303" spans="1:1" x14ac:dyDescent="0.25">
      <c r="A303">
        <v>0.19400000000000001</v>
      </c>
    </row>
    <row r="304" spans="1:1" x14ac:dyDescent="0.25">
      <c r="A304">
        <v>0.129</v>
      </c>
    </row>
    <row r="305" spans="1:1" x14ac:dyDescent="0.25">
      <c r="A305">
        <v>0.17399999999999999</v>
      </c>
    </row>
    <row r="306" spans="1:1" x14ac:dyDescent="0.25">
      <c r="A306">
        <v>0.08</v>
      </c>
    </row>
    <row r="307" spans="1:1" x14ac:dyDescent="0.25">
      <c r="A307">
        <v>3.7999999999999999E-2</v>
      </c>
    </row>
    <row r="308" spans="1:1" x14ac:dyDescent="0.25">
      <c r="A308">
        <v>0.1</v>
      </c>
    </row>
    <row r="309" spans="1:1" x14ac:dyDescent="0.25">
      <c r="A309">
        <v>0.17599999999999999</v>
      </c>
    </row>
    <row r="310" spans="1:1" x14ac:dyDescent="0.25">
      <c r="A310">
        <v>0.153</v>
      </c>
    </row>
    <row r="311" spans="1:1" x14ac:dyDescent="0.25">
      <c r="A311">
        <v>8.8999999999999996E-2</v>
      </c>
    </row>
    <row r="312" spans="1:1" x14ac:dyDescent="0.25">
      <c r="A312">
        <v>0.185</v>
      </c>
    </row>
    <row r="313" spans="1:1" x14ac:dyDescent="0.25">
      <c r="A313">
        <v>4.4999999999999998E-2</v>
      </c>
    </row>
    <row r="314" spans="1:1" x14ac:dyDescent="0.25">
      <c r="A314">
        <v>8.7999999999999995E-2</v>
      </c>
    </row>
    <row r="315" spans="1:1" x14ac:dyDescent="0.25">
      <c r="A315">
        <v>0</v>
      </c>
    </row>
    <row r="316" spans="1:1" x14ac:dyDescent="0.25">
      <c r="A316">
        <v>3.1E-2</v>
      </c>
    </row>
    <row r="317" spans="1:1" x14ac:dyDescent="0.25">
      <c r="A317">
        <v>0.09</v>
      </c>
    </row>
    <row r="318" spans="1:1" x14ac:dyDescent="0.25">
      <c r="A318">
        <v>0.14099999999999999</v>
      </c>
    </row>
    <row r="319" spans="1:1" x14ac:dyDescent="0.25">
      <c r="A319">
        <v>7.4999999999999997E-2</v>
      </c>
    </row>
    <row r="320" spans="1:1" x14ac:dyDescent="0.25">
      <c r="A320">
        <v>1.4E-2</v>
      </c>
    </row>
    <row r="321" spans="1:1" x14ac:dyDescent="0.25">
      <c r="A321">
        <v>0.151</v>
      </c>
    </row>
    <row r="322" spans="1:1" x14ac:dyDescent="0.25">
      <c r="A322">
        <v>7.5999999999999998E-2</v>
      </c>
    </row>
    <row r="323" spans="1:1" x14ac:dyDescent="0.25">
      <c r="A323">
        <v>0.215</v>
      </c>
    </row>
    <row r="324" spans="1:1" x14ac:dyDescent="0.25">
      <c r="A324">
        <v>0.10299999999999999</v>
      </c>
    </row>
    <row r="325" spans="1:1" x14ac:dyDescent="0.25">
      <c r="A325">
        <v>0.17599999999999999</v>
      </c>
    </row>
    <row r="326" spans="1:1" x14ac:dyDescent="0.25">
      <c r="A326">
        <v>5.0999999999999997E-2</v>
      </c>
    </row>
    <row r="327" spans="1:1" x14ac:dyDescent="0.25">
      <c r="A327">
        <v>0.121</v>
      </c>
    </row>
    <row r="328" spans="1:1" x14ac:dyDescent="0.25">
      <c r="A328">
        <v>4.2000000000000003E-2</v>
      </c>
    </row>
    <row r="329" spans="1:1" x14ac:dyDescent="0.25">
      <c r="A329">
        <v>0.109</v>
      </c>
    </row>
    <row r="330" spans="1:1" x14ac:dyDescent="0.25">
      <c r="A330">
        <v>0.12</v>
      </c>
    </row>
    <row r="331" spans="1:1" x14ac:dyDescent="0.25">
      <c r="A331">
        <v>0.2</v>
      </c>
    </row>
    <row r="332" spans="1:1" x14ac:dyDescent="0.25">
      <c r="A332">
        <v>6.5000000000000002E-2</v>
      </c>
    </row>
    <row r="333" spans="1:1" x14ac:dyDescent="0.25">
      <c r="A333">
        <v>0.23899999999999999</v>
      </c>
    </row>
    <row r="334" spans="1:1" x14ac:dyDescent="0.25">
      <c r="A334">
        <v>0.27</v>
      </c>
    </row>
    <row r="335" spans="1:1" x14ac:dyDescent="0.25">
      <c r="A335">
        <v>2.8000000000000001E-2</v>
      </c>
    </row>
    <row r="336" spans="1:1" x14ac:dyDescent="0.25">
      <c r="A336">
        <v>0.14499999999999999</v>
      </c>
    </row>
    <row r="337" spans="1:1" x14ac:dyDescent="0.25">
      <c r="A337">
        <v>0.158</v>
      </c>
    </row>
    <row r="338" spans="1:1" x14ac:dyDescent="0.25">
      <c r="A338">
        <v>6.6000000000000003E-2</v>
      </c>
    </row>
    <row r="339" spans="1:1" x14ac:dyDescent="0.25">
      <c r="A339">
        <v>0.21</v>
      </c>
    </row>
    <row r="340" spans="1:1" x14ac:dyDescent="0.25">
      <c r="A340">
        <v>0.24</v>
      </c>
    </row>
    <row r="341" spans="1:1" x14ac:dyDescent="0.25">
      <c r="A341">
        <v>0.29899999999999999</v>
      </c>
    </row>
    <row r="342" spans="1:1" x14ac:dyDescent="0.25">
      <c r="A342">
        <v>0.12</v>
      </c>
    </row>
    <row r="343" spans="1:1" x14ac:dyDescent="0.25">
      <c r="A343">
        <v>0.28199999999999997</v>
      </c>
    </row>
    <row r="344" spans="1:1" x14ac:dyDescent="0.25">
      <c r="A344">
        <v>0</v>
      </c>
    </row>
    <row r="345" spans="1:1" x14ac:dyDescent="0.25">
      <c r="A345">
        <v>0.26100000000000001</v>
      </c>
    </row>
    <row r="346" spans="1:1" x14ac:dyDescent="0.25">
      <c r="A346">
        <v>7.0999999999999994E-2</v>
      </c>
    </row>
    <row r="347" spans="1:1" x14ac:dyDescent="0.25">
      <c r="A347">
        <v>0.02</v>
      </c>
    </row>
    <row r="348" spans="1:1" x14ac:dyDescent="0.25">
      <c r="A348">
        <v>0.10299999999999999</v>
      </c>
    </row>
    <row r="349" spans="1:1" x14ac:dyDescent="0.25">
      <c r="A349">
        <v>0</v>
      </c>
    </row>
    <row r="350" spans="1:1" x14ac:dyDescent="0.25">
      <c r="A350">
        <v>0.14399999999999999</v>
      </c>
    </row>
    <row r="351" spans="1:1" x14ac:dyDescent="0.25">
      <c r="A351">
        <v>0.113</v>
      </c>
    </row>
    <row r="352" spans="1:1" x14ac:dyDescent="0.25">
      <c r="A352">
        <v>0.188</v>
      </c>
    </row>
    <row r="353" spans="1:1" x14ac:dyDescent="0.25">
      <c r="A353">
        <v>0.113</v>
      </c>
    </row>
    <row r="354" spans="1:1" x14ac:dyDescent="0.25">
      <c r="A354">
        <v>3.9E-2</v>
      </c>
    </row>
    <row r="355" spans="1:1" x14ac:dyDescent="0.25">
      <c r="A355">
        <v>0.17899999999999999</v>
      </c>
    </row>
    <row r="356" spans="1:1" x14ac:dyDescent="0.25">
      <c r="A356">
        <v>0.128</v>
      </c>
    </row>
    <row r="357" spans="1:1" x14ac:dyDescent="0.25">
      <c r="A357">
        <v>0.16700000000000001</v>
      </c>
    </row>
    <row r="358" spans="1:1" x14ac:dyDescent="0.25">
      <c r="A358">
        <v>0</v>
      </c>
    </row>
    <row r="359" spans="1:1" x14ac:dyDescent="0.25">
      <c r="A359">
        <v>0.17</v>
      </c>
    </row>
    <row r="360" spans="1:1" x14ac:dyDescent="0.25">
      <c r="A360">
        <v>0</v>
      </c>
    </row>
    <row r="361" spans="1:1" x14ac:dyDescent="0.25">
      <c r="A361">
        <v>0.17599999999999999</v>
      </c>
    </row>
    <row r="362" spans="1:1" x14ac:dyDescent="0.25">
      <c r="A362">
        <v>0.11</v>
      </c>
    </row>
    <row r="363" spans="1:1" x14ac:dyDescent="0.25">
      <c r="A363">
        <v>7.8E-2</v>
      </c>
    </row>
    <row r="364" spans="1:1" x14ac:dyDescent="0.25">
      <c r="A364">
        <v>1.4E-2</v>
      </c>
    </row>
    <row r="365" spans="1:1" x14ac:dyDescent="0.25">
      <c r="A365">
        <v>0.27200000000000002</v>
      </c>
    </row>
    <row r="366" spans="1:1" x14ac:dyDescent="0.25">
      <c r="A366">
        <v>0.13200000000000001</v>
      </c>
    </row>
    <row r="367" spans="1:1" x14ac:dyDescent="0.25">
      <c r="A367">
        <v>8.9999999999999993E-3</v>
      </c>
    </row>
    <row r="368" spans="1:1" x14ac:dyDescent="0.25">
      <c r="A368">
        <v>0.192</v>
      </c>
    </row>
    <row r="369" spans="1:1" x14ac:dyDescent="0.25">
      <c r="A369">
        <v>0.105</v>
      </c>
    </row>
    <row r="370" spans="1:1" x14ac:dyDescent="0.25">
      <c r="A370">
        <v>0.106</v>
      </c>
    </row>
    <row r="371" spans="1:1" x14ac:dyDescent="0.25">
      <c r="A371">
        <v>0.115</v>
      </c>
    </row>
    <row r="372" spans="1:1" x14ac:dyDescent="0.25">
      <c r="A372">
        <v>5.8000000000000003E-2</v>
      </c>
    </row>
    <row r="373" spans="1:1" x14ac:dyDescent="0.25">
      <c r="A373">
        <v>0</v>
      </c>
    </row>
    <row r="374" spans="1:1" x14ac:dyDescent="0.25">
      <c r="A374">
        <v>0.107</v>
      </c>
    </row>
    <row r="375" spans="1:1" x14ac:dyDescent="0.25">
      <c r="A375">
        <v>3.4000000000000002E-2</v>
      </c>
    </row>
    <row r="376" spans="1:1" x14ac:dyDescent="0.25">
      <c r="A376">
        <v>0.25600000000000001</v>
      </c>
    </row>
    <row r="377" spans="1:1" x14ac:dyDescent="0.25">
      <c r="A377">
        <v>6.3E-2</v>
      </c>
    </row>
    <row r="378" spans="1:1" x14ac:dyDescent="0.25">
      <c r="A378">
        <v>9.9000000000000005E-2</v>
      </c>
    </row>
    <row r="379" spans="1:1" x14ac:dyDescent="0.25">
      <c r="A379">
        <v>0.13900000000000001</v>
      </c>
    </row>
    <row r="380" spans="1:1" x14ac:dyDescent="0.25">
      <c r="A380">
        <v>9.1999999999999998E-2</v>
      </c>
    </row>
    <row r="381" spans="1:1" x14ac:dyDescent="0.25">
      <c r="A381">
        <v>3.2000000000000001E-2</v>
      </c>
    </row>
    <row r="382" spans="1:1" x14ac:dyDescent="0.25">
      <c r="A382">
        <v>0.16300000000000001</v>
      </c>
    </row>
    <row r="383" spans="1:1" x14ac:dyDescent="0.25">
      <c r="A383">
        <v>0.17599999999999999</v>
      </c>
    </row>
    <row r="384" spans="1:1" x14ac:dyDescent="0.25">
      <c r="A384">
        <v>7.8E-2</v>
      </c>
    </row>
    <row r="385" spans="1:1" x14ac:dyDescent="0.25">
      <c r="A385">
        <v>0.09</v>
      </c>
    </row>
    <row r="386" spans="1:1" x14ac:dyDescent="0.25">
      <c r="A386">
        <v>5.8000000000000003E-2</v>
      </c>
    </row>
    <row r="387" spans="1:1" x14ac:dyDescent="0.25">
      <c r="A387">
        <v>0.19</v>
      </c>
    </row>
    <row r="388" spans="1:1" x14ac:dyDescent="0.25">
      <c r="A388">
        <v>0.104</v>
      </c>
    </row>
    <row r="389" spans="1:1" x14ac:dyDescent="0.25">
      <c r="A389">
        <v>0.127</v>
      </c>
    </row>
    <row r="390" spans="1:1" x14ac:dyDescent="0.25">
      <c r="A390">
        <v>0.14699999999999999</v>
      </c>
    </row>
    <row r="391" spans="1:1" x14ac:dyDescent="0.25">
      <c r="A391">
        <v>7.1999999999999995E-2</v>
      </c>
    </row>
    <row r="392" spans="1:1" x14ac:dyDescent="0.25">
      <c r="A392">
        <v>8.9999999999999993E-3</v>
      </c>
    </row>
    <row r="393" spans="1:1" x14ac:dyDescent="0.25">
      <c r="A393">
        <v>0.105</v>
      </c>
    </row>
    <row r="394" spans="1:1" x14ac:dyDescent="0.25">
      <c r="A394">
        <v>0.12</v>
      </c>
    </row>
    <row r="395" spans="1:1" x14ac:dyDescent="0.25">
      <c r="A395">
        <v>0.254</v>
      </c>
    </row>
    <row r="396" spans="1:1" x14ac:dyDescent="0.25">
      <c r="A396">
        <v>0.14799999999999999</v>
      </c>
    </row>
    <row r="397" spans="1:1" x14ac:dyDescent="0.25">
      <c r="A397">
        <v>9.8000000000000004E-2</v>
      </c>
    </row>
    <row r="398" spans="1:1" x14ac:dyDescent="0.25">
      <c r="A398">
        <v>0.10299999999999999</v>
      </c>
    </row>
    <row r="399" spans="1:1" x14ac:dyDescent="0.25">
      <c r="A399">
        <v>0.24099999999999999</v>
      </c>
    </row>
    <row r="400" spans="1:1" x14ac:dyDescent="0.25">
      <c r="A400">
        <v>8.3000000000000004E-2</v>
      </c>
    </row>
    <row r="401" spans="1:1" x14ac:dyDescent="0.25">
      <c r="A401">
        <v>0.122</v>
      </c>
    </row>
    <row r="402" spans="1:1" x14ac:dyDescent="0.25">
      <c r="A402">
        <v>2.5000000000000001E-2</v>
      </c>
    </row>
    <row r="403" spans="1:1" x14ac:dyDescent="0.25">
      <c r="A403">
        <v>0.18</v>
      </c>
    </row>
    <row r="404" spans="1:1" x14ac:dyDescent="0.25">
      <c r="A404">
        <v>0.106</v>
      </c>
    </row>
    <row r="405" spans="1:1" x14ac:dyDescent="0.25">
      <c r="A405">
        <v>0.126</v>
      </c>
    </row>
    <row r="406" spans="1:1" x14ac:dyDescent="0.25">
      <c r="A406">
        <v>0.111</v>
      </c>
    </row>
    <row r="407" spans="1:1" x14ac:dyDescent="0.25">
      <c r="A407">
        <v>6.4000000000000001E-2</v>
      </c>
    </row>
    <row r="408" spans="1:1" x14ac:dyDescent="0.25">
      <c r="A408">
        <v>7.6999999999999999E-2</v>
      </c>
    </row>
    <row r="409" spans="1:1" x14ac:dyDescent="0.25">
      <c r="A409">
        <v>0.13800000000000001</v>
      </c>
    </row>
    <row r="410" spans="1:1" x14ac:dyDescent="0.25">
      <c r="A410">
        <v>0.19600000000000001</v>
      </c>
    </row>
    <row r="411" spans="1:1" x14ac:dyDescent="0.25">
      <c r="A411">
        <v>0</v>
      </c>
    </row>
    <row r="412" spans="1:1" x14ac:dyDescent="0.25">
      <c r="A412">
        <v>0.24099999999999999</v>
      </c>
    </row>
    <row r="413" spans="1:1" x14ac:dyDescent="0.25">
      <c r="A413">
        <v>0.23899999999999999</v>
      </c>
    </row>
    <row r="414" spans="1:1" x14ac:dyDescent="0.25">
      <c r="A414">
        <v>0.112</v>
      </c>
    </row>
    <row r="415" spans="1:1" x14ac:dyDescent="0.25">
      <c r="A415">
        <v>8.3000000000000004E-2</v>
      </c>
    </row>
    <row r="416" spans="1:1" x14ac:dyDescent="0.25">
      <c r="A416">
        <v>7.1999999999999995E-2</v>
      </c>
    </row>
    <row r="417" spans="1:1" x14ac:dyDescent="0.25">
      <c r="A417">
        <v>3.2000000000000001E-2</v>
      </c>
    </row>
    <row r="418" spans="1:1" x14ac:dyDescent="0.25">
      <c r="A418">
        <v>0.245</v>
      </c>
    </row>
    <row r="419" spans="1:1" x14ac:dyDescent="0.25">
      <c r="A419">
        <v>0.09</v>
      </c>
    </row>
    <row r="420" spans="1:1" x14ac:dyDescent="0.25">
      <c r="A420">
        <v>0.217</v>
      </c>
    </row>
    <row r="421" spans="1:1" x14ac:dyDescent="0.25">
      <c r="A421">
        <v>0.22600000000000001</v>
      </c>
    </row>
    <row r="422" spans="1:1" x14ac:dyDescent="0.25">
      <c r="A422">
        <v>0.151</v>
      </c>
    </row>
    <row r="423" spans="1:1" x14ac:dyDescent="0.25">
      <c r="A423">
        <v>1.9E-2</v>
      </c>
    </row>
    <row r="424" spans="1:1" x14ac:dyDescent="0.25">
      <c r="A424">
        <v>0.157</v>
      </c>
    </row>
    <row r="425" spans="1:1" x14ac:dyDescent="0.25">
      <c r="A425">
        <v>0.16800000000000001</v>
      </c>
    </row>
    <row r="426" spans="1:1" x14ac:dyDescent="0.25">
      <c r="A426">
        <v>0.24299999999999999</v>
      </c>
    </row>
    <row r="427" spans="1:1" x14ac:dyDescent="0.25">
      <c r="A427">
        <v>0.17299999999999999</v>
      </c>
    </row>
    <row r="428" spans="1:1" x14ac:dyDescent="0.25">
      <c r="A428">
        <v>0.25</v>
      </c>
    </row>
    <row r="429" spans="1:1" x14ac:dyDescent="0.25">
      <c r="A429">
        <v>0.12</v>
      </c>
    </row>
    <row r="430" spans="1:1" x14ac:dyDescent="0.25">
      <c r="A430">
        <v>0</v>
      </c>
    </row>
    <row r="431" spans="1:1" x14ac:dyDescent="0.25">
      <c r="A431">
        <v>0.17499999999999999</v>
      </c>
    </row>
    <row r="432" spans="1:1" x14ac:dyDescent="0.25">
      <c r="A432">
        <v>0.115</v>
      </c>
    </row>
    <row r="433" spans="1:1" x14ac:dyDescent="0.25">
      <c r="A433">
        <v>0</v>
      </c>
    </row>
    <row r="434" spans="1:1" x14ac:dyDescent="0.25">
      <c r="A434">
        <v>5.6000000000000001E-2</v>
      </c>
    </row>
    <row r="435" spans="1:1" x14ac:dyDescent="0.25">
      <c r="A435">
        <v>5.8999999999999997E-2</v>
      </c>
    </row>
    <row r="436" spans="1:1" x14ac:dyDescent="0.25">
      <c r="A436">
        <v>0.214</v>
      </c>
    </row>
    <row r="437" spans="1:1" x14ac:dyDescent="0.25">
      <c r="A437">
        <v>0</v>
      </c>
    </row>
    <row r="438" spans="1:1" x14ac:dyDescent="0.25">
      <c r="A438">
        <v>0.113</v>
      </c>
    </row>
    <row r="439" spans="1:1" x14ac:dyDescent="0.25">
      <c r="A439">
        <v>0.14699999999999999</v>
      </c>
    </row>
    <row r="440" spans="1:1" x14ac:dyDescent="0.25">
      <c r="A440">
        <v>0.17399999999999999</v>
      </c>
    </row>
    <row r="441" spans="1:1" x14ac:dyDescent="0.25">
      <c r="A441">
        <v>4.1000000000000002E-2</v>
      </c>
    </row>
    <row r="442" spans="1:1" x14ac:dyDescent="0.25">
      <c r="A442">
        <v>0.15</v>
      </c>
    </row>
    <row r="443" spans="1:1" x14ac:dyDescent="0.25">
      <c r="A443">
        <v>0.14799999999999999</v>
      </c>
    </row>
    <row r="444" spans="1:1" x14ac:dyDescent="0.25">
      <c r="A444">
        <v>0.157</v>
      </c>
    </row>
    <row r="445" spans="1:1" x14ac:dyDescent="0.25">
      <c r="A445">
        <v>4.2999999999999997E-2</v>
      </c>
    </row>
    <row r="446" spans="1:1" x14ac:dyDescent="0.25">
      <c r="A446">
        <v>0</v>
      </c>
    </row>
    <row r="447" spans="1:1" x14ac:dyDescent="0.25">
      <c r="A447">
        <v>2.8000000000000001E-2</v>
      </c>
    </row>
    <row r="448" spans="1:1" x14ac:dyDescent="0.25">
      <c r="A448">
        <v>7.3999999999999996E-2</v>
      </c>
    </row>
    <row r="449" spans="1:1" x14ac:dyDescent="0.25">
      <c r="A449">
        <v>0.29299999999999998</v>
      </c>
    </row>
    <row r="450" spans="1:1" x14ac:dyDescent="0.25">
      <c r="A450">
        <v>0.104</v>
      </c>
    </row>
    <row r="451" spans="1:1" x14ac:dyDescent="0.25">
      <c r="A451">
        <v>0.216</v>
      </c>
    </row>
    <row r="452" spans="1:1" x14ac:dyDescent="0.25">
      <c r="A452">
        <v>0.16500000000000001</v>
      </c>
    </row>
    <row r="453" spans="1:1" x14ac:dyDescent="0.25">
      <c r="A453">
        <v>6.6000000000000003E-2</v>
      </c>
    </row>
    <row r="454" spans="1:1" x14ac:dyDescent="0.25">
      <c r="A454">
        <v>7.0999999999999994E-2</v>
      </c>
    </row>
    <row r="455" spans="1:1" x14ac:dyDescent="0.25">
      <c r="A455">
        <v>0.115</v>
      </c>
    </row>
    <row r="456" spans="1:1" x14ac:dyDescent="0.25">
      <c r="A456">
        <v>1.7000000000000001E-2</v>
      </c>
    </row>
    <row r="457" spans="1:1" x14ac:dyDescent="0.25">
      <c r="A457">
        <v>0.111</v>
      </c>
    </row>
    <row r="458" spans="1:1" x14ac:dyDescent="0.25">
      <c r="A458">
        <v>0</v>
      </c>
    </row>
    <row r="459" spans="1:1" x14ac:dyDescent="0.25">
      <c r="A459">
        <v>0.13600000000000001</v>
      </c>
    </row>
    <row r="460" spans="1:1" x14ac:dyDescent="0.25">
      <c r="A460">
        <v>0.125</v>
      </c>
    </row>
    <row r="461" spans="1:1" x14ac:dyDescent="0.25">
      <c r="A461">
        <v>0</v>
      </c>
    </row>
    <row r="462" spans="1:1" x14ac:dyDescent="0.25">
      <c r="A462">
        <v>0.107</v>
      </c>
    </row>
    <row r="463" spans="1:1" x14ac:dyDescent="0.25">
      <c r="A463">
        <v>0.129</v>
      </c>
    </row>
    <row r="464" spans="1:1" x14ac:dyDescent="0.25">
      <c r="A464">
        <v>0.152</v>
      </c>
    </row>
    <row r="465" spans="1:1" x14ac:dyDescent="0.25">
      <c r="A465">
        <v>0.124</v>
      </c>
    </row>
    <row r="466" spans="1:1" x14ac:dyDescent="0.25">
      <c r="A466">
        <v>0.25700000000000001</v>
      </c>
    </row>
    <row r="467" spans="1:1" x14ac:dyDescent="0.25">
      <c r="A467">
        <v>0.21099999999999999</v>
      </c>
    </row>
    <row r="468" spans="1:1" x14ac:dyDescent="0.25">
      <c r="A468">
        <v>0.22900000000000001</v>
      </c>
    </row>
    <row r="469" spans="1:1" x14ac:dyDescent="0.25">
      <c r="A469">
        <v>7.0999999999999994E-2</v>
      </c>
    </row>
    <row r="470" spans="1:1" x14ac:dyDescent="0.25">
      <c r="A470">
        <v>0.23</v>
      </c>
    </row>
    <row r="471" spans="1:1" x14ac:dyDescent="0.25">
      <c r="A471">
        <v>4.5999999999999999E-2</v>
      </c>
    </row>
    <row r="472" spans="1:1" x14ac:dyDescent="0.25">
      <c r="A472">
        <v>4.9000000000000002E-2</v>
      </c>
    </row>
    <row r="473" spans="1:1" x14ac:dyDescent="0.25">
      <c r="A473">
        <v>0.13800000000000001</v>
      </c>
    </row>
    <row r="474" spans="1:1" x14ac:dyDescent="0.25">
      <c r="A474">
        <v>7.3999999999999996E-2</v>
      </c>
    </row>
    <row r="475" spans="1:1" x14ac:dyDescent="0.25">
      <c r="A475">
        <v>0.126</v>
      </c>
    </row>
    <row r="476" spans="1:1" x14ac:dyDescent="0.25">
      <c r="A476">
        <v>0.20499999999999999</v>
      </c>
    </row>
    <row r="477" spans="1:1" x14ac:dyDescent="0.25">
      <c r="A477">
        <v>4.2000000000000003E-2</v>
      </c>
    </row>
    <row r="478" spans="1:1" x14ac:dyDescent="0.25">
      <c r="A478">
        <v>8.8999999999999996E-2</v>
      </c>
    </row>
    <row r="479" spans="1:1" x14ac:dyDescent="0.25">
      <c r="A479">
        <v>0.16500000000000001</v>
      </c>
    </row>
    <row r="480" spans="1:1" x14ac:dyDescent="0.25">
      <c r="A480">
        <v>0.216</v>
      </c>
    </row>
    <row r="481" spans="1:1" x14ac:dyDescent="0.25">
      <c r="A481">
        <v>0.02</v>
      </c>
    </row>
    <row r="482" spans="1:1" x14ac:dyDescent="0.25">
      <c r="A482">
        <v>7.5999999999999998E-2</v>
      </c>
    </row>
    <row r="483" spans="1:1" x14ac:dyDescent="0.25">
      <c r="A483">
        <v>9.0999999999999998E-2</v>
      </c>
    </row>
    <row r="484" spans="1:1" x14ac:dyDescent="0.25">
      <c r="A484">
        <v>0.13200000000000001</v>
      </c>
    </row>
    <row r="485" spans="1:1" x14ac:dyDescent="0.25">
      <c r="A485">
        <v>5.2999999999999999E-2</v>
      </c>
    </row>
    <row r="486" spans="1:1" x14ac:dyDescent="0.25">
      <c r="A486">
        <v>0.123</v>
      </c>
    </row>
    <row r="487" spans="1:1" x14ac:dyDescent="0.25">
      <c r="A487">
        <v>9.1999999999999998E-2</v>
      </c>
    </row>
    <row r="488" spans="1:1" x14ac:dyDescent="0.25">
      <c r="A488">
        <v>0.222</v>
      </c>
    </row>
    <row r="489" spans="1:1" x14ac:dyDescent="0.25">
      <c r="A489">
        <v>7.3999999999999996E-2</v>
      </c>
    </row>
    <row r="490" spans="1:1" x14ac:dyDescent="0.25">
      <c r="A490">
        <v>0.19700000000000001</v>
      </c>
    </row>
    <row r="491" spans="1:1" x14ac:dyDescent="0.25">
      <c r="A491">
        <v>0.13500000000000001</v>
      </c>
    </row>
    <row r="492" spans="1:1" x14ac:dyDescent="0.25">
      <c r="A492">
        <v>0</v>
      </c>
    </row>
    <row r="493" spans="1:1" x14ac:dyDescent="0.25">
      <c r="A493">
        <v>0</v>
      </c>
    </row>
    <row r="494" spans="1:1" x14ac:dyDescent="0.25">
      <c r="A494">
        <v>8.3000000000000004E-2</v>
      </c>
    </row>
    <row r="495" spans="1:1" x14ac:dyDescent="0.25">
      <c r="A495">
        <v>0.13200000000000001</v>
      </c>
    </row>
    <row r="496" spans="1:1" x14ac:dyDescent="0.25">
      <c r="A496">
        <v>4.2000000000000003E-2</v>
      </c>
    </row>
    <row r="497" spans="1:1" x14ac:dyDescent="0.25">
      <c r="A497">
        <v>0.113</v>
      </c>
    </row>
    <row r="498" spans="1:1" x14ac:dyDescent="0.25">
      <c r="A498">
        <v>0.14199999999999999</v>
      </c>
    </row>
    <row r="499" spans="1:1" x14ac:dyDescent="0.25">
      <c r="A499">
        <v>4.2000000000000003E-2</v>
      </c>
    </row>
    <row r="500" spans="1:1" x14ac:dyDescent="0.25">
      <c r="A500">
        <v>5.7000000000000002E-2</v>
      </c>
    </row>
    <row r="501" spans="1:1" x14ac:dyDescent="0.25">
      <c r="A501">
        <v>0.218</v>
      </c>
    </row>
    <row r="502" spans="1:1" x14ac:dyDescent="0.25">
      <c r="A502">
        <v>4.1000000000000002E-2</v>
      </c>
    </row>
    <row r="503" spans="1:1" x14ac:dyDescent="0.25">
      <c r="A503">
        <v>0.16700000000000001</v>
      </c>
    </row>
    <row r="504" spans="1:1" x14ac:dyDescent="0.25">
      <c r="A504">
        <v>6.9000000000000006E-2</v>
      </c>
    </row>
    <row r="505" spans="1:1" x14ac:dyDescent="0.25">
      <c r="A505">
        <v>0.10100000000000001</v>
      </c>
    </row>
    <row r="506" spans="1:1" x14ac:dyDescent="0.25">
      <c r="A506">
        <v>7.0000000000000007E-2</v>
      </c>
    </row>
    <row r="507" spans="1:1" x14ac:dyDescent="0.25">
      <c r="A507">
        <v>0.123</v>
      </c>
    </row>
    <row r="508" spans="1:1" x14ac:dyDescent="0.25">
      <c r="A508">
        <v>0.23499999999999999</v>
      </c>
    </row>
    <row r="509" spans="1:1" x14ac:dyDescent="0.25">
      <c r="A509">
        <v>0.02</v>
      </c>
    </row>
    <row r="510" spans="1:1" x14ac:dyDescent="0.25">
      <c r="A510">
        <v>9.8000000000000004E-2</v>
      </c>
    </row>
    <row r="511" spans="1:1" x14ac:dyDescent="0.25">
      <c r="A511">
        <v>0.108</v>
      </c>
    </row>
    <row r="512" spans="1:1" x14ac:dyDescent="0.25">
      <c r="A512">
        <v>0.20899999999999999</v>
      </c>
    </row>
    <row r="513" spans="1:1" x14ac:dyDescent="0.25">
      <c r="A513">
        <v>0.11899999999999999</v>
      </c>
    </row>
    <row r="514" spans="1:1" x14ac:dyDescent="0.25">
      <c r="A514">
        <v>0.14599999999999999</v>
      </c>
    </row>
    <row r="515" spans="1:1" x14ac:dyDescent="0.25">
      <c r="A515">
        <v>3.2000000000000001E-2</v>
      </c>
    </row>
    <row r="516" spans="1:1" x14ac:dyDescent="0.25">
      <c r="A516">
        <v>0</v>
      </c>
    </row>
    <row r="517" spans="1:1" x14ac:dyDescent="0.25">
      <c r="A517">
        <v>0</v>
      </c>
    </row>
    <row r="518" spans="1:1" x14ac:dyDescent="0.25">
      <c r="A518">
        <v>0.157</v>
      </c>
    </row>
    <row r="519" spans="1:1" x14ac:dyDescent="0.25">
      <c r="A519">
        <v>0.107</v>
      </c>
    </row>
    <row r="520" spans="1:1" x14ac:dyDescent="0.25">
      <c r="A520">
        <v>0.13800000000000001</v>
      </c>
    </row>
    <row r="521" spans="1:1" x14ac:dyDescent="0.25">
      <c r="A521">
        <v>4.9000000000000002E-2</v>
      </c>
    </row>
    <row r="522" spans="1:1" x14ac:dyDescent="0.25">
      <c r="A522">
        <v>0.18</v>
      </c>
    </row>
    <row r="523" spans="1:1" x14ac:dyDescent="0.25">
      <c r="A523">
        <v>0.1</v>
      </c>
    </row>
    <row r="524" spans="1:1" x14ac:dyDescent="0.25">
      <c r="A524">
        <v>0</v>
      </c>
    </row>
    <row r="525" spans="1:1" x14ac:dyDescent="0.25">
      <c r="A525">
        <v>9.4E-2</v>
      </c>
    </row>
    <row r="526" spans="1:1" x14ac:dyDescent="0.25">
      <c r="A526">
        <v>0.17</v>
      </c>
    </row>
    <row r="527" spans="1:1" x14ac:dyDescent="0.25">
      <c r="A527">
        <v>0.22500000000000001</v>
      </c>
    </row>
    <row r="528" spans="1:1" x14ac:dyDescent="0.25">
      <c r="A528">
        <v>0.13500000000000001</v>
      </c>
    </row>
    <row r="529" spans="1:1" x14ac:dyDescent="0.25">
      <c r="A529">
        <v>0</v>
      </c>
    </row>
    <row r="530" spans="1:1" x14ac:dyDescent="0.25">
      <c r="A530">
        <v>5.8999999999999997E-2</v>
      </c>
    </row>
    <row r="531" spans="1:1" x14ac:dyDescent="0.25">
      <c r="A531">
        <v>0</v>
      </c>
    </row>
    <row r="532" spans="1:1" x14ac:dyDescent="0.25">
      <c r="A532">
        <v>3.7999999999999999E-2</v>
      </c>
    </row>
    <row r="533" spans="1:1" x14ac:dyDescent="0.25">
      <c r="A533">
        <v>0.122</v>
      </c>
    </row>
    <row r="534" spans="1:1" x14ac:dyDescent="0.25">
      <c r="A534">
        <v>0.114</v>
      </c>
    </row>
    <row r="535" spans="1:1" x14ac:dyDescent="0.25">
      <c r="A535">
        <v>6.6000000000000003E-2</v>
      </c>
    </row>
    <row r="536" spans="1:1" x14ac:dyDescent="0.25">
      <c r="A536">
        <v>0.248</v>
      </c>
    </row>
    <row r="537" spans="1:1" x14ac:dyDescent="0.25">
      <c r="A537">
        <v>0.19</v>
      </c>
    </row>
    <row r="538" spans="1:1" x14ac:dyDescent="0.25">
      <c r="A538">
        <v>0.14899999999999999</v>
      </c>
    </row>
    <row r="539" spans="1:1" x14ac:dyDescent="0.25">
      <c r="A539">
        <v>8.6999999999999994E-2</v>
      </c>
    </row>
    <row r="540" spans="1:1" x14ac:dyDescent="0.25">
      <c r="A540">
        <v>4.3999999999999997E-2</v>
      </c>
    </row>
    <row r="541" spans="1:1" x14ac:dyDescent="0.25">
      <c r="A541">
        <v>0.107</v>
      </c>
    </row>
    <row r="542" spans="1:1" x14ac:dyDescent="0.25">
      <c r="A542">
        <v>8.8999999999999996E-2</v>
      </c>
    </row>
    <row r="543" spans="1:1" x14ac:dyDescent="0.25">
      <c r="A543">
        <v>0</v>
      </c>
    </row>
    <row r="544" spans="1:1" x14ac:dyDescent="0.25">
      <c r="A544">
        <v>0.13300000000000001</v>
      </c>
    </row>
    <row r="545" spans="1:1" x14ac:dyDescent="0.25">
      <c r="A545">
        <v>5.8999999999999997E-2</v>
      </c>
    </row>
    <row r="546" spans="1:1" x14ac:dyDescent="0.25">
      <c r="A546">
        <v>0.115</v>
      </c>
    </row>
    <row r="547" spans="1:1" x14ac:dyDescent="0.25">
      <c r="A547">
        <v>0.21199999999999999</v>
      </c>
    </row>
    <row r="548" spans="1:1" x14ac:dyDescent="0.25">
      <c r="A548">
        <v>0.23699999999999999</v>
      </c>
    </row>
    <row r="549" spans="1:1" x14ac:dyDescent="0.25">
      <c r="A549">
        <v>0.20799999999999999</v>
      </c>
    </row>
    <row r="550" spans="1:1" x14ac:dyDescent="0.25">
      <c r="A550">
        <v>0.123</v>
      </c>
    </row>
    <row r="551" spans="1:1" x14ac:dyDescent="0.25">
      <c r="A551">
        <v>0.17499999999999999</v>
      </c>
    </row>
    <row r="552" spans="1:1" x14ac:dyDescent="0.25">
      <c r="A552">
        <v>0.17</v>
      </c>
    </row>
    <row r="553" spans="1:1" x14ac:dyDescent="0.25">
      <c r="A553">
        <v>0.21199999999999999</v>
      </c>
    </row>
    <row r="554" spans="1:1" x14ac:dyDescent="0.25">
      <c r="A554">
        <v>0.157</v>
      </c>
    </row>
    <row r="555" spans="1:1" x14ac:dyDescent="0.25">
      <c r="A555">
        <v>4.2000000000000003E-2</v>
      </c>
    </row>
    <row r="556" spans="1:1" x14ac:dyDescent="0.25">
      <c r="A556">
        <v>8.6999999999999994E-2</v>
      </c>
    </row>
    <row r="557" spans="1:1" x14ac:dyDescent="0.25">
      <c r="A557">
        <v>0.125</v>
      </c>
    </row>
    <row r="558" spans="1:1" x14ac:dyDescent="0.25">
      <c r="A558">
        <v>0</v>
      </c>
    </row>
    <row r="559" spans="1:1" x14ac:dyDescent="0.25">
      <c r="A559">
        <v>5.3999999999999999E-2</v>
      </c>
    </row>
    <row r="560" spans="1:1" x14ac:dyDescent="0.25">
      <c r="A560">
        <v>0.21099999999999999</v>
      </c>
    </row>
    <row r="561" spans="1:1" x14ac:dyDescent="0.25">
      <c r="A561">
        <v>0.122</v>
      </c>
    </row>
    <row r="562" spans="1:1" x14ac:dyDescent="0.25">
      <c r="A562">
        <v>0.12</v>
      </c>
    </row>
    <row r="563" spans="1:1" x14ac:dyDescent="0.25">
      <c r="A563">
        <v>0.14499999999999999</v>
      </c>
    </row>
    <row r="564" spans="1:1" x14ac:dyDescent="0.25">
      <c r="A564">
        <v>5.5E-2</v>
      </c>
    </row>
    <row r="565" spans="1:1" x14ac:dyDescent="0.25">
      <c r="A565">
        <v>0.13700000000000001</v>
      </c>
    </row>
    <row r="566" spans="1:1" x14ac:dyDescent="0.25">
      <c r="A566">
        <v>6.8000000000000005E-2</v>
      </c>
    </row>
    <row r="567" spans="1:1" x14ac:dyDescent="0.25">
      <c r="A567">
        <v>0.14299999999999999</v>
      </c>
    </row>
    <row r="568" spans="1:1" x14ac:dyDescent="0.25">
      <c r="A568">
        <v>0.126</v>
      </c>
    </row>
    <row r="569" spans="1:1" x14ac:dyDescent="0.25">
      <c r="A569">
        <v>9.1999999999999998E-2</v>
      </c>
    </row>
    <row r="570" spans="1:1" x14ac:dyDescent="0.25">
      <c r="A570">
        <v>0.19700000000000001</v>
      </c>
    </row>
    <row r="571" spans="1:1" x14ac:dyDescent="0.25">
      <c r="A571">
        <v>0</v>
      </c>
    </row>
    <row r="572" spans="1:1" x14ac:dyDescent="0.25">
      <c r="A572">
        <v>2.9000000000000001E-2</v>
      </c>
    </row>
    <row r="573" spans="1:1" x14ac:dyDescent="0.25">
      <c r="A573">
        <v>8.2000000000000003E-2</v>
      </c>
    </row>
    <row r="574" spans="1:1" x14ac:dyDescent="0.25">
      <c r="A574">
        <v>6.4000000000000001E-2</v>
      </c>
    </row>
    <row r="575" spans="1:1" x14ac:dyDescent="0.25">
      <c r="A575">
        <v>0.20699999999999999</v>
      </c>
    </row>
    <row r="576" spans="1:1" x14ac:dyDescent="0.25">
      <c r="A576">
        <v>5.6000000000000001E-2</v>
      </c>
    </row>
    <row r="577" spans="1:1" x14ac:dyDescent="0.25">
      <c r="A577">
        <v>0.121</v>
      </c>
    </row>
    <row r="578" spans="1:1" x14ac:dyDescent="0.25">
      <c r="A578">
        <v>7.1999999999999995E-2</v>
      </c>
    </row>
    <row r="579" spans="1:1" x14ac:dyDescent="0.25">
      <c r="A579">
        <v>7.1999999999999995E-2</v>
      </c>
    </row>
    <row r="580" spans="1:1" x14ac:dyDescent="0.25">
      <c r="A580">
        <v>0.13500000000000001</v>
      </c>
    </row>
    <row r="581" spans="1:1" x14ac:dyDescent="0.25">
      <c r="A581">
        <v>6.7000000000000004E-2</v>
      </c>
    </row>
    <row r="582" spans="1:1" x14ac:dyDescent="0.25">
      <c r="A582">
        <v>0.13200000000000001</v>
      </c>
    </row>
    <row r="583" spans="1:1" x14ac:dyDescent="0.25">
      <c r="A583">
        <v>0.01</v>
      </c>
    </row>
    <row r="584" spans="1:1" x14ac:dyDescent="0.25">
      <c r="A584">
        <v>0.22600000000000001</v>
      </c>
    </row>
    <row r="585" spans="1:1" x14ac:dyDescent="0.25">
      <c r="A585">
        <v>0.16300000000000001</v>
      </c>
    </row>
    <row r="586" spans="1:1" x14ac:dyDescent="0.25">
      <c r="A586">
        <v>0.14099999999999999</v>
      </c>
    </row>
    <row r="587" spans="1:1" x14ac:dyDescent="0.25">
      <c r="A587">
        <v>4.1000000000000002E-2</v>
      </c>
    </row>
    <row r="588" spans="1:1" x14ac:dyDescent="0.25">
      <c r="A588">
        <v>0</v>
      </c>
    </row>
    <row r="589" spans="1:1" x14ac:dyDescent="0.25">
      <c r="A589">
        <v>9.2999999999999999E-2</v>
      </c>
    </row>
    <row r="590" spans="1:1" x14ac:dyDescent="0.25">
      <c r="A590">
        <v>0.10299999999999999</v>
      </c>
    </row>
    <row r="591" spans="1:1" x14ac:dyDescent="0.25">
      <c r="A591">
        <v>8.7999999999999995E-2</v>
      </c>
    </row>
    <row r="592" spans="1:1" x14ac:dyDescent="0.25">
      <c r="A592">
        <v>0</v>
      </c>
    </row>
    <row r="593" spans="1:1" x14ac:dyDescent="0.25">
      <c r="A593">
        <v>0.17399999999999999</v>
      </c>
    </row>
    <row r="594" spans="1:1" x14ac:dyDescent="0.25">
      <c r="A594">
        <v>0.14599999999999999</v>
      </c>
    </row>
    <row r="595" spans="1:1" x14ac:dyDescent="0.25">
      <c r="A595">
        <v>0.192</v>
      </c>
    </row>
    <row r="596" spans="1:1" x14ac:dyDescent="0.25">
      <c r="A596">
        <v>0.08</v>
      </c>
    </row>
    <row r="597" spans="1:1" x14ac:dyDescent="0.25">
      <c r="A597">
        <v>7.2999999999999995E-2</v>
      </c>
    </row>
    <row r="598" spans="1:1" x14ac:dyDescent="0.25">
      <c r="A598">
        <v>4.2999999999999997E-2</v>
      </c>
    </row>
    <row r="599" spans="1:1" x14ac:dyDescent="0.25">
      <c r="A599">
        <v>0.14000000000000001</v>
      </c>
    </row>
    <row r="600" spans="1:1" x14ac:dyDescent="0.25">
      <c r="A600">
        <v>0.187</v>
      </c>
    </row>
    <row r="601" spans="1:1" x14ac:dyDescent="0.25">
      <c r="A601">
        <v>0.13300000000000001</v>
      </c>
    </row>
    <row r="602" spans="1:1" x14ac:dyDescent="0.25">
      <c r="A602">
        <v>8.9999999999999993E-3</v>
      </c>
    </row>
    <row r="603" spans="1:1" x14ac:dyDescent="0.25">
      <c r="A603">
        <v>0.16</v>
      </c>
    </row>
    <row r="604" spans="1:1" x14ac:dyDescent="0.25">
      <c r="A604">
        <v>7.0999999999999994E-2</v>
      </c>
    </row>
    <row r="605" spans="1:1" x14ac:dyDescent="0.25">
      <c r="A605">
        <v>0.15</v>
      </c>
    </row>
    <row r="606" spans="1:1" x14ac:dyDescent="0.25">
      <c r="A606">
        <v>0.19</v>
      </c>
    </row>
    <row r="607" spans="1:1" x14ac:dyDescent="0.25">
      <c r="A607">
        <v>0.186</v>
      </c>
    </row>
    <row r="608" spans="1:1" x14ac:dyDescent="0.25">
      <c r="A608">
        <v>0.10299999999999999</v>
      </c>
    </row>
    <row r="609" spans="1:1" x14ac:dyDescent="0.25">
      <c r="A609">
        <v>9.7000000000000003E-2</v>
      </c>
    </row>
    <row r="610" spans="1:1" x14ac:dyDescent="0.25">
      <c r="A610">
        <v>0.16300000000000001</v>
      </c>
    </row>
    <row r="611" spans="1:1" x14ac:dyDescent="0.25">
      <c r="A611">
        <v>0.12</v>
      </c>
    </row>
    <row r="612" spans="1:1" x14ac:dyDescent="0.25">
      <c r="A612">
        <v>0.104</v>
      </c>
    </row>
    <row r="613" spans="1:1" x14ac:dyDescent="0.25">
      <c r="A613">
        <v>0.19400000000000001</v>
      </c>
    </row>
    <row r="614" spans="1:1" x14ac:dyDescent="0.25">
      <c r="A614">
        <v>0</v>
      </c>
    </row>
    <row r="615" spans="1:1" x14ac:dyDescent="0.25">
      <c r="A615">
        <v>2.1999999999999999E-2</v>
      </c>
    </row>
    <row r="616" spans="1:1" x14ac:dyDescent="0.25">
      <c r="A616">
        <v>0.17100000000000001</v>
      </c>
    </row>
    <row r="617" spans="1:1" x14ac:dyDescent="0.25">
      <c r="A617">
        <v>8.1000000000000003E-2</v>
      </c>
    </row>
    <row r="618" spans="1:1" x14ac:dyDescent="0.25">
      <c r="A618">
        <v>4.0000000000000001E-3</v>
      </c>
    </row>
    <row r="619" spans="1:1" x14ac:dyDescent="0.25">
      <c r="A619">
        <v>0.10199999999999999</v>
      </c>
    </row>
    <row r="620" spans="1:1" x14ac:dyDescent="0.25">
      <c r="A620">
        <v>0.109</v>
      </c>
    </row>
    <row r="621" spans="1:1" x14ac:dyDescent="0.25">
      <c r="A621">
        <v>4.7E-2</v>
      </c>
    </row>
    <row r="622" spans="1:1" x14ac:dyDescent="0.25">
      <c r="A622">
        <v>0.16500000000000001</v>
      </c>
    </row>
    <row r="623" spans="1:1" x14ac:dyDescent="0.25">
      <c r="A623">
        <v>0.186</v>
      </c>
    </row>
    <row r="624" spans="1:1" x14ac:dyDescent="0.25">
      <c r="A624">
        <v>0.192</v>
      </c>
    </row>
    <row r="625" spans="1:1" x14ac:dyDescent="0.25">
      <c r="A625">
        <v>0.113</v>
      </c>
    </row>
    <row r="626" spans="1:1" x14ac:dyDescent="0.25">
      <c r="A626">
        <v>0.161</v>
      </c>
    </row>
    <row r="627" spans="1:1" x14ac:dyDescent="0.25">
      <c r="A627">
        <v>0.114</v>
      </c>
    </row>
    <row r="628" spans="1:1" x14ac:dyDescent="0.25">
      <c r="A628">
        <v>0.159</v>
      </c>
    </row>
    <row r="629" spans="1:1" x14ac:dyDescent="0.25">
      <c r="A629">
        <v>0.151</v>
      </c>
    </row>
    <row r="630" spans="1:1" x14ac:dyDescent="0.25">
      <c r="A630">
        <v>0</v>
      </c>
    </row>
    <row r="631" spans="1:1" x14ac:dyDescent="0.25">
      <c r="A631">
        <v>6.2E-2</v>
      </c>
    </row>
    <row r="632" spans="1:1" x14ac:dyDescent="0.25">
      <c r="A632">
        <v>0.13900000000000001</v>
      </c>
    </row>
    <row r="633" spans="1:1" x14ac:dyDescent="0.25">
      <c r="A633">
        <v>0.17299999999999999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8845-E4D7-40CC-9863-7428040820F3}">
  <dimension ref="A1"/>
  <sheetViews>
    <sheetView tabSelected="1" zoomScale="76" zoomScaleNormal="76" workbookViewId="0">
      <selection activeCell="O7" sqref="O7"/>
    </sheetView>
  </sheetViews>
  <sheetFormatPr defaultColWidth="13.85546875" defaultRowHeight="15" x14ac:dyDescent="0.25"/>
  <cols>
    <col min="1" max="16384" width="13.85546875" style="4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3FAFA-904D-4BA8-A09C-A24A152DADF3}">
  <dimension ref="A1"/>
  <sheetViews>
    <sheetView workbookViewId="0">
      <selection activeCell="K16" sqref="K16"/>
    </sheetView>
  </sheetViews>
  <sheetFormatPr defaultRowHeight="15" x14ac:dyDescent="0.25"/>
  <cols>
    <col min="1" max="16384" width="9.140625" style="4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RawData</vt:lpstr>
      <vt:lpstr>Brief</vt:lpstr>
      <vt:lpstr>StagingData</vt:lpstr>
      <vt:lpstr>Region Hierachy</vt:lpstr>
      <vt:lpstr>First-Time Sales</vt:lpstr>
      <vt:lpstr>ABC Analysis</vt:lpstr>
      <vt:lpstr>SalespersonProductivity</vt:lpstr>
      <vt:lpstr>cannibalization</vt:lpstr>
      <vt:lpstr>Service level Proxy</vt:lpstr>
      <vt:lpstr>Price Compliance</vt:lpstr>
      <vt:lpstr>What-If Analysis</vt:lpstr>
      <vt:lpstr>Revenue(Month)</vt:lpstr>
      <vt:lpstr>Profit(Region&amp;Channel)</vt:lpstr>
      <vt:lpstr>Top 10SKUs(Revenue)</vt:lpstr>
      <vt:lpstr>Discount Outlier</vt:lpstr>
      <vt:lpstr>Dashboard</vt:lpstr>
      <vt:lpstr>DashBoard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Kelvin Warui</cp:lastModifiedBy>
  <dcterms:created xsi:type="dcterms:W3CDTF">2025-09-28T10:49:35Z</dcterms:created>
  <dcterms:modified xsi:type="dcterms:W3CDTF">2026-02-01T18:39:39Z</dcterms:modified>
</cp:coreProperties>
</file>